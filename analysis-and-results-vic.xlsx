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3beea78131baf44/Documents/Personal Projects/2026-03 aus rent vs buy/"/>
    </mc:Choice>
  </mc:AlternateContent>
  <xr:revisionPtr revIDLastSave="391" documentId="8_{C157CEFA-229F-47B8-A850-4645973D6BC4}" xr6:coauthVersionLast="47" xr6:coauthVersionMax="47" xr10:uidLastSave="{758015FE-48AF-4559-AF1B-1DFB9C089606}"/>
  <bookViews>
    <workbookView xWindow="-105" yWindow="0" windowWidth="14610" windowHeight="17385" tabRatio="818" xr2:uid="{D8AAAA89-5358-4611-B113-99C6929A3BCB}"/>
  </bookViews>
  <sheets>
    <sheet name="analysis" sheetId="13" r:id="rId1"/>
    <sheet name="cpi" sheetId="23" r:id="rId2"/>
    <sheet name="msci-indices" sheetId="20" r:id="rId3"/>
    <sheet name="mortgage-rates" sheetId="19" r:id="rId4"/>
    <sheet name="vic-rent &gt;&gt;" sheetId="6" r:id="rId5"/>
    <sheet name="2br Flat" sheetId="25" r:id="rId6"/>
    <sheet name="3br House" sheetId="26" r:id="rId7"/>
    <sheet name="2BR_F-processed" sheetId="2" r:id="rId8"/>
    <sheet name="3BR_H-processed" sheetId="11" r:id="rId9"/>
    <sheet name="chart-2bflat" sheetId="3" r:id="rId10"/>
    <sheet name="chart-3bhouse" sheetId="12" r:id="rId11"/>
    <sheet name="vic-buy &gt;&gt;" sheetId="14" r:id="rId12"/>
    <sheet name="ABS-total-value-dwellings" sheetId="24" r:id="rId13"/>
    <sheet name="ns-combined" sheetId="18" r:id="rId14"/>
    <sheet name="s-combined" sheetId="22" r:id="rId15"/>
  </sheets>
  <definedNames>
    <definedName name="_xlnm._FilterDatabase" localSheetId="7" hidden="1">'2BR_F-processed'!$A$1:$D$97</definedName>
    <definedName name="_xlnm._FilterDatabase" localSheetId="8" hidden="1">'3BR_H-processed'!$A$1:$D$97</definedName>
    <definedName name="_xlnm._FilterDatabase" localSheetId="13" hidden="1">'ns-combined'!$B$1:$D$102</definedName>
    <definedName name="_xlnm._FilterDatabase" localSheetId="14" hidden="1">'s-combined'!$B$1:$D$97</definedName>
    <definedName name="A83728543L">'ABS-total-value-dwellings'!$AF$1:$AF$10,'ABS-total-value-dwellings'!$AF$11:$AF$106</definedName>
    <definedName name="A83728543L_Data">'ABS-total-value-dwellings'!$AF$11:$AF$106</definedName>
    <definedName name="A83728543L_Latest">'ABS-total-value-dwellings'!$AF$106</definedName>
    <definedName name="A83728544R">'ABS-total-value-dwellings'!$AU$1:$AU$10,'ABS-total-value-dwellings'!$AU$17:$AU$106</definedName>
    <definedName name="A83728544R_Data">'ABS-total-value-dwellings'!$AU$17:$AU$106</definedName>
    <definedName name="A83728544R_Latest">'ABS-total-value-dwellings'!$AU$106</definedName>
    <definedName name="A83728545T">'ABS-total-value-dwellings'!$B$1:$B$10,'ABS-total-value-dwellings'!$B$11:$B$106</definedName>
    <definedName name="A83728545T_Data">'ABS-total-value-dwellings'!$B$11:$B$106</definedName>
    <definedName name="A83728545T_Latest">'ABS-total-value-dwellings'!$B$106</definedName>
    <definedName name="A83728546V">'ABS-total-value-dwellings'!$Q$1:$Q$10,'ABS-total-value-dwellings'!$Q$17:$Q$106</definedName>
    <definedName name="A83728546V_Data">'ABS-total-value-dwellings'!$Q$17:$Q$106</definedName>
    <definedName name="A83728546V_Latest">'ABS-total-value-dwellings'!$Q$106</definedName>
    <definedName name="A83728547W">'ABS-total-value-dwellings'!$AH$1:$AH$10,'ABS-total-value-dwellings'!$AH$11:$AH$106</definedName>
    <definedName name="A83728547W_Data">'ABS-total-value-dwellings'!$AH$11:$AH$106</definedName>
    <definedName name="A83728547W_Latest">'ABS-total-value-dwellings'!$AH$106</definedName>
    <definedName name="A83728548X">'ABS-total-value-dwellings'!$AW$1:$AW$10,'ABS-total-value-dwellings'!$AW$17:$AW$106</definedName>
    <definedName name="A83728548X_Data">'ABS-total-value-dwellings'!$AW$17:$AW$106</definedName>
    <definedName name="A83728548X_Latest">'ABS-total-value-dwellings'!$AW$106</definedName>
    <definedName name="A83728549A">'ABS-total-value-dwellings'!$D$1:$D$10,'ABS-total-value-dwellings'!$D$11:$D$106</definedName>
    <definedName name="A83728549A_Data">'ABS-total-value-dwellings'!$D$11:$D$106</definedName>
    <definedName name="A83728549A_Latest">'ABS-total-value-dwellings'!$D$106</definedName>
    <definedName name="A83728550K">'ABS-total-value-dwellings'!$S$1:$S$10,'ABS-total-value-dwellings'!$S$17:$S$106</definedName>
    <definedName name="A83728550K_Data">'ABS-total-value-dwellings'!$S$17:$S$106</definedName>
    <definedName name="A83728550K_Latest">'ABS-total-value-dwellings'!$S$106</definedName>
    <definedName name="A83728551L">'ABS-total-value-dwellings'!$AJ$1:$AJ$10,'ABS-total-value-dwellings'!$AJ$11:$AJ$106</definedName>
    <definedName name="A83728551L_Data">'ABS-total-value-dwellings'!$AJ$11:$AJ$106</definedName>
    <definedName name="A83728551L_Latest">'ABS-total-value-dwellings'!$AJ$106</definedName>
    <definedName name="A83728552R">'ABS-total-value-dwellings'!$AY$1:$AY$10,'ABS-total-value-dwellings'!$AY$17:$AY$106</definedName>
    <definedName name="A83728552R_Data">'ABS-total-value-dwellings'!$AY$17:$AY$106</definedName>
    <definedName name="A83728552R_Latest">'ABS-total-value-dwellings'!$AY$106</definedName>
    <definedName name="A83728553T">'ABS-total-value-dwellings'!$F$1:$F$10,'ABS-total-value-dwellings'!$F$11:$F$106</definedName>
    <definedName name="A83728553T_Data">'ABS-total-value-dwellings'!$F$11:$F$106</definedName>
    <definedName name="A83728553T_Latest">'ABS-total-value-dwellings'!$F$106</definedName>
    <definedName name="A83728554V">'ABS-total-value-dwellings'!$U$1:$U$10,'ABS-total-value-dwellings'!$U$17:$U$106</definedName>
    <definedName name="A83728554V_Data">'ABS-total-value-dwellings'!$U$17:$U$106</definedName>
    <definedName name="A83728554V_Latest">'ABS-total-value-dwellings'!$U$106</definedName>
    <definedName name="A83728555W">'ABS-total-value-dwellings'!$AL$1:$AL$10,'ABS-total-value-dwellings'!$AL$11:$AL$106</definedName>
    <definedName name="A83728555W_Data">'ABS-total-value-dwellings'!$AL$11:$AL$106</definedName>
    <definedName name="A83728555W_Latest">'ABS-total-value-dwellings'!$AL$106</definedName>
    <definedName name="A83728556X">'ABS-total-value-dwellings'!$BA$1:$BA$10,'ABS-total-value-dwellings'!$BA$17:$BA$106</definedName>
    <definedName name="A83728556X_Data">'ABS-total-value-dwellings'!$BA$17:$BA$106</definedName>
    <definedName name="A83728556X_Latest">'ABS-total-value-dwellings'!$BA$106</definedName>
    <definedName name="A83728557A">'ABS-total-value-dwellings'!$H$1:$H$10,'ABS-total-value-dwellings'!$H$11:$H$106</definedName>
    <definedName name="A83728557A_Data">'ABS-total-value-dwellings'!$H$11:$H$106</definedName>
    <definedName name="A83728557A_Latest">'ABS-total-value-dwellings'!$H$106</definedName>
    <definedName name="A83728558C">'ABS-total-value-dwellings'!$W$1:$W$10,'ABS-total-value-dwellings'!$W$17:$W$106</definedName>
    <definedName name="A83728558C_Data">'ABS-total-value-dwellings'!$W$17:$W$106</definedName>
    <definedName name="A83728558C_Latest">'ABS-total-value-dwellings'!$W$106</definedName>
    <definedName name="A83728559F">'ABS-total-value-dwellings'!$AN$1:$AN$10,'ABS-total-value-dwellings'!$AN$11:$AN$106</definedName>
    <definedName name="A83728559F_Data">'ABS-total-value-dwellings'!$AN$11:$AN$106</definedName>
    <definedName name="A83728559F_Latest">'ABS-total-value-dwellings'!$AN$106</definedName>
    <definedName name="A83728560R">'ABS-total-value-dwellings'!$BC$1:$BC$10,'ABS-total-value-dwellings'!$BC$17:$BC$106</definedName>
    <definedName name="A83728560R_Data">'ABS-total-value-dwellings'!$BC$17:$BC$106</definedName>
    <definedName name="A83728560R_Latest">'ABS-total-value-dwellings'!$BC$106</definedName>
    <definedName name="A83728561T">'ABS-total-value-dwellings'!$J$1:$J$10,'ABS-total-value-dwellings'!$J$11:$J$106</definedName>
    <definedName name="A83728561T_Data">'ABS-total-value-dwellings'!$J$11:$J$106</definedName>
    <definedName name="A83728561T_Latest">'ABS-total-value-dwellings'!$J$106</definedName>
    <definedName name="A83728562V">'ABS-total-value-dwellings'!$Y$1:$Y$10,'ABS-total-value-dwellings'!$Y$17:$Y$106</definedName>
    <definedName name="A83728562V_Data">'ABS-total-value-dwellings'!$Y$17:$Y$106</definedName>
    <definedName name="A83728562V_Latest">'ABS-total-value-dwellings'!$Y$106</definedName>
    <definedName name="A83728563W">'ABS-total-value-dwellings'!$AP$1:$AP$10,'ABS-total-value-dwellings'!$AP$11:$AP$106</definedName>
    <definedName name="A83728563W_Data">'ABS-total-value-dwellings'!$AP$11:$AP$106</definedName>
    <definedName name="A83728563W_Latest">'ABS-total-value-dwellings'!$AP$106</definedName>
    <definedName name="A83728564X">'ABS-total-value-dwellings'!$BE$1:$BE$10,'ABS-total-value-dwellings'!$BE$17:$BE$106</definedName>
    <definedName name="A83728564X_Data">'ABS-total-value-dwellings'!$BE$17:$BE$106</definedName>
    <definedName name="A83728564X_Latest">'ABS-total-value-dwellings'!$BE$106</definedName>
    <definedName name="A83728565A">'ABS-total-value-dwellings'!$L$1:$L$10,'ABS-total-value-dwellings'!$L$11:$L$106</definedName>
    <definedName name="A83728565A_Data">'ABS-total-value-dwellings'!$L$11:$L$106</definedName>
    <definedName name="A83728565A_Latest">'ABS-total-value-dwellings'!$L$106</definedName>
    <definedName name="A83728566C">'ABS-total-value-dwellings'!$AA$1:$AA$10,'ABS-total-value-dwellings'!$AA$17:$AA$106</definedName>
    <definedName name="A83728566C_Data">'ABS-total-value-dwellings'!$AA$17:$AA$106</definedName>
    <definedName name="A83728566C_Latest">'ABS-total-value-dwellings'!$AA$106</definedName>
    <definedName name="A83728567F">'ABS-total-value-dwellings'!$AR$1:$AR$10,'ABS-total-value-dwellings'!$AR$11:$AR$106</definedName>
    <definedName name="A83728567F_Data">'ABS-total-value-dwellings'!$AR$11:$AR$106</definedName>
    <definedName name="A83728567F_Latest">'ABS-total-value-dwellings'!$AR$106</definedName>
    <definedName name="A83728568J">'ABS-total-value-dwellings'!$BG$1:$BG$10,'ABS-total-value-dwellings'!$BG$17:$BG$106</definedName>
    <definedName name="A83728568J_Data">'ABS-total-value-dwellings'!$BG$17:$BG$106</definedName>
    <definedName name="A83728568J_Latest">'ABS-total-value-dwellings'!$BG$106</definedName>
    <definedName name="A83728569K">'ABS-total-value-dwellings'!$N$1:$N$10,'ABS-total-value-dwellings'!$N$11:$N$106</definedName>
    <definedName name="A83728569K_Data">'ABS-total-value-dwellings'!$N$11:$N$106</definedName>
    <definedName name="A83728569K_Latest">'ABS-total-value-dwellings'!$N$106</definedName>
    <definedName name="A83728570V">'ABS-total-value-dwellings'!$AC$1:$AC$10,'ABS-total-value-dwellings'!$AC$17:$AC$106</definedName>
    <definedName name="A83728570V_Data">'ABS-total-value-dwellings'!$AC$17:$AC$106</definedName>
    <definedName name="A83728570V_Latest">'ABS-total-value-dwellings'!$AC$106</definedName>
    <definedName name="A83728571W">'ABS-total-value-dwellings'!$AT$1:$AT$10,'ABS-total-value-dwellings'!$AT$11:$AT$106</definedName>
    <definedName name="A83728571W_Data">'ABS-total-value-dwellings'!$AT$11:$AT$106</definedName>
    <definedName name="A83728571W_Latest">'ABS-total-value-dwellings'!$AT$106</definedName>
    <definedName name="A83728572X">'ABS-total-value-dwellings'!$BI$1:$BI$10,'ABS-total-value-dwellings'!$BI$17:$BI$106</definedName>
    <definedName name="A83728572X_Data">'ABS-total-value-dwellings'!$BI$17:$BI$106</definedName>
    <definedName name="A83728572X_Latest">'ABS-total-value-dwellings'!$BI$106</definedName>
    <definedName name="A83728573A">'ABS-total-value-dwellings'!$P$1:$P$10,'ABS-total-value-dwellings'!$P$11:$P$106</definedName>
    <definedName name="A83728573A_Data">'ABS-total-value-dwellings'!$P$11:$P$106</definedName>
    <definedName name="A83728573A_Latest">'ABS-total-value-dwellings'!$P$106</definedName>
    <definedName name="A83728574C">'ABS-total-value-dwellings'!$AE$1:$AE$10,'ABS-total-value-dwellings'!$AE$17:$AE$106</definedName>
    <definedName name="A83728574C_Data">'ABS-total-value-dwellings'!$AE$17:$AE$106</definedName>
    <definedName name="A83728574C_Latest">'ABS-total-value-dwellings'!$AE$106</definedName>
    <definedName name="A83728575F">'ABS-total-value-dwellings'!$AG$1:$AG$10,'ABS-total-value-dwellings'!$AG$17:$AG$106</definedName>
    <definedName name="A83728575F_Data">'ABS-total-value-dwellings'!$AG$17:$AG$106</definedName>
    <definedName name="A83728575F_Latest">'ABS-total-value-dwellings'!$AG$106</definedName>
    <definedName name="A83728576J">'ABS-total-value-dwellings'!$AV$1:$AV$10,'ABS-total-value-dwellings'!$AV$17:$AV$106</definedName>
    <definedName name="A83728576J_Data">'ABS-total-value-dwellings'!$AV$17:$AV$106</definedName>
    <definedName name="A83728576J_Latest">'ABS-total-value-dwellings'!$AV$106</definedName>
    <definedName name="A83728577K">'ABS-total-value-dwellings'!$C$1:$C$10,'ABS-total-value-dwellings'!$C$17:$C$106</definedName>
    <definedName name="A83728577K_Data">'ABS-total-value-dwellings'!$C$17:$C$106</definedName>
    <definedName name="A83728577K_Latest">'ABS-total-value-dwellings'!$C$106</definedName>
    <definedName name="A83728578L">'ABS-total-value-dwellings'!$R$1:$R$10,'ABS-total-value-dwellings'!$R$17:$R$106</definedName>
    <definedName name="A83728578L_Data">'ABS-total-value-dwellings'!$R$17:$R$106</definedName>
    <definedName name="A83728578L_Latest">'ABS-total-value-dwellings'!$R$106</definedName>
    <definedName name="A83728579R">'ABS-total-value-dwellings'!$AI$1:$AI$10,'ABS-total-value-dwellings'!$AI$17:$AI$106</definedName>
    <definedName name="A83728579R_Data">'ABS-total-value-dwellings'!$AI$17:$AI$106</definedName>
    <definedName name="A83728579R_Latest">'ABS-total-value-dwellings'!$AI$106</definedName>
    <definedName name="A83728580X">'ABS-total-value-dwellings'!$AX$1:$AX$10,'ABS-total-value-dwellings'!$AX$17:$AX$106</definedName>
    <definedName name="A83728580X_Data">'ABS-total-value-dwellings'!$AX$17:$AX$106</definedName>
    <definedName name="A83728580X_Latest">'ABS-total-value-dwellings'!$AX$106</definedName>
    <definedName name="A83728581A">'ABS-total-value-dwellings'!$E$1:$E$10,'ABS-total-value-dwellings'!$E$17:$E$106</definedName>
    <definedName name="A83728581A_Data">'ABS-total-value-dwellings'!$E$17:$E$106</definedName>
    <definedName name="A83728581A_Latest">'ABS-total-value-dwellings'!$E$106</definedName>
    <definedName name="A83728582C">'ABS-total-value-dwellings'!$T$1:$T$10,'ABS-total-value-dwellings'!$T$17:$T$106</definedName>
    <definedName name="A83728582C_Data">'ABS-total-value-dwellings'!$T$17:$T$106</definedName>
    <definedName name="A83728582C_Latest">'ABS-total-value-dwellings'!$T$106</definedName>
    <definedName name="A83728583F">'ABS-total-value-dwellings'!$AK$1:$AK$10,'ABS-total-value-dwellings'!$AK$17:$AK$106</definedName>
    <definedName name="A83728583F_Data">'ABS-total-value-dwellings'!$AK$17:$AK$106</definedName>
    <definedName name="A83728583F_Latest">'ABS-total-value-dwellings'!$AK$106</definedName>
    <definedName name="A83728584J">'ABS-total-value-dwellings'!$AZ$1:$AZ$10,'ABS-total-value-dwellings'!$AZ$17:$AZ$106</definedName>
    <definedName name="A83728584J_Data">'ABS-total-value-dwellings'!$AZ$17:$AZ$106</definedName>
    <definedName name="A83728584J_Latest">'ABS-total-value-dwellings'!$AZ$106</definedName>
    <definedName name="A83728585K">'ABS-total-value-dwellings'!$G$1:$G$10,'ABS-total-value-dwellings'!$G$17:$G$106</definedName>
    <definedName name="A83728585K_Data">'ABS-total-value-dwellings'!$G$17:$G$106</definedName>
    <definedName name="A83728585K_Latest">'ABS-total-value-dwellings'!$G$106</definedName>
    <definedName name="A83728586L">'ABS-total-value-dwellings'!$V$1:$V$10,'ABS-total-value-dwellings'!$V$17:$V$106</definedName>
    <definedName name="A83728586L_Data">'ABS-total-value-dwellings'!$V$17:$V$106</definedName>
    <definedName name="A83728586L_Latest">'ABS-total-value-dwellings'!$V$106</definedName>
    <definedName name="A83728587R">'ABS-total-value-dwellings'!$AM$1:$AM$10,'ABS-total-value-dwellings'!$AM$17:$AM$106</definedName>
    <definedName name="A83728587R_Data">'ABS-total-value-dwellings'!$AM$17:$AM$106</definedName>
    <definedName name="A83728587R_Latest">'ABS-total-value-dwellings'!$AM$106</definedName>
    <definedName name="A83728588T">'ABS-total-value-dwellings'!$BB$1:$BB$10,'ABS-total-value-dwellings'!$BB$17:$BB$106</definedName>
    <definedName name="A83728588T_Data">'ABS-total-value-dwellings'!$BB$17:$BB$106</definedName>
    <definedName name="A83728588T_Latest">'ABS-total-value-dwellings'!$BB$106</definedName>
    <definedName name="A83728589V">'ABS-total-value-dwellings'!$I$1:$I$10,'ABS-total-value-dwellings'!$I$17:$I$106</definedName>
    <definedName name="A83728589V_Data">'ABS-total-value-dwellings'!$I$17:$I$106</definedName>
    <definedName name="A83728589V_Latest">'ABS-total-value-dwellings'!$I$106</definedName>
    <definedName name="A83728590C">'ABS-total-value-dwellings'!$X$1:$X$10,'ABS-total-value-dwellings'!$X$17:$X$106</definedName>
    <definedName name="A83728590C_Data">'ABS-total-value-dwellings'!$X$17:$X$106</definedName>
    <definedName name="A83728590C_Latest">'ABS-total-value-dwellings'!$X$106</definedName>
    <definedName name="A83728591F">'ABS-total-value-dwellings'!$AO$1:$AO$10,'ABS-total-value-dwellings'!$AO$17:$AO$106</definedName>
    <definedName name="A83728591F_Data">'ABS-total-value-dwellings'!$AO$17:$AO$106</definedName>
    <definedName name="A83728591F_Latest">'ABS-total-value-dwellings'!$AO$106</definedName>
    <definedName name="A83728592J">'ABS-total-value-dwellings'!$BD$1:$BD$10,'ABS-total-value-dwellings'!$BD$17:$BD$106</definedName>
    <definedName name="A83728592J_Data">'ABS-total-value-dwellings'!$BD$17:$BD$106</definedName>
    <definedName name="A83728592J_Latest">'ABS-total-value-dwellings'!$BD$106</definedName>
    <definedName name="A83728593K">'ABS-total-value-dwellings'!$K$1:$K$10,'ABS-total-value-dwellings'!$K$17:$K$106</definedName>
    <definedName name="A83728593K_Data">'ABS-total-value-dwellings'!$K$17:$K$106</definedName>
    <definedName name="A83728593K_Latest">'ABS-total-value-dwellings'!$K$106</definedName>
    <definedName name="A83728594L">'ABS-total-value-dwellings'!$Z$1:$Z$10,'ABS-total-value-dwellings'!$Z$17:$Z$106</definedName>
    <definedName name="A83728594L_Data">'ABS-total-value-dwellings'!$Z$17:$Z$106</definedName>
    <definedName name="A83728594L_Latest">'ABS-total-value-dwellings'!$Z$106</definedName>
    <definedName name="A83728595R">'ABS-total-value-dwellings'!$AQ$1:$AQ$10,'ABS-total-value-dwellings'!$AQ$17:$AQ$106</definedName>
    <definedName name="A83728595R_Data">'ABS-total-value-dwellings'!$AQ$17:$AQ$106</definedName>
    <definedName name="A83728595R_Latest">'ABS-total-value-dwellings'!$AQ$106</definedName>
    <definedName name="A83728596T">'ABS-total-value-dwellings'!$BF$1:$BF$10,'ABS-total-value-dwellings'!$BF$17:$BF$106</definedName>
    <definedName name="A83728596T_Data">'ABS-total-value-dwellings'!$BF$17:$BF$106</definedName>
    <definedName name="A83728596T_Latest">'ABS-total-value-dwellings'!$BF$106</definedName>
    <definedName name="A83728597V">'ABS-total-value-dwellings'!$M$1:$M$10,'ABS-total-value-dwellings'!$M$17:$M$106</definedName>
    <definedName name="A83728597V_Data">'ABS-total-value-dwellings'!$M$17:$M$106</definedName>
    <definedName name="A83728597V_Latest">'ABS-total-value-dwellings'!$M$106</definedName>
    <definedName name="A83728598W">'ABS-total-value-dwellings'!$AB$1:$AB$10,'ABS-total-value-dwellings'!$AB$17:$AB$106</definedName>
    <definedName name="A83728598W_Data">'ABS-total-value-dwellings'!$AB$17:$AB$106</definedName>
    <definedName name="A83728598W_Latest">'ABS-total-value-dwellings'!$AB$106</definedName>
    <definedName name="A83728599X">'ABS-total-value-dwellings'!$AS$1:$AS$10,'ABS-total-value-dwellings'!$AS$17:$AS$106</definedName>
    <definedName name="A83728599X_Data">'ABS-total-value-dwellings'!$AS$17:$AS$106</definedName>
    <definedName name="A83728599X_Latest">'ABS-total-value-dwellings'!$AS$106</definedName>
    <definedName name="A83728600W">'ABS-total-value-dwellings'!$BH$1:$BH$10,'ABS-total-value-dwellings'!$BH$17:$BH$106</definedName>
    <definedName name="A83728600W_Data">'ABS-total-value-dwellings'!$BH$17:$BH$106</definedName>
    <definedName name="A83728600W_Latest">'ABS-total-value-dwellings'!$BH$106</definedName>
    <definedName name="A83728601X">'ABS-total-value-dwellings'!$O$1:$O$10,'ABS-total-value-dwellings'!$O$17:$O$106</definedName>
    <definedName name="A83728601X_Data">'ABS-total-value-dwellings'!$O$17:$O$106</definedName>
    <definedName name="A83728601X_Latest">'ABS-total-value-dwellings'!$O$106</definedName>
    <definedName name="A83728602A">'ABS-total-value-dwellings'!$AD$1:$AD$10,'ABS-total-value-dwellings'!$AD$17:$AD$106</definedName>
    <definedName name="A83728602A_Data">'ABS-total-value-dwellings'!$AD$17:$AD$106</definedName>
    <definedName name="A83728602A_Latest">'ABS-total-value-dwellings'!$AD$106</definedName>
    <definedName name="AusPortfolio">analysis!$B$42</definedName>
    <definedName name="CGT">analysis!$B$49</definedName>
    <definedName name="Council_Area">analysis!$B$13</definedName>
    <definedName name="Date_Range">'ABS-total-value-dwellings'!$A$2:$A$10,'ABS-total-value-dwellings'!$A$11:$A$106</definedName>
    <definedName name="Date_Range_Data">'ABS-total-value-dwellings'!$A$11:$A$106</definedName>
    <definedName name="eff_invest">analysis!$B$54</definedName>
    <definedName name="FlatDwellingType">'2BR_F-processed'!$A$1</definedName>
    <definedName name="FlatNumberOfBedrooms">'2BR_F-processed'!$A$2</definedName>
    <definedName name="GlobalPortfolio">analysis!$B$41</definedName>
    <definedName name="HouseDwellingType" localSheetId="8">'3BR_H-processed'!$A$1</definedName>
    <definedName name="HouseNumberOfBedrooms" localSheetId="8">'3BR_H-processed'!$A$2</definedName>
    <definedName name="InvestFees">analysis!$B$43</definedName>
    <definedName name="MortgageRate">analysis!$B$19</definedName>
    <definedName name="Q_end">analysis!$B$12</definedName>
    <definedName name="Q_start">analysis!$B$11</definedName>
    <definedName name="Qstart">analysis!$B$11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3" l="1"/>
  <c r="C2" i="22" a="1"/>
  <c r="D2" i="22" a="1"/>
  <c r="D2" i="18" a="1"/>
  <c r="C2" i="18" a="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2" i="11"/>
  <c r="D109"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2" i="2"/>
  <c r="C109"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3" i="2"/>
  <c r="C4" i="2"/>
  <c r="C5" i="2"/>
  <c r="C6" i="2"/>
  <c r="C7" i="2"/>
  <c r="C8" i="2"/>
  <c r="C9" i="2"/>
  <c r="C10" i="2"/>
  <c r="C11" i="2"/>
  <c r="C2" i="2"/>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2" i="20"/>
  <c r="B50" i="13"/>
  <c r="B47" i="13"/>
  <c r="B42" i="13"/>
  <c r="B36" i="13"/>
  <c r="C109" i="11" l="1"/>
  <c r="D109" i="11"/>
  <c r="L3" i="13" l="1"/>
  <c r="AG3" i="13" l="1" a="1"/>
  <c r="AF3" i="13" a="1"/>
  <c r="BH3" i="13"/>
  <c r="L4" i="13"/>
  <c r="AR3" i="13"/>
  <c r="B26" i="13" s="1"/>
  <c r="BB3" i="13"/>
  <c r="T3" i="13"/>
  <c r="U3" i="13" s="1"/>
  <c r="AC3" i="13" a="1"/>
  <c r="BJ3" i="13" s="1"/>
  <c r="AD3" i="13" a="1"/>
  <c r="BK3" i="13" s="1"/>
  <c r="R3" i="13"/>
  <c r="BI3" i="13" l="1"/>
  <c r="W3" i="13"/>
  <c r="AV3" i="13"/>
  <c r="BN3" i="13"/>
  <c r="L5" i="13"/>
  <c r="AF4" i="13" a="1"/>
  <c r="AG4" i="13" a="1"/>
  <c r="BL3" i="13"/>
  <c r="AR4" i="13"/>
  <c r="AV4" i="13" s="1"/>
  <c r="BH4" i="13"/>
  <c r="BC3" i="13"/>
  <c r="N3" i="13" s="1"/>
  <c r="AU3" i="13"/>
  <c r="AS3" i="13"/>
  <c r="BB4" i="13"/>
  <c r="T4" i="13"/>
  <c r="V3" i="13"/>
  <c r="AC4" i="13" a="1"/>
  <c r="BJ4" i="13" s="1"/>
  <c r="AD4" i="13" a="1"/>
  <c r="BK4" i="13" s="1"/>
  <c r="U4" i="13"/>
  <c r="R4" i="13"/>
  <c r="X3" i="13" l="1"/>
  <c r="BI4" i="13"/>
  <c r="W4" i="13"/>
  <c r="AW3" i="13"/>
  <c r="BD3" i="13"/>
  <c r="AW4" i="13"/>
  <c r="AS4" i="13"/>
  <c r="AT3" i="13"/>
  <c r="BH5" i="13"/>
  <c r="AU4" i="13"/>
  <c r="BN4" i="13"/>
  <c r="AG5" i="13" a="1"/>
  <c r="AF5" i="13" a="1"/>
  <c r="L6" i="13"/>
  <c r="BL4" i="13"/>
  <c r="BE3" i="13"/>
  <c r="AR5" i="13"/>
  <c r="AV5" i="13" s="1"/>
  <c r="BB5" i="13"/>
  <c r="T5" i="13"/>
  <c r="V4" i="13"/>
  <c r="AC5" i="13" a="1"/>
  <c r="BJ5" i="13" s="1"/>
  <c r="R5" i="13"/>
  <c r="AD5" i="13" a="1"/>
  <c r="BK5" i="13" s="1"/>
  <c r="U5" i="13"/>
  <c r="AY3" i="13"/>
  <c r="BI5" i="13" l="1"/>
  <c r="W5" i="13"/>
  <c r="AX3" i="13"/>
  <c r="BG3" i="13"/>
  <c r="AW5" i="13"/>
  <c r="AX4" i="13"/>
  <c r="AU5" i="13"/>
  <c r="BN5" i="13"/>
  <c r="AG6" i="13" a="1"/>
  <c r="AF6" i="13" a="1"/>
  <c r="L7" i="13"/>
  <c r="BL5" i="13"/>
  <c r="AR6" i="13"/>
  <c r="AV6" i="13" s="1"/>
  <c r="BH6" i="13"/>
  <c r="AS5" i="13"/>
  <c r="BA3" i="13"/>
  <c r="AZ3" i="13"/>
  <c r="BF3" i="13"/>
  <c r="BC4" i="13" s="1"/>
  <c r="BB6" i="13"/>
  <c r="T6" i="13"/>
  <c r="AD6" i="13" a="1"/>
  <c r="BK6" i="13" s="1"/>
  <c r="AC6" i="13" a="1"/>
  <c r="BJ6" i="13" s="1"/>
  <c r="R6" i="13"/>
  <c r="V5" i="13"/>
  <c r="U6" i="13"/>
  <c r="AY4" i="13"/>
  <c r="X4" i="13"/>
  <c r="X5" i="13" l="1"/>
  <c r="BI6" i="13"/>
  <c r="W6" i="13"/>
  <c r="BO3" i="13"/>
  <c r="Y3" i="13"/>
  <c r="AW6" i="13"/>
  <c r="AX5" i="13"/>
  <c r="BO4" i="13"/>
  <c r="AU6" i="13"/>
  <c r="BN6" i="13"/>
  <c r="AG7" i="13" a="1"/>
  <c r="AF7" i="13" a="1"/>
  <c r="L8" i="13"/>
  <c r="BL6" i="13"/>
  <c r="AR7" i="13"/>
  <c r="AV7" i="13" s="1"/>
  <c r="BH7" i="13"/>
  <c r="AS6" i="13"/>
  <c r="BD4" i="13"/>
  <c r="BG4" i="13" s="1"/>
  <c r="BE4" i="13"/>
  <c r="P3" i="13"/>
  <c r="AD7" i="13" a="1"/>
  <c r="BK7" i="13" s="1"/>
  <c r="R7" i="13"/>
  <c r="T7" i="13"/>
  <c r="U7" i="13" s="1"/>
  <c r="AZ4" i="13"/>
  <c r="BA4" i="13"/>
  <c r="AC7" i="13" a="1"/>
  <c r="BJ7" i="13" s="1"/>
  <c r="BB7" i="13"/>
  <c r="V6" i="13"/>
  <c r="AY6" i="13" s="1"/>
  <c r="AY5" i="13"/>
  <c r="BI7" i="13" l="1"/>
  <c r="W7" i="13"/>
  <c r="Y4" i="13"/>
  <c r="Z3" i="13"/>
  <c r="AA3" i="13" s="1" a="1"/>
  <c r="AE3" i="13" s="1"/>
  <c r="BM3" i="13" s="1"/>
  <c r="AX6" i="13"/>
  <c r="AW7" i="13"/>
  <c r="BO5" i="13"/>
  <c r="AU7" i="13"/>
  <c r="BN7" i="13"/>
  <c r="AG8" i="13" a="1"/>
  <c r="AF8" i="13" a="1"/>
  <c r="L9" i="13"/>
  <c r="BL7" i="13"/>
  <c r="AR8" i="13"/>
  <c r="AV8" i="13" s="1"/>
  <c r="BH8" i="13"/>
  <c r="BF4" i="13"/>
  <c r="BC5" i="13" s="1"/>
  <c r="BD5" i="13" s="1"/>
  <c r="BG5" i="13" s="1"/>
  <c r="AS7" i="13"/>
  <c r="V7" i="13"/>
  <c r="AY7" i="13" s="1"/>
  <c r="BB8" i="13"/>
  <c r="T8" i="13"/>
  <c r="R8" i="13"/>
  <c r="AZ5" i="13"/>
  <c r="BA5" i="13"/>
  <c r="AC8" i="13" a="1"/>
  <c r="BJ8" i="13" s="1"/>
  <c r="BA6" i="13"/>
  <c r="AD8" i="13" a="1"/>
  <c r="BK8" i="13" s="1"/>
  <c r="AZ6" i="13"/>
  <c r="U8" i="13"/>
  <c r="U9" i="13" s="1"/>
  <c r="P4" i="13"/>
  <c r="X6" i="13"/>
  <c r="N4" i="13"/>
  <c r="BI8" i="13" l="1"/>
  <c r="W8" i="13"/>
  <c r="Y5" i="13"/>
  <c r="Z4" i="13"/>
  <c r="AA4" i="13" s="1" a="1"/>
  <c r="AJ3" i="13"/>
  <c r="AL3" i="13" s="1"/>
  <c r="AH3" i="13"/>
  <c r="AM3" i="13"/>
  <c r="AB3" i="13"/>
  <c r="AX7" i="13"/>
  <c r="AW8" i="13"/>
  <c r="BN8" i="13"/>
  <c r="BO6" i="13"/>
  <c r="AG9" i="13" a="1"/>
  <c r="AF9" i="13" a="1"/>
  <c r="L10" i="13"/>
  <c r="BL8" i="13"/>
  <c r="AU8" i="13"/>
  <c r="AD9" i="13" a="1"/>
  <c r="BK9" i="13" s="1"/>
  <c r="BH9" i="13"/>
  <c r="AS8" i="13"/>
  <c r="BE5" i="13"/>
  <c r="BF5" i="13" s="1"/>
  <c r="BC6" i="13" s="1"/>
  <c r="BE6" i="13" s="1"/>
  <c r="R9" i="13"/>
  <c r="V9" i="13" s="1"/>
  <c r="AC9" i="13" a="1"/>
  <c r="BJ9" i="13" s="1"/>
  <c r="AR9" i="13"/>
  <c r="AV9" i="13" s="1"/>
  <c r="X7" i="13"/>
  <c r="BB9" i="13"/>
  <c r="T9" i="13"/>
  <c r="BA7" i="13"/>
  <c r="AZ7" i="13"/>
  <c r="V8" i="13"/>
  <c r="AY8" i="13" s="1"/>
  <c r="P5" i="13"/>
  <c r="U10" i="13"/>
  <c r="N5" i="13"/>
  <c r="BI9" i="13" l="1"/>
  <c r="W9" i="13"/>
  <c r="X9" i="13" s="1"/>
  <c r="Z5" i="13"/>
  <c r="AA5" i="13" s="1" a="1"/>
  <c r="AB4" i="13"/>
  <c r="AM4" i="13" a="1"/>
  <c r="AJ4" i="13"/>
  <c r="AL4" i="13" s="1"/>
  <c r="AI3" i="13"/>
  <c r="AW9" i="13"/>
  <c r="AX8" i="13"/>
  <c r="BN9" i="13"/>
  <c r="BO7" i="13"/>
  <c r="AG10" i="13" a="1"/>
  <c r="AF10" i="13" a="1"/>
  <c r="L11" i="13"/>
  <c r="BL9" i="13"/>
  <c r="AR10" i="13"/>
  <c r="AV10" i="13" s="1"/>
  <c r="BH10" i="13"/>
  <c r="AS9" i="13"/>
  <c r="BD6" i="13"/>
  <c r="BG6" i="13" s="1"/>
  <c r="AU9" i="13"/>
  <c r="AD10" i="13" a="1"/>
  <c r="BK10" i="13" s="1"/>
  <c r="AC10" i="13" a="1"/>
  <c r="BJ10" i="13" s="1"/>
  <c r="R10" i="13"/>
  <c r="V10" i="13" s="1"/>
  <c r="BB10" i="13"/>
  <c r="T10" i="13"/>
  <c r="AZ8" i="13"/>
  <c r="BA8" i="13"/>
  <c r="X8" i="13"/>
  <c r="AY9" i="13"/>
  <c r="BI10" i="13" l="1"/>
  <c r="W10" i="13"/>
  <c r="X10" i="13" s="1"/>
  <c r="AB5" i="13"/>
  <c r="AM5" i="13" a="1"/>
  <c r="Y6" i="13"/>
  <c r="AN3" i="13"/>
  <c r="AO3" i="13" s="1"/>
  <c r="AP3" i="13" s="1"/>
  <c r="M3" i="13" s="1"/>
  <c r="O3" i="13" s="1"/>
  <c r="AE4" i="13"/>
  <c r="AJ5" i="13"/>
  <c r="AL5" i="13" s="1"/>
  <c r="AK3" i="13"/>
  <c r="AX9" i="13"/>
  <c r="AW10" i="13"/>
  <c r="BO8" i="13"/>
  <c r="BN10" i="13"/>
  <c r="AG11" i="13" a="1"/>
  <c r="AF11" i="13" a="1"/>
  <c r="L12" i="13"/>
  <c r="BL10" i="13"/>
  <c r="AU10" i="13"/>
  <c r="AR11" i="13"/>
  <c r="AV11" i="13" s="1"/>
  <c r="BH11" i="13"/>
  <c r="AS10" i="13"/>
  <c r="BF6" i="13"/>
  <c r="BC7" i="13" s="1"/>
  <c r="BE7" i="13" s="1"/>
  <c r="T11" i="13"/>
  <c r="U11" i="13" s="1"/>
  <c r="U12" i="13" s="1"/>
  <c r="AD11" i="13" a="1"/>
  <c r="BK11" i="13" s="1"/>
  <c r="R11" i="13"/>
  <c r="BB11" i="13"/>
  <c r="AC11" i="13" a="1"/>
  <c r="BJ11" i="13" s="1"/>
  <c r="AZ9" i="13"/>
  <c r="BA9" i="13"/>
  <c r="P6" i="13"/>
  <c r="AY10" i="13"/>
  <c r="N6" i="13"/>
  <c r="BI11" i="13" l="1"/>
  <c r="W11" i="13"/>
  <c r="Z6" i="13"/>
  <c r="AA6" i="13" s="1" a="1"/>
  <c r="AH4" i="13"/>
  <c r="AI4" i="13" s="1"/>
  <c r="AE5" i="13" s="1"/>
  <c r="BM5" i="13" s="1"/>
  <c r="BM4" i="13"/>
  <c r="AX10" i="13"/>
  <c r="AW11" i="13"/>
  <c r="BO9" i="13"/>
  <c r="BN11" i="13"/>
  <c r="AG12" i="13" a="1"/>
  <c r="AF12" i="13" a="1"/>
  <c r="L13" i="13"/>
  <c r="BL11" i="13"/>
  <c r="AU11" i="13"/>
  <c r="AR12" i="13"/>
  <c r="AV12" i="13" s="1"/>
  <c r="BH12" i="13"/>
  <c r="BD7" i="13"/>
  <c r="BG7" i="13" s="1"/>
  <c r="AS11" i="13"/>
  <c r="T12" i="13"/>
  <c r="BB12" i="13"/>
  <c r="R12" i="13"/>
  <c r="V12" i="13" s="1"/>
  <c r="AD12" i="13" a="1"/>
  <c r="BK12" i="13" s="1"/>
  <c r="AC12" i="13" a="1"/>
  <c r="BJ12" i="13" s="1"/>
  <c r="V11" i="13"/>
  <c r="AZ10" i="13"/>
  <c r="BA10" i="13"/>
  <c r="U13" i="13"/>
  <c r="N7" i="13"/>
  <c r="X11" i="13" l="1"/>
  <c r="BI12" i="13"/>
  <c r="W12" i="13"/>
  <c r="X12" i="13" s="1"/>
  <c r="AM6" i="13" a="1"/>
  <c r="AB6" i="13"/>
  <c r="AJ6" i="13"/>
  <c r="AL6" i="13" s="1"/>
  <c r="Y7" i="13"/>
  <c r="AN4" i="13"/>
  <c r="AO4" i="13" s="1"/>
  <c r="AP4" i="13" s="1"/>
  <c r="AK4" i="13"/>
  <c r="AW12" i="13"/>
  <c r="AX11" i="13"/>
  <c r="BN12" i="13"/>
  <c r="BO10" i="13"/>
  <c r="AG13" i="13" a="1"/>
  <c r="AF13" i="13" a="1"/>
  <c r="L14" i="13"/>
  <c r="BL12" i="13"/>
  <c r="AH5" i="13"/>
  <c r="AU12" i="13"/>
  <c r="AR13" i="13"/>
  <c r="AV13" i="13" s="1"/>
  <c r="BH13" i="13"/>
  <c r="BF7" i="13"/>
  <c r="BC8" i="13" s="1"/>
  <c r="N8" i="13" s="1"/>
  <c r="AS12" i="13"/>
  <c r="AD13" i="13" a="1"/>
  <c r="BK13" i="13" s="1"/>
  <c r="AC13" i="13" a="1"/>
  <c r="BJ13" i="13" s="1"/>
  <c r="T13" i="13"/>
  <c r="BB13" i="13"/>
  <c r="R13" i="13"/>
  <c r="V13" i="13" s="1"/>
  <c r="AY11" i="13"/>
  <c r="P7" i="13"/>
  <c r="U14" i="13"/>
  <c r="AY12" i="13"/>
  <c r="BI13" i="13" l="1"/>
  <c r="W13" i="13"/>
  <c r="X13" i="13" s="1"/>
  <c r="Z7" i="13"/>
  <c r="AA7" i="13" s="1" a="1"/>
  <c r="M4" i="13"/>
  <c r="O4" i="13" s="1"/>
  <c r="AW13" i="13"/>
  <c r="AX12" i="13"/>
  <c r="BN13" i="13"/>
  <c r="BO11" i="13"/>
  <c r="AZ11" i="13"/>
  <c r="AG14" i="13" a="1"/>
  <c r="AF14" i="13" a="1"/>
  <c r="L15" i="13"/>
  <c r="BL13" i="13"/>
  <c r="AI5" i="13"/>
  <c r="AE6" i="13" s="1"/>
  <c r="BM6" i="13" s="1"/>
  <c r="AU13" i="13"/>
  <c r="AR14" i="13"/>
  <c r="AV14" i="13" s="1"/>
  <c r="BH14" i="13"/>
  <c r="BD8" i="13"/>
  <c r="BG8" i="13" s="1"/>
  <c r="Y8" i="13" s="1"/>
  <c r="BE8" i="13"/>
  <c r="AS13" i="13"/>
  <c r="AC14" i="13" a="1"/>
  <c r="BJ14" i="13" s="1"/>
  <c r="T14" i="13"/>
  <c r="BB14" i="13"/>
  <c r="R14" i="13"/>
  <c r="V14" i="13" s="1"/>
  <c r="AD14" i="13" a="1"/>
  <c r="BK14" i="13" s="1"/>
  <c r="BA11" i="13"/>
  <c r="AZ12" i="13"/>
  <c r="BA12" i="13"/>
  <c r="AY13" i="13"/>
  <c r="BI14" i="13" l="1"/>
  <c r="W14" i="13"/>
  <c r="X14" i="13" s="1"/>
  <c r="AB7" i="13"/>
  <c r="AJ7" i="13"/>
  <c r="AL7" i="13" s="1"/>
  <c r="AM7" i="13" a="1"/>
  <c r="AX13" i="13"/>
  <c r="AW14" i="13"/>
  <c r="BO12" i="13"/>
  <c r="BN14" i="13"/>
  <c r="AG15" i="13" a="1"/>
  <c r="AF15" i="13" a="1"/>
  <c r="L16" i="13"/>
  <c r="BL14" i="13"/>
  <c r="AN5" i="13"/>
  <c r="AO5" i="13" s="1"/>
  <c r="AP5" i="13" s="1"/>
  <c r="Z8" i="13"/>
  <c r="AA8" i="13" s="1" a="1"/>
  <c r="AK5" i="13"/>
  <c r="AU14" i="13"/>
  <c r="AR15" i="13"/>
  <c r="AV15" i="13" s="1"/>
  <c r="BH15" i="13"/>
  <c r="BF8" i="13"/>
  <c r="BC9" i="13" s="1"/>
  <c r="BE9" i="13" s="1"/>
  <c r="AS14" i="13"/>
  <c r="T15" i="13"/>
  <c r="U15" i="13" s="1"/>
  <c r="U16" i="13" s="1"/>
  <c r="BB15" i="13"/>
  <c r="R15" i="13"/>
  <c r="AC15" i="13" a="1"/>
  <c r="BJ15" i="13" s="1"/>
  <c r="AD15" i="13" a="1"/>
  <c r="BK15" i="13" s="1"/>
  <c r="AZ13" i="13"/>
  <c r="BA13" i="13"/>
  <c r="P8" i="13"/>
  <c r="AY14" i="13"/>
  <c r="BI15" i="13" l="1"/>
  <c r="W15" i="13"/>
  <c r="AW15" i="13"/>
  <c r="AX14" i="13"/>
  <c r="BN15" i="13"/>
  <c r="BO13" i="13"/>
  <c r="AG16" i="13" a="1"/>
  <c r="AF16" i="13" a="1"/>
  <c r="L17" i="13"/>
  <c r="BL15" i="13"/>
  <c r="AJ8" i="13"/>
  <c r="AL8" i="13" s="1"/>
  <c r="M5" i="13"/>
  <c r="O5" i="13" s="1"/>
  <c r="AH6" i="13"/>
  <c r="AM8" i="13" a="1"/>
  <c r="AB8" i="13"/>
  <c r="AU15" i="13"/>
  <c r="AR16" i="13"/>
  <c r="AV16" i="13" s="1"/>
  <c r="BH16" i="13"/>
  <c r="BD9" i="13"/>
  <c r="BG9" i="13" s="1"/>
  <c r="Y9" i="13" s="1"/>
  <c r="AS15" i="13"/>
  <c r="V15" i="13"/>
  <c r="AC16" i="13" a="1"/>
  <c r="BJ16" i="13" s="1"/>
  <c r="T16" i="13"/>
  <c r="AD16" i="13" a="1"/>
  <c r="BK16" i="13" s="1"/>
  <c r="R16" i="13"/>
  <c r="V16" i="13" s="1"/>
  <c r="BB16" i="13"/>
  <c r="AZ14" i="13"/>
  <c r="BA14" i="13"/>
  <c r="U17" i="13"/>
  <c r="N9" i="13"/>
  <c r="X15" i="13" l="1"/>
  <c r="BI16" i="13"/>
  <c r="W16" i="13"/>
  <c r="X16" i="13" s="1"/>
  <c r="AX15" i="13"/>
  <c r="AW16" i="13"/>
  <c r="BN16" i="13"/>
  <c r="BO14" i="13"/>
  <c r="AG17" i="13" a="1"/>
  <c r="AF17" i="13" a="1"/>
  <c r="L18" i="13"/>
  <c r="BL16" i="13"/>
  <c r="Z9" i="13"/>
  <c r="AA9" i="13" s="1" a="1"/>
  <c r="AI6" i="13"/>
  <c r="AE7" i="13" s="1"/>
  <c r="BM7" i="13" s="1"/>
  <c r="AU16" i="13"/>
  <c r="AR17" i="13"/>
  <c r="AV17" i="13" s="1"/>
  <c r="BH17" i="13"/>
  <c r="BF9" i="13"/>
  <c r="BC10" i="13" s="1"/>
  <c r="BD10" i="13" s="1"/>
  <c r="BG10" i="13" s="1"/>
  <c r="Y10" i="13" s="1"/>
  <c r="AY15" i="13"/>
  <c r="AS16" i="13"/>
  <c r="AC17" i="13" a="1"/>
  <c r="BJ17" i="13" s="1"/>
  <c r="T17" i="13"/>
  <c r="R17" i="13"/>
  <c r="V17" i="13" s="1"/>
  <c r="BB17" i="13"/>
  <c r="AD17" i="13" a="1"/>
  <c r="BK17" i="13" s="1"/>
  <c r="P9" i="13"/>
  <c r="U18" i="13"/>
  <c r="AY16" i="13"/>
  <c r="BI17" i="13" l="1"/>
  <c r="W17" i="13"/>
  <c r="X17" i="13" s="1"/>
  <c r="AX16" i="13"/>
  <c r="AW17" i="13"/>
  <c r="BN17" i="13"/>
  <c r="BO15" i="13"/>
  <c r="AZ15" i="13"/>
  <c r="AG18" i="13" a="1"/>
  <c r="AF18" i="13" a="1"/>
  <c r="L19" i="13"/>
  <c r="BL17" i="13"/>
  <c r="AK6" i="13"/>
  <c r="AN6" i="13"/>
  <c r="AO6" i="13" s="1"/>
  <c r="AP6" i="13" s="1"/>
  <c r="AM9" i="13" a="1"/>
  <c r="AB9" i="13"/>
  <c r="AJ9" i="13"/>
  <c r="AL9" i="13" s="1"/>
  <c r="AU17" i="13"/>
  <c r="BH18" i="13"/>
  <c r="BE10" i="13"/>
  <c r="BF10" i="13" s="1"/>
  <c r="BC11" i="13" s="1"/>
  <c r="BA15" i="13"/>
  <c r="AS17" i="13"/>
  <c r="Z10" i="13"/>
  <c r="AA10" i="13" s="1" a="1"/>
  <c r="BB18" i="13"/>
  <c r="T18" i="13"/>
  <c r="AR18" i="13"/>
  <c r="AV18" i="13" s="1"/>
  <c r="R18" i="13"/>
  <c r="V18" i="13" s="1"/>
  <c r="AY18" i="13" s="1"/>
  <c r="AD18" i="13" a="1"/>
  <c r="BK18" i="13" s="1"/>
  <c r="AC18" i="13" a="1"/>
  <c r="BJ18" i="13" s="1"/>
  <c r="AZ16" i="13"/>
  <c r="BA16" i="13"/>
  <c r="AY17" i="13"/>
  <c r="N10" i="13"/>
  <c r="BI18" i="13" l="1"/>
  <c r="W18" i="13"/>
  <c r="X18" i="13" s="1"/>
  <c r="AW18" i="13"/>
  <c r="AX17" i="13"/>
  <c r="BN18" i="13"/>
  <c r="BO16" i="13"/>
  <c r="BL18" i="13"/>
  <c r="AG19" i="13" a="1"/>
  <c r="AF19" i="13" a="1"/>
  <c r="L20" i="13"/>
  <c r="AH7" i="13"/>
  <c r="M6" i="13"/>
  <c r="O6" i="13" s="1"/>
  <c r="AM10" i="13" a="1"/>
  <c r="AB10" i="13"/>
  <c r="AJ10" i="13"/>
  <c r="AL10" i="13" s="1"/>
  <c r="AD19" i="13" a="1"/>
  <c r="BK19" i="13" s="1"/>
  <c r="BH19" i="13"/>
  <c r="AS18" i="13"/>
  <c r="BE11" i="13"/>
  <c r="BD11" i="13"/>
  <c r="BG11" i="13" s="1"/>
  <c r="Y11" i="13" s="1"/>
  <c r="AC19" i="13" a="1"/>
  <c r="BJ19" i="13" s="1"/>
  <c r="BB19" i="13"/>
  <c r="T19" i="13"/>
  <c r="U19" i="13" s="1"/>
  <c r="U20" i="13" s="1"/>
  <c r="AR19" i="13"/>
  <c r="AV19" i="13" s="1"/>
  <c r="AU18" i="13"/>
  <c r="R19" i="13"/>
  <c r="AZ17" i="13"/>
  <c r="BA17" i="13"/>
  <c r="P10" i="13"/>
  <c r="BI19" i="13" l="1"/>
  <c r="W19" i="13"/>
  <c r="AW19" i="13"/>
  <c r="AX18" i="13"/>
  <c r="BO17" i="13"/>
  <c r="AU19" i="13"/>
  <c r="BN19" i="13"/>
  <c r="AG20" i="13" a="1"/>
  <c r="AF20" i="13" a="1"/>
  <c r="L21" i="13"/>
  <c r="BH21" i="13" s="1"/>
  <c r="BL19" i="13"/>
  <c r="AI7" i="13"/>
  <c r="AE8" i="13" s="1"/>
  <c r="BM8" i="13" s="1"/>
  <c r="AR20" i="13"/>
  <c r="AV20" i="13" s="1"/>
  <c r="BH20" i="13"/>
  <c r="AS19" i="13"/>
  <c r="Z11" i="13"/>
  <c r="AA11" i="13" s="1" a="1"/>
  <c r="V19" i="13"/>
  <c r="AC20" i="13" a="1"/>
  <c r="BJ20" i="13" s="1"/>
  <c r="AD20" i="13" a="1"/>
  <c r="BK20" i="13" s="1"/>
  <c r="T20" i="13"/>
  <c r="R20" i="13"/>
  <c r="V20" i="13" s="1"/>
  <c r="BB20" i="13"/>
  <c r="AZ18" i="13"/>
  <c r="BA18" i="13"/>
  <c r="BF11" i="13"/>
  <c r="BC12" i="13" s="1"/>
  <c r="U21" i="13"/>
  <c r="N11" i="13"/>
  <c r="X19" i="13" l="1"/>
  <c r="BI21" i="13"/>
  <c r="W21" i="13"/>
  <c r="BI20" i="13"/>
  <c r="W20" i="13"/>
  <c r="X20" i="13" s="1"/>
  <c r="AX19" i="13"/>
  <c r="AW20" i="13"/>
  <c r="BO18" i="13"/>
  <c r="BN20" i="13"/>
  <c r="AG21" i="13" a="1"/>
  <c r="AF21" i="13" a="1"/>
  <c r="L22" i="13"/>
  <c r="BL20" i="13"/>
  <c r="AK7" i="13"/>
  <c r="AN7" i="13"/>
  <c r="AO7" i="13" s="1"/>
  <c r="AP7" i="13" s="1"/>
  <c r="AM11" i="13" a="1"/>
  <c r="AB11" i="13"/>
  <c r="AJ11" i="13"/>
  <c r="AL11" i="13" s="1"/>
  <c r="AU20" i="13"/>
  <c r="AR21" i="13"/>
  <c r="AV21" i="13" s="1"/>
  <c r="BB21" i="13"/>
  <c r="AS20" i="13"/>
  <c r="AY19" i="13"/>
  <c r="BE12" i="13"/>
  <c r="BD12" i="13"/>
  <c r="BG12" i="13" s="1"/>
  <c r="T21" i="13"/>
  <c r="R21" i="13"/>
  <c r="V21" i="13" s="1"/>
  <c r="AD21" i="13" a="1"/>
  <c r="BK21" i="13" s="1"/>
  <c r="AC21" i="13" a="1"/>
  <c r="BJ21" i="13" s="1"/>
  <c r="P11" i="13"/>
  <c r="U22" i="13"/>
  <c r="AY20" i="13"/>
  <c r="AX20" i="13" l="1"/>
  <c r="AW21" i="13"/>
  <c r="BN21" i="13"/>
  <c r="BO19" i="13"/>
  <c r="AZ19" i="13"/>
  <c r="AG22" i="13" a="1"/>
  <c r="AF22" i="13" a="1"/>
  <c r="L23" i="13"/>
  <c r="BL21" i="13"/>
  <c r="AH8" i="13"/>
  <c r="M7" i="13"/>
  <c r="O7" i="13" s="1"/>
  <c r="AR22" i="13"/>
  <c r="AV22" i="13" s="1"/>
  <c r="BH22" i="13"/>
  <c r="AU21" i="13"/>
  <c r="AS21" i="13"/>
  <c r="BA19" i="13"/>
  <c r="T22" i="13"/>
  <c r="BB22" i="13"/>
  <c r="R22" i="13"/>
  <c r="V22" i="13" s="1"/>
  <c r="AD22" i="13" a="1"/>
  <c r="BK22" i="13" s="1"/>
  <c r="AC22" i="13" a="1"/>
  <c r="BJ22" i="13" s="1"/>
  <c r="BF12" i="13"/>
  <c r="BC13" i="13" s="1"/>
  <c r="Y12" i="13"/>
  <c r="AZ20" i="13"/>
  <c r="BA20" i="13"/>
  <c r="AY21" i="13"/>
  <c r="X21" i="13"/>
  <c r="N12" i="13"/>
  <c r="BI22" i="13" l="1"/>
  <c r="W22" i="13"/>
  <c r="X22" i="13" s="1"/>
  <c r="AW22" i="13"/>
  <c r="AX21" i="13"/>
  <c r="BN22" i="13"/>
  <c r="BO20" i="13"/>
  <c r="AG23" i="13" a="1"/>
  <c r="AF23" i="13" a="1"/>
  <c r="L24" i="13"/>
  <c r="BL22" i="13"/>
  <c r="AI8" i="13"/>
  <c r="AE9" i="13" s="1"/>
  <c r="BM9" i="13" s="1"/>
  <c r="AU22" i="13"/>
  <c r="AR23" i="13"/>
  <c r="AV23" i="13" s="1"/>
  <c r="BH23" i="13"/>
  <c r="AS22" i="13"/>
  <c r="BE13" i="13"/>
  <c r="BD13" i="13"/>
  <c r="BG13" i="13" s="1"/>
  <c r="Y13" i="13" s="1"/>
  <c r="Z12" i="13"/>
  <c r="AA12" i="13" s="1" a="1"/>
  <c r="AD23" i="13" a="1"/>
  <c r="BK23" i="13" s="1"/>
  <c r="T23" i="13"/>
  <c r="U23" i="13" s="1"/>
  <c r="U24" i="13" s="1"/>
  <c r="BB23" i="13"/>
  <c r="R23" i="13"/>
  <c r="AC23" i="13" a="1"/>
  <c r="BJ23" i="13" s="1"/>
  <c r="AZ21" i="13"/>
  <c r="BA21" i="13"/>
  <c r="P12" i="13"/>
  <c r="AY22" i="13"/>
  <c r="BI23" i="13" l="1"/>
  <c r="W23" i="13"/>
  <c r="AX22" i="13"/>
  <c r="AW23" i="13"/>
  <c r="BN23" i="13"/>
  <c r="BO21" i="13"/>
  <c r="AG24" i="13" a="1"/>
  <c r="AF24" i="13" a="1"/>
  <c r="L25" i="13"/>
  <c r="BL23" i="13"/>
  <c r="AK8" i="13"/>
  <c r="AN8" i="13"/>
  <c r="AO8" i="13" s="1"/>
  <c r="AP8" i="13" s="1"/>
  <c r="AM12" i="13" a="1"/>
  <c r="AB12" i="13"/>
  <c r="AJ12" i="13"/>
  <c r="AL12" i="13" s="1"/>
  <c r="AU23" i="13"/>
  <c r="AR24" i="13"/>
  <c r="AV24" i="13" s="1"/>
  <c r="BH24" i="13"/>
  <c r="AS23" i="13"/>
  <c r="Z13" i="13"/>
  <c r="AA13" i="13" s="1" a="1"/>
  <c r="V23" i="13"/>
  <c r="T24" i="13"/>
  <c r="BB24" i="13"/>
  <c r="R24" i="13"/>
  <c r="V24" i="13" s="1"/>
  <c r="AC24" i="13" a="1"/>
  <c r="BJ24" i="13" s="1"/>
  <c r="AD24" i="13" a="1"/>
  <c r="BK24" i="13" s="1"/>
  <c r="BF13" i="13"/>
  <c r="BC14" i="13" s="1"/>
  <c r="BD14" i="13" s="1"/>
  <c r="BG14" i="13" s="1"/>
  <c r="AZ22" i="13"/>
  <c r="BA22" i="13"/>
  <c r="P13" i="13"/>
  <c r="U25" i="13"/>
  <c r="N13" i="13"/>
  <c r="X23" i="13" l="1"/>
  <c r="BI24" i="13"/>
  <c r="W24" i="13"/>
  <c r="AX23" i="13"/>
  <c r="AW24" i="13"/>
  <c r="BO22" i="13"/>
  <c r="BN24" i="13"/>
  <c r="AG25" i="13" a="1"/>
  <c r="AF25" i="13" a="1"/>
  <c r="L26" i="13"/>
  <c r="BL24" i="13"/>
  <c r="M8" i="13"/>
  <c r="O8" i="13" s="1"/>
  <c r="AM13" i="13" a="1"/>
  <c r="AJ13" i="13"/>
  <c r="AL13" i="13" s="1"/>
  <c r="AB13" i="13"/>
  <c r="AU24" i="13"/>
  <c r="AR25" i="13"/>
  <c r="AV25" i="13" s="1"/>
  <c r="BH25" i="13"/>
  <c r="AS24" i="13"/>
  <c r="BE14" i="13"/>
  <c r="Y14" i="13"/>
  <c r="AY23" i="13"/>
  <c r="T25" i="13"/>
  <c r="BB25" i="13"/>
  <c r="R25" i="13"/>
  <c r="V25" i="13" s="1"/>
  <c r="AD25" i="13" a="1"/>
  <c r="BK25" i="13" s="1"/>
  <c r="AC25" i="13" a="1"/>
  <c r="BJ25" i="13" s="1"/>
  <c r="U26" i="13"/>
  <c r="AY24" i="13"/>
  <c r="X24" i="13"/>
  <c r="BI25" i="13" l="1"/>
  <c r="W25" i="13"/>
  <c r="X25" i="13" s="1"/>
  <c r="AX24" i="13"/>
  <c r="AW25" i="13"/>
  <c r="BN25" i="13"/>
  <c r="BO23" i="13"/>
  <c r="AF26" i="13" a="1"/>
  <c r="AG26" i="13" a="1"/>
  <c r="L27" i="13"/>
  <c r="BH27" i="13" s="1"/>
  <c r="BL25" i="13"/>
  <c r="AH9" i="13"/>
  <c r="AI9" i="13" s="1"/>
  <c r="AE10" i="13" s="1"/>
  <c r="BM10" i="13" s="1"/>
  <c r="AU25" i="13"/>
  <c r="AR26" i="13"/>
  <c r="AV26" i="13" s="1"/>
  <c r="BH26" i="13"/>
  <c r="AZ23" i="13"/>
  <c r="BA23" i="13"/>
  <c r="AS25" i="13"/>
  <c r="Z14" i="13"/>
  <c r="AA14" i="13" s="1" a="1"/>
  <c r="R26" i="13"/>
  <c r="V26" i="13" s="1"/>
  <c r="AC26" i="13" a="1"/>
  <c r="BJ26" i="13" s="1"/>
  <c r="T26" i="13"/>
  <c r="BB26" i="13"/>
  <c r="AD26" i="13" a="1"/>
  <c r="BK26" i="13" s="1"/>
  <c r="BF14" i="13"/>
  <c r="BC15" i="13" s="1"/>
  <c r="AZ24" i="13"/>
  <c r="BA24" i="13"/>
  <c r="P14" i="13"/>
  <c r="AY25" i="13"/>
  <c r="N14" i="13"/>
  <c r="BI27" i="13" l="1"/>
  <c r="W27" i="13"/>
  <c r="BI26" i="13"/>
  <c r="W26" i="13"/>
  <c r="X26" i="13" s="1"/>
  <c r="AX25" i="13"/>
  <c r="AW26" i="13"/>
  <c r="BO24" i="13"/>
  <c r="BN26" i="13"/>
  <c r="AG27" i="13" a="1"/>
  <c r="AF27" i="13" a="1"/>
  <c r="L28" i="13"/>
  <c r="BL26" i="13"/>
  <c r="AN9" i="13"/>
  <c r="AO9" i="13" s="1"/>
  <c r="AP9" i="13" s="1"/>
  <c r="AK9" i="13"/>
  <c r="AM14" i="13" a="1"/>
  <c r="AB14" i="13"/>
  <c r="AJ14" i="13"/>
  <c r="AL14" i="13" s="1"/>
  <c r="AU26" i="13"/>
  <c r="AR27" i="13"/>
  <c r="AV27" i="13" s="1"/>
  <c r="T27" i="13"/>
  <c r="BB27" i="13"/>
  <c r="AS26" i="13"/>
  <c r="R27" i="13"/>
  <c r="BE15" i="13"/>
  <c r="BD15" i="13"/>
  <c r="BG15" i="13" s="1"/>
  <c r="Y15" i="13" s="1"/>
  <c r="AC27" i="13" a="1"/>
  <c r="BJ27" i="13" s="1"/>
  <c r="AD27" i="13" a="1"/>
  <c r="BK27" i="13" s="1"/>
  <c r="AZ25" i="13"/>
  <c r="BA25" i="13"/>
  <c r="AY26" i="13"/>
  <c r="AW27" i="13" l="1"/>
  <c r="AX26" i="13"/>
  <c r="BN27" i="13"/>
  <c r="BO25" i="13"/>
  <c r="AF28" i="13" a="1"/>
  <c r="AG28" i="13" a="1"/>
  <c r="L29" i="13"/>
  <c r="BL27" i="13"/>
  <c r="M9" i="13"/>
  <c r="O9" i="13" s="1"/>
  <c r="AR28" i="13"/>
  <c r="AV28" i="13" s="1"/>
  <c r="BH28" i="13"/>
  <c r="AU27" i="13"/>
  <c r="AS27" i="13"/>
  <c r="AD28" i="13" a="1"/>
  <c r="BK28" i="13" s="1"/>
  <c r="AC28" i="13" a="1"/>
  <c r="BJ28" i="13" s="1"/>
  <c r="T28" i="13"/>
  <c r="BB28" i="13"/>
  <c r="R28" i="13"/>
  <c r="P15" i="13"/>
  <c r="BF15" i="13"/>
  <c r="BC16" i="13" s="1"/>
  <c r="AZ26" i="13"/>
  <c r="BA26" i="13"/>
  <c r="N15" i="13"/>
  <c r="BI28" i="13" l="1"/>
  <c r="W28" i="13"/>
  <c r="AW28" i="13"/>
  <c r="AX27" i="13"/>
  <c r="BN28" i="13"/>
  <c r="BO26" i="13"/>
  <c r="AF29" i="13" a="1"/>
  <c r="AG29" i="13" a="1"/>
  <c r="L30" i="13"/>
  <c r="BL28" i="13"/>
  <c r="AH10" i="13"/>
  <c r="AI10" i="13" s="1"/>
  <c r="AE11" i="13" s="1"/>
  <c r="BM11" i="13" s="1"/>
  <c r="AU28" i="13"/>
  <c r="AR29" i="13"/>
  <c r="AV29" i="13" s="1"/>
  <c r="BH29" i="13"/>
  <c r="AS28" i="13"/>
  <c r="T29" i="13"/>
  <c r="BB29" i="13"/>
  <c r="AC29" i="13" a="1"/>
  <c r="BJ29" i="13" s="1"/>
  <c r="R29" i="13"/>
  <c r="AD29" i="13" a="1"/>
  <c r="BK29" i="13" s="1"/>
  <c r="BE16" i="13"/>
  <c r="BD16" i="13"/>
  <c r="BG16" i="13" s="1"/>
  <c r="Y16" i="13" s="1"/>
  <c r="Z15" i="13"/>
  <c r="AA15" i="13" s="1" a="1"/>
  <c r="BI29" i="13" l="1"/>
  <c r="W29" i="13"/>
  <c r="AW29" i="13"/>
  <c r="AX28" i="13"/>
  <c r="BN29" i="13"/>
  <c r="BO27" i="13"/>
  <c r="AF30" i="13" a="1"/>
  <c r="AG30" i="13" a="1"/>
  <c r="L31" i="13"/>
  <c r="BL29" i="13"/>
  <c r="AK10" i="13"/>
  <c r="AN10" i="13"/>
  <c r="AO10" i="13" s="1"/>
  <c r="AP10" i="13" s="1"/>
  <c r="AM15" i="13" a="1"/>
  <c r="AB15" i="13"/>
  <c r="AJ15" i="13"/>
  <c r="AL15" i="13" s="1"/>
  <c r="AU29" i="13"/>
  <c r="AR30" i="13"/>
  <c r="AV30" i="13" s="1"/>
  <c r="BH30" i="13"/>
  <c r="AS29" i="13"/>
  <c r="AC30" i="13" a="1"/>
  <c r="BJ30" i="13" s="1"/>
  <c r="BB30" i="13"/>
  <c r="AD30" i="13" a="1"/>
  <c r="BK30" i="13" s="1"/>
  <c r="T30" i="13"/>
  <c r="R30" i="13"/>
  <c r="Z16" i="13"/>
  <c r="AA16" i="13" s="1" a="1"/>
  <c r="BF16" i="13"/>
  <c r="BC17" i="13" s="1"/>
  <c r="P16" i="13"/>
  <c r="N16" i="13"/>
  <c r="BI30" i="13" l="1"/>
  <c r="W30" i="13"/>
  <c r="AX29" i="13"/>
  <c r="AW30" i="13"/>
  <c r="BN30" i="13"/>
  <c r="BO28" i="13"/>
  <c r="AG31" i="13" a="1"/>
  <c r="AF31" i="13" a="1"/>
  <c r="L32" i="13"/>
  <c r="BL30" i="13"/>
  <c r="M10" i="13"/>
  <c r="O10" i="13" s="1"/>
  <c r="AM16" i="13" a="1"/>
  <c r="AJ16" i="13"/>
  <c r="AL16" i="13" s="1"/>
  <c r="AB16" i="13"/>
  <c r="AU30" i="13"/>
  <c r="AR31" i="13"/>
  <c r="AV31" i="13" s="1"/>
  <c r="BH31" i="13"/>
  <c r="R31" i="13"/>
  <c r="AS30" i="13"/>
  <c r="AD31" i="13" a="1"/>
  <c r="BK31" i="13" s="1"/>
  <c r="T31" i="13"/>
  <c r="U31" i="13" s="1"/>
  <c r="U32" i="13" s="1"/>
  <c r="AC31" i="13" a="1"/>
  <c r="BJ31" i="13" s="1"/>
  <c r="BB31" i="13"/>
  <c r="BE17" i="13"/>
  <c r="BD17" i="13"/>
  <c r="BG17" i="13" s="1"/>
  <c r="BI31" i="13" l="1"/>
  <c r="W31" i="13"/>
  <c r="AW31" i="13"/>
  <c r="AX30" i="13"/>
  <c r="BO29" i="13"/>
  <c r="BN31" i="13"/>
  <c r="AF32" i="13" a="1"/>
  <c r="AG32" i="13" a="1"/>
  <c r="L33" i="13"/>
  <c r="BL31" i="13"/>
  <c r="AH11" i="13"/>
  <c r="AI11" i="13" s="1"/>
  <c r="AE12" i="13" s="1"/>
  <c r="BM12" i="13" s="1"/>
  <c r="AU31" i="13"/>
  <c r="AR32" i="13"/>
  <c r="AV32" i="13" s="1"/>
  <c r="BH32" i="13"/>
  <c r="AS31" i="13"/>
  <c r="R32" i="13"/>
  <c r="V32" i="13" s="1"/>
  <c r="AD32" i="13" a="1"/>
  <c r="BK32" i="13" s="1"/>
  <c r="AC32" i="13" a="1"/>
  <c r="BJ32" i="13" s="1"/>
  <c r="T32" i="13"/>
  <c r="BB32" i="13"/>
  <c r="V31" i="13"/>
  <c r="AY31" i="13" s="1"/>
  <c r="BF17" i="13"/>
  <c r="BC18" i="13" s="1"/>
  <c r="BE18" i="13" s="1"/>
  <c r="Y17" i="13"/>
  <c r="U33" i="13"/>
  <c r="N17" i="13"/>
  <c r="BI32" i="13" l="1"/>
  <c r="W32" i="13"/>
  <c r="X32" i="13" s="1"/>
  <c r="AX31" i="13"/>
  <c r="AW32" i="13"/>
  <c r="BN32" i="13"/>
  <c r="BO30" i="13"/>
  <c r="AG33" i="13" a="1"/>
  <c r="AF33" i="13" a="1"/>
  <c r="L34" i="13"/>
  <c r="BH34" i="13" s="1"/>
  <c r="BL32" i="13"/>
  <c r="AK11" i="13"/>
  <c r="AN11" i="13"/>
  <c r="AO11" i="13" s="1"/>
  <c r="AP11" i="13" s="1"/>
  <c r="AU32" i="13"/>
  <c r="AR33" i="13"/>
  <c r="AV33" i="13" s="1"/>
  <c r="BH33" i="13"/>
  <c r="AS32" i="13"/>
  <c r="AD33" i="13" a="1"/>
  <c r="BK33" i="13" s="1"/>
  <c r="R33" i="13"/>
  <c r="V33" i="13" s="1"/>
  <c r="AC33" i="13" a="1"/>
  <c r="BJ33" i="13" s="1"/>
  <c r="T33" i="13"/>
  <c r="BB33" i="13"/>
  <c r="X31" i="13"/>
  <c r="BD18" i="13"/>
  <c r="BG18" i="13" s="1"/>
  <c r="Y18" i="13" s="1"/>
  <c r="P17" i="13"/>
  <c r="AZ31" i="13"/>
  <c r="BA31" i="13"/>
  <c r="U34" i="13"/>
  <c r="AY32" i="13"/>
  <c r="BI34" i="13" l="1"/>
  <c r="W34" i="13"/>
  <c r="BI33" i="13"/>
  <c r="W33" i="13"/>
  <c r="X33" i="13" s="1"/>
  <c r="AW33" i="13"/>
  <c r="AX32" i="13"/>
  <c r="BO31" i="13"/>
  <c r="BN33" i="13"/>
  <c r="AG34" i="13" a="1"/>
  <c r="AF34" i="13" a="1"/>
  <c r="L35" i="13"/>
  <c r="BL33" i="13"/>
  <c r="M11" i="13"/>
  <c r="O11" i="13" s="1"/>
  <c r="Z18" i="13"/>
  <c r="AA18" i="13" s="1" a="1"/>
  <c r="AU33" i="13"/>
  <c r="AR34" i="13"/>
  <c r="AV34" i="13" s="1"/>
  <c r="BB34" i="13"/>
  <c r="T34" i="13"/>
  <c r="AS33" i="13"/>
  <c r="R34" i="13"/>
  <c r="V34" i="13" s="1"/>
  <c r="AC34" i="13" a="1"/>
  <c r="BJ34" i="13" s="1"/>
  <c r="AD34" i="13" a="1"/>
  <c r="BK34" i="13" s="1"/>
  <c r="P18" i="13"/>
  <c r="BF18" i="13"/>
  <c r="BC19" i="13" s="1"/>
  <c r="BD19" i="13" s="1"/>
  <c r="BG19" i="13" s="1"/>
  <c r="Y19" i="13" s="1"/>
  <c r="Z17" i="13"/>
  <c r="AA17" i="13" s="1" a="1"/>
  <c r="AZ32" i="13"/>
  <c r="BA32" i="13"/>
  <c r="AY33" i="13"/>
  <c r="N18" i="13"/>
  <c r="AX33" i="13" l="1"/>
  <c r="AW34" i="13"/>
  <c r="BO32" i="13"/>
  <c r="BN34" i="13"/>
  <c r="AF35" i="13" a="1"/>
  <c r="AG35" i="13" a="1"/>
  <c r="L36" i="13"/>
  <c r="BH36" i="13" s="1"/>
  <c r="BL34" i="13"/>
  <c r="AH12" i="13"/>
  <c r="AI12" i="13" s="1"/>
  <c r="AE13" i="13" s="1"/>
  <c r="BM13" i="13" s="1"/>
  <c r="AB18" i="13"/>
  <c r="AM18" i="13" a="1"/>
  <c r="AM17" i="13" a="1"/>
  <c r="AB17" i="13"/>
  <c r="AJ17" i="13"/>
  <c r="AC35" i="13" a="1"/>
  <c r="BJ35" i="13" s="1"/>
  <c r="BH35" i="13"/>
  <c r="AU34" i="13"/>
  <c r="AR35" i="13"/>
  <c r="AV35" i="13" s="1"/>
  <c r="T35" i="13"/>
  <c r="U35" i="13" s="1"/>
  <c r="U36" i="13" s="1"/>
  <c r="BB35" i="13"/>
  <c r="R35" i="13"/>
  <c r="AD35" i="13" a="1"/>
  <c r="BK35" i="13" s="1"/>
  <c r="AS34" i="13"/>
  <c r="BE19" i="13"/>
  <c r="BF19" i="13" s="1"/>
  <c r="BC20" i="13" s="1"/>
  <c r="Z19" i="13"/>
  <c r="AA19" i="13" s="1" a="1"/>
  <c r="AZ33" i="13"/>
  <c r="BA33" i="13"/>
  <c r="P19" i="13"/>
  <c r="AY34" i="13"/>
  <c r="X34" i="13"/>
  <c r="BI36" i="13" l="1"/>
  <c r="W36" i="13"/>
  <c r="BI35" i="13"/>
  <c r="W35" i="13"/>
  <c r="AW35" i="13"/>
  <c r="AX34" i="13"/>
  <c r="BO33" i="13"/>
  <c r="BN35" i="13"/>
  <c r="AF36" i="13" a="1"/>
  <c r="AG36" i="13" a="1"/>
  <c r="L37" i="13"/>
  <c r="BL35" i="13"/>
  <c r="AK12" i="13"/>
  <c r="AN12" i="13"/>
  <c r="AO12" i="13" s="1"/>
  <c r="AP12" i="13" s="1"/>
  <c r="AM19" i="13" a="1"/>
  <c r="AJ18" i="13"/>
  <c r="AL17" i="13"/>
  <c r="AB19" i="13"/>
  <c r="AU35" i="13"/>
  <c r="V35" i="13"/>
  <c r="AR36" i="13"/>
  <c r="AV36" i="13" s="1"/>
  <c r="BB36" i="13"/>
  <c r="T36" i="13"/>
  <c r="AC36" i="13" a="1"/>
  <c r="BJ36" i="13" s="1"/>
  <c r="AD36" i="13" a="1"/>
  <c r="BK36" i="13" s="1"/>
  <c r="R36" i="13"/>
  <c r="V36" i="13" s="1"/>
  <c r="AS35" i="13"/>
  <c r="BE20" i="13"/>
  <c r="BD20" i="13"/>
  <c r="BG20" i="13" s="1"/>
  <c r="Y20" i="13" s="1"/>
  <c r="AZ34" i="13"/>
  <c r="BA34" i="13"/>
  <c r="U37" i="13"/>
  <c r="N19" i="13"/>
  <c r="AW36" i="13" l="1"/>
  <c r="AX35" i="13"/>
  <c r="BO34" i="13"/>
  <c r="BN36" i="13"/>
  <c r="AG37" i="13" a="1"/>
  <c r="AF37" i="13" a="1"/>
  <c r="L38" i="13"/>
  <c r="BH38" i="13" s="1"/>
  <c r="BL36" i="13"/>
  <c r="M12" i="13"/>
  <c r="O12" i="13" s="1"/>
  <c r="AL18" i="13"/>
  <c r="AJ19" i="13"/>
  <c r="AL19" i="13" s="1"/>
  <c r="BB37" i="13"/>
  <c r="BH37" i="13"/>
  <c r="AU36" i="13"/>
  <c r="AR37" i="13"/>
  <c r="AV37" i="13" s="1"/>
  <c r="T37" i="13"/>
  <c r="AC37" i="13" a="1"/>
  <c r="BJ37" i="13" s="1"/>
  <c r="AD37" i="13" a="1"/>
  <c r="BK37" i="13" s="1"/>
  <c r="R37" i="13"/>
  <c r="V37" i="13" s="1"/>
  <c r="X35" i="13"/>
  <c r="AY35" i="13"/>
  <c r="AS36" i="13"/>
  <c r="P20" i="13"/>
  <c r="BF20" i="13"/>
  <c r="BC21" i="13" s="1"/>
  <c r="U38" i="13"/>
  <c r="AY36" i="13"/>
  <c r="X36" i="13"/>
  <c r="BI38" i="13" l="1"/>
  <c r="W38" i="13"/>
  <c r="BI37" i="13"/>
  <c r="W37" i="13"/>
  <c r="X37" i="13" s="1"/>
  <c r="AW37" i="13"/>
  <c r="AX36" i="13"/>
  <c r="BO35" i="13"/>
  <c r="BN37" i="13"/>
  <c r="AF38" i="13" a="1"/>
  <c r="AG38" i="13" a="1"/>
  <c r="L39" i="13"/>
  <c r="BH39" i="13" s="1"/>
  <c r="BL37" i="13"/>
  <c r="AH13" i="13"/>
  <c r="AI13" i="13" s="1"/>
  <c r="AE14" i="13" s="1"/>
  <c r="BM14" i="13" s="1"/>
  <c r="AC38" i="13" a="1"/>
  <c r="BJ38" i="13" s="1"/>
  <c r="BA35" i="13"/>
  <c r="AZ35" i="13"/>
  <c r="AU37" i="13"/>
  <c r="BB38" i="13"/>
  <c r="T38" i="13"/>
  <c r="AR38" i="13"/>
  <c r="AV38" i="13" s="1"/>
  <c r="AD38" i="13" a="1"/>
  <c r="BK38" i="13" s="1"/>
  <c r="R38" i="13"/>
  <c r="V38" i="13" s="1"/>
  <c r="AS37" i="13"/>
  <c r="BE21" i="13"/>
  <c r="BD21" i="13"/>
  <c r="BG21" i="13" s="1"/>
  <c r="Y21" i="13" s="1"/>
  <c r="Z20" i="13"/>
  <c r="AA20" i="13" s="1" a="1"/>
  <c r="AZ36" i="13"/>
  <c r="BA36" i="13"/>
  <c r="AY37" i="13"/>
  <c r="BI39" i="13" l="1"/>
  <c r="W39" i="13"/>
  <c r="AX37" i="13"/>
  <c r="AW38" i="13"/>
  <c r="BN38" i="13"/>
  <c r="BO36" i="13"/>
  <c r="AF39" i="13" a="1"/>
  <c r="AG39" i="13" a="1"/>
  <c r="L40" i="13"/>
  <c r="BH40" i="13" s="1"/>
  <c r="BL38" i="13"/>
  <c r="AK13" i="13"/>
  <c r="AN13" i="13"/>
  <c r="AO13" i="13" s="1"/>
  <c r="AP13" i="13" s="1"/>
  <c r="AM20" i="13" a="1"/>
  <c r="AB20" i="13"/>
  <c r="AJ20" i="13"/>
  <c r="AL20" i="13" s="1"/>
  <c r="T39" i="13"/>
  <c r="U39" i="13" s="1"/>
  <c r="BB39" i="13"/>
  <c r="AC39" i="13" a="1"/>
  <c r="BJ39" i="13" s="1"/>
  <c r="AD39" i="13" a="1"/>
  <c r="BK39" i="13" s="1"/>
  <c r="R39" i="13"/>
  <c r="AU38" i="13"/>
  <c r="AR39" i="13"/>
  <c r="AV39" i="13" s="1"/>
  <c r="AS38" i="13"/>
  <c r="Z21" i="13"/>
  <c r="AA21" i="13" s="1" a="1"/>
  <c r="BF21" i="13"/>
  <c r="BC22" i="13" s="1"/>
  <c r="AZ37" i="13"/>
  <c r="BA37" i="13"/>
  <c r="P21" i="13"/>
  <c r="AY38" i="13"/>
  <c r="X38" i="13"/>
  <c r="BI40" i="13" l="1"/>
  <c r="W40" i="13"/>
  <c r="AX38" i="13"/>
  <c r="AW39" i="13"/>
  <c r="BN39" i="13"/>
  <c r="BO37" i="13"/>
  <c r="AF40" i="13" a="1"/>
  <c r="AG40" i="13" a="1"/>
  <c r="L41" i="13"/>
  <c r="BL39" i="13"/>
  <c r="M13" i="13"/>
  <c r="O13" i="13" s="1"/>
  <c r="AM21" i="13" a="1"/>
  <c r="AB21" i="13"/>
  <c r="AJ21" i="13"/>
  <c r="AL21" i="13" s="1"/>
  <c r="V39" i="13"/>
  <c r="U40" i="13"/>
  <c r="AU39" i="13"/>
  <c r="BB40" i="13"/>
  <c r="T40" i="13"/>
  <c r="R40" i="13"/>
  <c r="AR40" i="13"/>
  <c r="AV40" i="13" s="1"/>
  <c r="AC40" i="13" a="1"/>
  <c r="BJ40" i="13" s="1"/>
  <c r="AD40" i="13" a="1"/>
  <c r="BK40" i="13" s="1"/>
  <c r="AS39" i="13"/>
  <c r="BE22" i="13"/>
  <c r="BD22" i="13"/>
  <c r="BG22" i="13" s="1"/>
  <c r="Y22" i="13" s="1"/>
  <c r="AZ38" i="13"/>
  <c r="BA38" i="13"/>
  <c r="AW40" i="13" l="1"/>
  <c r="AX39" i="13"/>
  <c r="BN40" i="13"/>
  <c r="BO38" i="13"/>
  <c r="AF41" i="13" a="1"/>
  <c r="AG41" i="13" a="1"/>
  <c r="L42" i="13"/>
  <c r="BH42" i="13" s="1"/>
  <c r="BL40" i="13"/>
  <c r="AH14" i="13"/>
  <c r="AI14" i="13" s="1"/>
  <c r="AE15" i="13" s="1"/>
  <c r="BM15" i="13" s="1"/>
  <c r="BB41" i="13"/>
  <c r="BH41" i="13"/>
  <c r="AY39" i="13"/>
  <c r="X39" i="13"/>
  <c r="V40" i="13"/>
  <c r="U41" i="13"/>
  <c r="U42" i="13" s="1"/>
  <c r="T41" i="13"/>
  <c r="AC41" i="13" a="1"/>
  <c r="BJ41" i="13" s="1"/>
  <c r="AU40" i="13"/>
  <c r="AR41" i="13"/>
  <c r="AV41" i="13" s="1"/>
  <c r="AD41" i="13" a="1"/>
  <c r="BK41" i="13" s="1"/>
  <c r="R41" i="13"/>
  <c r="AS40" i="13"/>
  <c r="Z22" i="13"/>
  <c r="AA22" i="13" s="1" a="1"/>
  <c r="BF22" i="13"/>
  <c r="BC23" i="13" s="1"/>
  <c r="P22" i="13"/>
  <c r="BI42" i="13" l="1"/>
  <c r="W42" i="13"/>
  <c r="BI41" i="13"/>
  <c r="W41" i="13"/>
  <c r="AW41" i="13"/>
  <c r="AX40" i="13"/>
  <c r="BO39" i="13"/>
  <c r="BN41" i="13"/>
  <c r="AG42" i="13" a="1"/>
  <c r="AF42" i="13" a="1"/>
  <c r="L43" i="13"/>
  <c r="BH43" i="13" s="1"/>
  <c r="BL41" i="13"/>
  <c r="AK14" i="13"/>
  <c r="AN14" i="13"/>
  <c r="AO14" i="13" s="1"/>
  <c r="AP14" i="13" s="1"/>
  <c r="AM22" i="13" a="1"/>
  <c r="AB22" i="13"/>
  <c r="AJ22" i="13"/>
  <c r="AL22" i="13" s="1"/>
  <c r="AZ39" i="13"/>
  <c r="BA39" i="13"/>
  <c r="AR42" i="13"/>
  <c r="AV42" i="13" s="1"/>
  <c r="BB42" i="13"/>
  <c r="T42" i="13"/>
  <c r="AC42" i="13" a="1"/>
  <c r="BJ42" i="13" s="1"/>
  <c r="AD42" i="13" a="1"/>
  <c r="BK42" i="13" s="1"/>
  <c r="R42" i="13"/>
  <c r="V42" i="13" s="1"/>
  <c r="V41" i="13"/>
  <c r="AY40" i="13"/>
  <c r="X40" i="13"/>
  <c r="AU41" i="13"/>
  <c r="AS41" i="13"/>
  <c r="BE23" i="13"/>
  <c r="BD23" i="13"/>
  <c r="BG23" i="13" s="1"/>
  <c r="Y23" i="13" s="1"/>
  <c r="N22" i="13"/>
  <c r="BI43" i="13" l="1"/>
  <c r="W43" i="13"/>
  <c r="AX41" i="13"/>
  <c r="AW42" i="13"/>
  <c r="BN42" i="13"/>
  <c r="BO40" i="13"/>
  <c r="AG43" i="13" a="1"/>
  <c r="AF43" i="13" a="1"/>
  <c r="L44" i="13"/>
  <c r="BH44" i="13" s="1"/>
  <c r="BL42" i="13"/>
  <c r="M14" i="13"/>
  <c r="O14" i="13" s="1"/>
  <c r="X41" i="13"/>
  <c r="AY41" i="13"/>
  <c r="AR43" i="13"/>
  <c r="AV43" i="13" s="1"/>
  <c r="BB43" i="13"/>
  <c r="R43" i="13"/>
  <c r="AC43" i="13" a="1"/>
  <c r="BJ43" i="13" s="1"/>
  <c r="AD43" i="13" a="1"/>
  <c r="BK43" i="13" s="1"/>
  <c r="T43" i="13"/>
  <c r="U43" i="13" s="1"/>
  <c r="AU42" i="13"/>
  <c r="AZ40" i="13"/>
  <c r="BA40" i="13"/>
  <c r="AS42" i="13"/>
  <c r="Z23" i="13"/>
  <c r="AA23" i="13" s="1" a="1"/>
  <c r="BF23" i="13"/>
  <c r="BC24" i="13" s="1"/>
  <c r="P23" i="13"/>
  <c r="AY42" i="13"/>
  <c r="X42" i="13"/>
  <c r="BI44" i="13" l="1"/>
  <c r="W44" i="13"/>
  <c r="AW43" i="13"/>
  <c r="AX42" i="13"/>
  <c r="BN43" i="13"/>
  <c r="BO41" i="13"/>
  <c r="AG44" i="13" a="1"/>
  <c r="AF44" i="13" a="1"/>
  <c r="L45" i="13"/>
  <c r="BH45" i="13" s="1"/>
  <c r="BL43" i="13"/>
  <c r="AH15" i="13"/>
  <c r="AI15" i="13" s="1"/>
  <c r="AE16" i="13" s="1"/>
  <c r="BM16" i="13" s="1"/>
  <c r="AM23" i="13" a="1"/>
  <c r="AB23" i="13"/>
  <c r="AJ23" i="13"/>
  <c r="AL23" i="13" s="1"/>
  <c r="AZ41" i="13"/>
  <c r="BA41" i="13"/>
  <c r="AU43" i="13"/>
  <c r="BB44" i="13"/>
  <c r="T44" i="13"/>
  <c r="AR44" i="13"/>
  <c r="AV44" i="13" s="1"/>
  <c r="AC44" i="13" a="1"/>
  <c r="BJ44" i="13" s="1"/>
  <c r="AD44" i="13" a="1"/>
  <c r="BK44" i="13" s="1"/>
  <c r="R44" i="13"/>
  <c r="U44" i="13"/>
  <c r="V43" i="13"/>
  <c r="AS43" i="13"/>
  <c r="BE24" i="13"/>
  <c r="BD24" i="13"/>
  <c r="BG24" i="13" s="1"/>
  <c r="Y24" i="13" s="1"/>
  <c r="AZ42" i="13"/>
  <c r="BA42" i="13"/>
  <c r="N23" i="13"/>
  <c r="BI45" i="13" l="1"/>
  <c r="W45" i="13"/>
  <c r="AX43" i="13"/>
  <c r="AW44" i="13"/>
  <c r="BN44" i="13"/>
  <c r="BO42" i="13"/>
  <c r="AF45" i="13" a="1"/>
  <c r="AG45" i="13" a="1"/>
  <c r="L46" i="13"/>
  <c r="BH46" i="13" s="1"/>
  <c r="BL44" i="13"/>
  <c r="AK15" i="13"/>
  <c r="AN15" i="13"/>
  <c r="AO15" i="13" s="1"/>
  <c r="AP15" i="13" s="1"/>
  <c r="AU44" i="13"/>
  <c r="AR45" i="13"/>
  <c r="AV45" i="13" s="1"/>
  <c r="BB45" i="13"/>
  <c r="T45" i="13"/>
  <c r="AC45" i="13" a="1"/>
  <c r="BJ45" i="13" s="1"/>
  <c r="AD45" i="13" a="1"/>
  <c r="BK45" i="13" s="1"/>
  <c r="R45" i="13"/>
  <c r="U45" i="13"/>
  <c r="V44" i="13"/>
  <c r="AY43" i="13"/>
  <c r="X43" i="13"/>
  <c r="AS44" i="13"/>
  <c r="Z24" i="13"/>
  <c r="AA24" i="13" s="1" a="1"/>
  <c r="BF24" i="13"/>
  <c r="BC25" i="13" s="1"/>
  <c r="P24" i="13"/>
  <c r="BI46" i="13" l="1"/>
  <c r="W46" i="13"/>
  <c r="AX44" i="13"/>
  <c r="AW45" i="13"/>
  <c r="BN45" i="13"/>
  <c r="BO43" i="13"/>
  <c r="AF46" i="13" a="1"/>
  <c r="AG46" i="13" a="1"/>
  <c r="L47" i="13"/>
  <c r="BH47" i="13" s="1"/>
  <c r="BL45" i="13"/>
  <c r="M15" i="13"/>
  <c r="O15" i="13" s="1"/>
  <c r="AM24" i="13" a="1"/>
  <c r="AB24" i="13"/>
  <c r="AJ24" i="13"/>
  <c r="AL24" i="13" s="1"/>
  <c r="AU45" i="13"/>
  <c r="AR46" i="13"/>
  <c r="AV46" i="13" s="1"/>
  <c r="BB46" i="13"/>
  <c r="T46" i="13"/>
  <c r="AC46" i="13" a="1"/>
  <c r="BJ46" i="13" s="1"/>
  <c r="AD46" i="13" a="1"/>
  <c r="BK46" i="13" s="1"/>
  <c r="R46" i="13"/>
  <c r="V45" i="13"/>
  <c r="U46" i="13"/>
  <c r="AY44" i="13"/>
  <c r="X44" i="13"/>
  <c r="AZ43" i="13"/>
  <c r="BA43" i="13"/>
  <c r="AS45" i="13"/>
  <c r="BE25" i="13"/>
  <c r="BD25" i="13"/>
  <c r="BG25" i="13" s="1"/>
  <c r="Y25" i="13" s="1"/>
  <c r="N24" i="13"/>
  <c r="BI47" i="13" l="1"/>
  <c r="W47" i="13"/>
  <c r="AX45" i="13"/>
  <c r="AW46" i="13"/>
  <c r="BN46" i="13"/>
  <c r="BO44" i="13"/>
  <c r="AF47" i="13" a="1"/>
  <c r="AG47" i="13" a="1"/>
  <c r="L48" i="13"/>
  <c r="BH48" i="13" s="1"/>
  <c r="BL46" i="13"/>
  <c r="AH16" i="13"/>
  <c r="AI16" i="13" s="1"/>
  <c r="AE17" i="13" s="1"/>
  <c r="BM17" i="13" s="1"/>
  <c r="V46" i="13"/>
  <c r="AU46" i="13"/>
  <c r="BB47" i="13"/>
  <c r="T47" i="13"/>
  <c r="U47" i="13" s="1"/>
  <c r="AD47" i="13" a="1"/>
  <c r="BK47" i="13" s="1"/>
  <c r="AC47" i="13" a="1"/>
  <c r="BJ47" i="13" s="1"/>
  <c r="AZ44" i="13"/>
  <c r="BA44" i="13"/>
  <c r="AR47" i="13"/>
  <c r="AV47" i="13" s="1"/>
  <c r="R47" i="13"/>
  <c r="AY45" i="13"/>
  <c r="X45" i="13"/>
  <c r="AS46" i="13"/>
  <c r="Z25" i="13"/>
  <c r="AA25" i="13" s="1" a="1"/>
  <c r="BF25" i="13"/>
  <c r="BC26" i="13" s="1"/>
  <c r="P25" i="13"/>
  <c r="BI48" i="13" l="1"/>
  <c r="W48" i="13"/>
  <c r="BO45" i="13"/>
  <c r="AW47" i="13"/>
  <c r="AX46" i="13"/>
  <c r="BN47" i="13"/>
  <c r="AG48" i="13" a="1"/>
  <c r="AF48" i="13" a="1"/>
  <c r="L49" i="13"/>
  <c r="BH49" i="13" s="1"/>
  <c r="BL47" i="13"/>
  <c r="AK16" i="13"/>
  <c r="AN16" i="13"/>
  <c r="AO16" i="13" s="1"/>
  <c r="AP16" i="13" s="1"/>
  <c r="AM25" i="13" a="1"/>
  <c r="AB25" i="13"/>
  <c r="AJ25" i="13"/>
  <c r="AL25" i="13" s="1"/>
  <c r="AY46" i="13"/>
  <c r="X46" i="13"/>
  <c r="U48" i="13"/>
  <c r="V47" i="13"/>
  <c r="AU47" i="13"/>
  <c r="AC48" i="13" a="1"/>
  <c r="BJ48" i="13" s="1"/>
  <c r="AD48" i="13" a="1"/>
  <c r="BK48" i="13" s="1"/>
  <c r="R48" i="13"/>
  <c r="AZ45" i="13"/>
  <c r="BA45" i="13"/>
  <c r="AR48" i="13"/>
  <c r="AV48" i="13" s="1"/>
  <c r="BB48" i="13"/>
  <c r="T48" i="13"/>
  <c r="AS47" i="13"/>
  <c r="BE26" i="13"/>
  <c r="BD26" i="13"/>
  <c r="BG26" i="13" s="1"/>
  <c r="Y26" i="13" s="1"/>
  <c r="N25" i="13"/>
  <c r="BI49" i="13" l="1"/>
  <c r="W49" i="13"/>
  <c r="AW48" i="13"/>
  <c r="AX47" i="13"/>
  <c r="BO46" i="13"/>
  <c r="BN48" i="13"/>
  <c r="AF49" i="13" a="1"/>
  <c r="AG49" i="13" a="1"/>
  <c r="L50" i="13"/>
  <c r="BH50" i="13" s="1"/>
  <c r="BL48" i="13"/>
  <c r="M16" i="13"/>
  <c r="O16" i="13" s="1"/>
  <c r="BA46" i="13"/>
  <c r="AZ46" i="13"/>
  <c r="U49" i="13"/>
  <c r="U50" i="13" s="1"/>
  <c r="V48" i="13"/>
  <c r="AY47" i="13"/>
  <c r="X47" i="13"/>
  <c r="AU48" i="13"/>
  <c r="BB49" i="13"/>
  <c r="T49" i="13"/>
  <c r="AR49" i="13"/>
  <c r="AV49" i="13" s="1"/>
  <c r="AC49" i="13" a="1"/>
  <c r="BJ49" i="13" s="1"/>
  <c r="AD49" i="13" a="1"/>
  <c r="BK49" i="13" s="1"/>
  <c r="R49" i="13"/>
  <c r="AS48" i="13"/>
  <c r="Z26" i="13"/>
  <c r="AA26" i="13" s="1" a="1"/>
  <c r="BF26" i="13"/>
  <c r="BC27" i="13" s="1"/>
  <c r="P26" i="13"/>
  <c r="BI50" i="13" l="1"/>
  <c r="W50" i="13"/>
  <c r="AW49" i="13"/>
  <c r="AX48" i="13"/>
  <c r="BN49" i="13"/>
  <c r="BO47" i="13"/>
  <c r="AF50" i="13" a="1"/>
  <c r="AG50" i="13" a="1"/>
  <c r="L51" i="13"/>
  <c r="BH51" i="13" s="1"/>
  <c r="BL49" i="13"/>
  <c r="AH17" i="13"/>
  <c r="AI17" i="13" s="1"/>
  <c r="AE18" i="13" s="1"/>
  <c r="BM18" i="13" s="1"/>
  <c r="AM26" i="13" a="1"/>
  <c r="AB26" i="13"/>
  <c r="AJ26" i="13"/>
  <c r="AL26" i="13" s="1"/>
  <c r="V49" i="13"/>
  <c r="AY48" i="13"/>
  <c r="X48" i="13"/>
  <c r="AZ47" i="13"/>
  <c r="BA47" i="13"/>
  <c r="AU49" i="13"/>
  <c r="AR50" i="13"/>
  <c r="AV50" i="13" s="1"/>
  <c r="BB50" i="13"/>
  <c r="T50" i="13"/>
  <c r="R50" i="13"/>
  <c r="V50" i="13" s="1"/>
  <c r="AC50" i="13" a="1"/>
  <c r="BJ50" i="13" s="1"/>
  <c r="AD50" i="13" a="1"/>
  <c r="BK50" i="13" s="1"/>
  <c r="AS49" i="13"/>
  <c r="BE27" i="13"/>
  <c r="BD27" i="13"/>
  <c r="N26" i="13"/>
  <c r="BI51" i="13" l="1"/>
  <c r="W51" i="13"/>
  <c r="AX49" i="13"/>
  <c r="AW50" i="13"/>
  <c r="BN50" i="13"/>
  <c r="BO48" i="13"/>
  <c r="AF51" i="13" a="1"/>
  <c r="AG51" i="13" a="1"/>
  <c r="L52" i="13"/>
  <c r="BH52" i="13" s="1"/>
  <c r="BL50" i="13"/>
  <c r="AK17" i="13"/>
  <c r="AN17" i="13"/>
  <c r="AO17" i="13" s="1"/>
  <c r="AP17" i="13" s="1"/>
  <c r="X49" i="13"/>
  <c r="AY49" i="13"/>
  <c r="AZ48" i="13"/>
  <c r="BA48" i="13"/>
  <c r="AU50" i="13"/>
  <c r="AR51" i="13"/>
  <c r="AV51" i="13" s="1"/>
  <c r="BB51" i="13"/>
  <c r="T51" i="13"/>
  <c r="U51" i="13" s="1"/>
  <c r="AC51" i="13" a="1"/>
  <c r="BJ51" i="13" s="1"/>
  <c r="AD51" i="13" a="1"/>
  <c r="BK51" i="13" s="1"/>
  <c r="R51" i="13"/>
  <c r="BF27" i="13"/>
  <c r="BC28" i="13" s="1"/>
  <c r="BE28" i="13" s="1"/>
  <c r="AS50" i="13"/>
  <c r="AY50" i="13"/>
  <c r="X50" i="13"/>
  <c r="BI52" i="13" l="1"/>
  <c r="W52" i="13"/>
  <c r="AX50" i="13"/>
  <c r="AW51" i="13"/>
  <c r="BO49" i="13"/>
  <c r="BN51" i="13"/>
  <c r="AF52" i="13" a="1"/>
  <c r="AG52" i="13" a="1"/>
  <c r="L53" i="13"/>
  <c r="BH53" i="13" s="1"/>
  <c r="BL51" i="13"/>
  <c r="M17" i="13"/>
  <c r="O17" i="13" s="1"/>
  <c r="AZ49" i="13"/>
  <c r="BA49" i="13"/>
  <c r="AU51" i="13"/>
  <c r="V51" i="13"/>
  <c r="U52" i="13"/>
  <c r="AR52" i="13"/>
  <c r="AV52" i="13" s="1"/>
  <c r="BB52" i="13"/>
  <c r="T52" i="13"/>
  <c r="AC52" i="13" a="1"/>
  <c r="BJ52" i="13" s="1"/>
  <c r="R52" i="13"/>
  <c r="AD52" i="13" a="1"/>
  <c r="BK52" i="13" s="1"/>
  <c r="BD28" i="13"/>
  <c r="BF28" i="13" s="1"/>
  <c r="BC29" i="13" s="1"/>
  <c r="AS51" i="13"/>
  <c r="AZ50" i="13"/>
  <c r="BA50" i="13"/>
  <c r="N27" i="13"/>
  <c r="BI53" i="13" l="1"/>
  <c r="W53" i="13"/>
  <c r="BO50" i="13"/>
  <c r="AX51" i="13"/>
  <c r="AW52" i="13"/>
  <c r="BN52" i="13"/>
  <c r="AF53" i="13" a="1"/>
  <c r="AG53" i="13" a="1"/>
  <c r="L54" i="13"/>
  <c r="BL52" i="13"/>
  <c r="AH18" i="13"/>
  <c r="AI18" i="13" s="1"/>
  <c r="AE19" i="13" s="1"/>
  <c r="BM19" i="13" s="1"/>
  <c r="AY51" i="13"/>
  <c r="X51" i="13"/>
  <c r="AU52" i="13"/>
  <c r="AD53" i="13" a="1"/>
  <c r="BK53" i="13" s="1"/>
  <c r="U53" i="13"/>
  <c r="U54" i="13" s="1"/>
  <c r="V52" i="13"/>
  <c r="BB53" i="13"/>
  <c r="T53" i="13"/>
  <c r="AC53" i="13" a="1"/>
  <c r="BJ53" i="13" s="1"/>
  <c r="AR53" i="13"/>
  <c r="AV53" i="13" s="1"/>
  <c r="R53" i="13"/>
  <c r="AS52" i="13"/>
  <c r="BE29" i="13"/>
  <c r="BD29" i="13"/>
  <c r="AW53" i="13" l="1"/>
  <c r="AX52" i="13"/>
  <c r="BO51" i="13"/>
  <c r="BN53" i="13"/>
  <c r="AF54" i="13" a="1"/>
  <c r="AG54" i="13" a="1"/>
  <c r="L55" i="13"/>
  <c r="BH55" i="13" s="1"/>
  <c r="BL53" i="13"/>
  <c r="AK18" i="13"/>
  <c r="AN18" i="13"/>
  <c r="AO18" i="13" s="1"/>
  <c r="AP18" i="13" s="1"/>
  <c r="BH54" i="13"/>
  <c r="V53" i="13"/>
  <c r="BA51" i="13"/>
  <c r="AZ51" i="13"/>
  <c r="AY52" i="13"/>
  <c r="X52" i="13"/>
  <c r="AU53" i="13"/>
  <c r="AR54" i="13"/>
  <c r="AV54" i="13" s="1"/>
  <c r="AC54" i="13" a="1"/>
  <c r="BJ54" i="13" s="1"/>
  <c r="AD54" i="13" a="1"/>
  <c r="BK54" i="13" s="1"/>
  <c r="R54" i="13"/>
  <c r="V54" i="13" s="1"/>
  <c r="BB54" i="13"/>
  <c r="T54" i="13"/>
  <c r="AS53" i="13"/>
  <c r="BF29" i="13"/>
  <c r="BC30" i="13" s="1"/>
  <c r="N28" i="13"/>
  <c r="BI55" i="13" l="1"/>
  <c r="W55" i="13"/>
  <c r="BI54" i="13"/>
  <c r="W54" i="13"/>
  <c r="X54" i="13" s="1"/>
  <c r="AX53" i="13"/>
  <c r="AW54" i="13"/>
  <c r="BN54" i="13"/>
  <c r="BO52" i="13"/>
  <c r="AF55" i="13" a="1"/>
  <c r="AG55" i="13" a="1"/>
  <c r="L56" i="13"/>
  <c r="BH56" i="13" s="1"/>
  <c r="BL54" i="13"/>
  <c r="M18" i="13"/>
  <c r="O18" i="13" s="1"/>
  <c r="AU54" i="13"/>
  <c r="AY53" i="13"/>
  <c r="X53" i="13"/>
  <c r="AZ52" i="13"/>
  <c r="BA52" i="13"/>
  <c r="AR55" i="13"/>
  <c r="AV55" i="13" s="1"/>
  <c r="BB55" i="13"/>
  <c r="T55" i="13"/>
  <c r="U55" i="13" s="1"/>
  <c r="AD55" i="13" a="1"/>
  <c r="BK55" i="13" s="1"/>
  <c r="AC55" i="13" a="1"/>
  <c r="BJ55" i="13" s="1"/>
  <c r="R55" i="13"/>
  <c r="AS54" i="13"/>
  <c r="BE30" i="13"/>
  <c r="BD30" i="13"/>
  <c r="N29" i="13"/>
  <c r="AY54" i="13"/>
  <c r="BI56" i="13" l="1"/>
  <c r="W56" i="13"/>
  <c r="AW55" i="13"/>
  <c r="AX54" i="13"/>
  <c r="BN55" i="13"/>
  <c r="BO53" i="13"/>
  <c r="AG56" i="13" a="1"/>
  <c r="AF56" i="13" a="1"/>
  <c r="L57" i="13"/>
  <c r="BH57" i="13" s="1"/>
  <c r="BL55" i="13"/>
  <c r="AH19" i="13"/>
  <c r="AI19" i="13" s="1"/>
  <c r="AE20" i="13" s="1"/>
  <c r="BM20" i="13" s="1"/>
  <c r="AZ53" i="13"/>
  <c r="BA53" i="13"/>
  <c r="AU55" i="13"/>
  <c r="BB56" i="13"/>
  <c r="T56" i="13"/>
  <c r="AD56" i="13" a="1"/>
  <c r="BK56" i="13" s="1"/>
  <c r="U56" i="13"/>
  <c r="V55" i="13"/>
  <c r="AR56" i="13"/>
  <c r="AV56" i="13" s="1"/>
  <c r="AC56" i="13" a="1"/>
  <c r="BJ56" i="13" s="1"/>
  <c r="R56" i="13"/>
  <c r="AS55" i="13"/>
  <c r="AZ54" i="13"/>
  <c r="BA54" i="13"/>
  <c r="BF30" i="13"/>
  <c r="BC31" i="13" s="1"/>
  <c r="BI57" i="13" l="1"/>
  <c r="W57" i="13"/>
  <c r="AX55" i="13"/>
  <c r="AW56" i="13"/>
  <c r="BN56" i="13"/>
  <c r="BO54" i="13"/>
  <c r="AF57" i="13" a="1"/>
  <c r="AG57" i="13" a="1"/>
  <c r="L58" i="13"/>
  <c r="BH58" i="13" s="1"/>
  <c r="BL56" i="13"/>
  <c r="AK19" i="13"/>
  <c r="AN19" i="13"/>
  <c r="AO19" i="13" s="1"/>
  <c r="AP19" i="13" s="1"/>
  <c r="AU56" i="13"/>
  <c r="V56" i="13"/>
  <c r="U57" i="13"/>
  <c r="U58" i="13" s="1"/>
  <c r="AY55" i="13"/>
  <c r="X55" i="13"/>
  <c r="AR57" i="13"/>
  <c r="AV57" i="13" s="1"/>
  <c r="BB57" i="13"/>
  <c r="T57" i="13"/>
  <c r="R57" i="13"/>
  <c r="AC57" i="13" a="1"/>
  <c r="BJ57" i="13" s="1"/>
  <c r="AD57" i="13" a="1"/>
  <c r="BK57" i="13" s="1"/>
  <c r="AS56" i="13"/>
  <c r="BE31" i="13"/>
  <c r="BD31" i="13"/>
  <c r="BG31" i="13" s="1"/>
  <c r="Y31" i="13" s="1"/>
  <c r="BI58" i="13" l="1"/>
  <c r="W58" i="13"/>
  <c r="AX56" i="13"/>
  <c r="AW57" i="13"/>
  <c r="BN57" i="13"/>
  <c r="BO55" i="13"/>
  <c r="AG58" i="13" a="1"/>
  <c r="AF58" i="13" a="1"/>
  <c r="L59" i="13"/>
  <c r="BH59" i="13" s="1"/>
  <c r="BL57" i="13"/>
  <c r="M19" i="13"/>
  <c r="O19" i="13" s="1"/>
  <c r="V57" i="13"/>
  <c r="AU57" i="13"/>
  <c r="AY56" i="13"/>
  <c r="X56" i="13"/>
  <c r="AZ55" i="13"/>
  <c r="BA55" i="13"/>
  <c r="AR58" i="13"/>
  <c r="AV58" i="13" s="1"/>
  <c r="BB58" i="13"/>
  <c r="T58" i="13"/>
  <c r="AD58" i="13" a="1"/>
  <c r="BK58" i="13" s="1"/>
  <c r="R58" i="13"/>
  <c r="V58" i="13" s="1"/>
  <c r="AC58" i="13" a="1"/>
  <c r="BJ58" i="13" s="1"/>
  <c r="AS57" i="13"/>
  <c r="Z31" i="13"/>
  <c r="AA31" i="13" s="1" a="1"/>
  <c r="AB31" i="13" s="1"/>
  <c r="BF31" i="13"/>
  <c r="BC32" i="13" s="1"/>
  <c r="N30" i="13"/>
  <c r="BI59" i="13" l="1"/>
  <c r="W59" i="13"/>
  <c r="AX57" i="13"/>
  <c r="AW58" i="13"/>
  <c r="BN58" i="13"/>
  <c r="BO56" i="13"/>
  <c r="AF59" i="13" a="1"/>
  <c r="AG59" i="13" a="1"/>
  <c r="L60" i="13"/>
  <c r="BH60" i="13" s="1"/>
  <c r="BL58" i="13"/>
  <c r="AH20" i="13"/>
  <c r="AI20" i="13" s="1"/>
  <c r="AE21" i="13" s="1"/>
  <c r="BM21" i="13" s="1"/>
  <c r="AY57" i="13"/>
  <c r="X57" i="13"/>
  <c r="AU58" i="13"/>
  <c r="AZ56" i="13"/>
  <c r="BA56" i="13"/>
  <c r="AR59" i="13"/>
  <c r="AV59" i="13" s="1"/>
  <c r="BB59" i="13"/>
  <c r="T59" i="13"/>
  <c r="U59" i="13" s="1"/>
  <c r="AD59" i="13" a="1"/>
  <c r="BK59" i="13" s="1"/>
  <c r="AC59" i="13" a="1"/>
  <c r="BJ59" i="13" s="1"/>
  <c r="R59" i="13"/>
  <c r="AS58" i="13"/>
  <c r="BE32" i="13"/>
  <c r="BD32" i="13"/>
  <c r="BG32" i="13" s="1"/>
  <c r="Y32" i="13" s="1"/>
  <c r="P31" i="13"/>
  <c r="AY58" i="13"/>
  <c r="X58" i="13"/>
  <c r="BI60" i="13" l="1"/>
  <c r="W60" i="13"/>
  <c r="AW59" i="13"/>
  <c r="AX58" i="13"/>
  <c r="BN59" i="13"/>
  <c r="BO57" i="13"/>
  <c r="AG60" i="13" a="1"/>
  <c r="AF60" i="13" a="1"/>
  <c r="L61" i="13"/>
  <c r="BH61" i="13" s="1"/>
  <c r="BL59" i="13"/>
  <c r="AK20" i="13"/>
  <c r="AN20" i="13"/>
  <c r="AO20" i="13" s="1"/>
  <c r="AP20" i="13" s="1"/>
  <c r="AZ57" i="13"/>
  <c r="BA57" i="13"/>
  <c r="AU59" i="13"/>
  <c r="V59" i="13"/>
  <c r="U60" i="13"/>
  <c r="AR60" i="13"/>
  <c r="AV60" i="13" s="1"/>
  <c r="BB60" i="13"/>
  <c r="T60" i="13"/>
  <c r="AC60" i="13" a="1"/>
  <c r="BJ60" i="13" s="1"/>
  <c r="AD60" i="13" a="1"/>
  <c r="BK60" i="13" s="1"/>
  <c r="R60" i="13"/>
  <c r="AS59" i="13"/>
  <c r="Z32" i="13"/>
  <c r="AA32" i="13" s="1" a="1"/>
  <c r="AB32" i="13" s="1"/>
  <c r="AZ58" i="13"/>
  <c r="BA58" i="13"/>
  <c r="P32" i="13"/>
  <c r="BF32" i="13"/>
  <c r="BC33" i="13" s="1"/>
  <c r="N31" i="13"/>
  <c r="BI61" i="13" l="1"/>
  <c r="W61" i="13"/>
  <c r="AW60" i="13"/>
  <c r="AX59" i="13"/>
  <c r="BN60" i="13"/>
  <c r="BO58" i="13"/>
  <c r="AF61" i="13" a="1"/>
  <c r="AG61" i="13" a="1"/>
  <c r="L62" i="13"/>
  <c r="BH62" i="13" s="1"/>
  <c r="BL60" i="13"/>
  <c r="M20" i="13"/>
  <c r="AU60" i="13"/>
  <c r="AC61" i="13" a="1"/>
  <c r="BJ61" i="13" s="1"/>
  <c r="R61" i="13"/>
  <c r="AY59" i="13"/>
  <c r="X59" i="13"/>
  <c r="V60" i="13"/>
  <c r="U61" i="13"/>
  <c r="AR61" i="13"/>
  <c r="AV61" i="13" s="1"/>
  <c r="BB61" i="13"/>
  <c r="T61" i="13"/>
  <c r="AD61" i="13" a="1"/>
  <c r="BK61" i="13" s="1"/>
  <c r="AS60" i="13"/>
  <c r="BE33" i="13"/>
  <c r="BD33" i="13"/>
  <c r="BG33" i="13" s="1"/>
  <c r="Y33" i="13" s="1"/>
  <c r="BI62" i="13" l="1"/>
  <c r="W62" i="13"/>
  <c r="AX60" i="13"/>
  <c r="AW61" i="13"/>
  <c r="BN61" i="13"/>
  <c r="BO59" i="13"/>
  <c r="AF62" i="13" a="1"/>
  <c r="AG62" i="13" a="1"/>
  <c r="L63" i="13"/>
  <c r="BL61" i="13"/>
  <c r="AH21" i="13"/>
  <c r="AI21" i="13" s="1"/>
  <c r="AE22" i="13" s="1"/>
  <c r="BM22" i="13" s="1"/>
  <c r="AR62" i="13"/>
  <c r="AV62" i="13" s="1"/>
  <c r="BB62" i="13"/>
  <c r="T62" i="13"/>
  <c r="AD62" i="13" a="1"/>
  <c r="BK62" i="13" s="1"/>
  <c r="AC62" i="13" a="1"/>
  <c r="BJ62" i="13" s="1"/>
  <c r="R62" i="13"/>
  <c r="AU61" i="13"/>
  <c r="AZ59" i="13"/>
  <c r="BA59" i="13"/>
  <c r="X60" i="13"/>
  <c r="AY60" i="13"/>
  <c r="U62" i="13"/>
  <c r="V61" i="13"/>
  <c r="AS61" i="13"/>
  <c r="Z33" i="13"/>
  <c r="AA33" i="13" s="1" a="1"/>
  <c r="AB33" i="13" s="1"/>
  <c r="BF33" i="13"/>
  <c r="BC34" i="13" s="1"/>
  <c r="N32" i="13"/>
  <c r="AW62" i="13" l="1"/>
  <c r="AX61" i="13"/>
  <c r="BN62" i="13"/>
  <c r="BO60" i="13"/>
  <c r="AF63" i="13" a="1"/>
  <c r="AG63" i="13" a="1"/>
  <c r="L64" i="13"/>
  <c r="BL62" i="13"/>
  <c r="AK21" i="13"/>
  <c r="AN21" i="13"/>
  <c r="AO21" i="13" s="1"/>
  <c r="AP21" i="13" s="1"/>
  <c r="BH63" i="13"/>
  <c r="AU62" i="13"/>
  <c r="V62" i="13"/>
  <c r="AR63" i="13"/>
  <c r="AV63" i="13" s="1"/>
  <c r="BB63" i="13"/>
  <c r="T63" i="13"/>
  <c r="U63" i="13" s="1"/>
  <c r="AC63" i="13" a="1"/>
  <c r="BJ63" i="13" s="1"/>
  <c r="AD63" i="13" a="1"/>
  <c r="BK63" i="13" s="1"/>
  <c r="R63" i="13"/>
  <c r="BA60" i="13"/>
  <c r="AZ60" i="13"/>
  <c r="AY61" i="13"/>
  <c r="X61" i="13"/>
  <c r="AS62" i="13"/>
  <c r="BE34" i="13"/>
  <c r="BD34" i="13"/>
  <c r="BG34" i="13" s="1"/>
  <c r="Y34" i="13" s="1"/>
  <c r="P33" i="13"/>
  <c r="BI63" i="13" l="1"/>
  <c r="W63" i="13"/>
  <c r="BO61" i="13"/>
  <c r="AW63" i="13"/>
  <c r="AX62" i="13"/>
  <c r="BN63" i="13"/>
  <c r="AG64" i="13" a="1"/>
  <c r="AF64" i="13" a="1"/>
  <c r="L65" i="13"/>
  <c r="BL63" i="13"/>
  <c r="M21" i="13"/>
  <c r="BB64" i="13"/>
  <c r="T64" i="13"/>
  <c r="AC64" i="13" a="1"/>
  <c r="BJ64" i="13" s="1"/>
  <c r="AD64" i="13" a="1"/>
  <c r="BK64" i="13" s="1"/>
  <c r="R64" i="13"/>
  <c r="BH64" i="13"/>
  <c r="AR64" i="13"/>
  <c r="AV64" i="13" s="1"/>
  <c r="AY62" i="13"/>
  <c r="X62" i="13"/>
  <c r="AU63" i="13"/>
  <c r="U64" i="13"/>
  <c r="V63" i="13"/>
  <c r="AZ61" i="13"/>
  <c r="BA61" i="13"/>
  <c r="AS63" i="13"/>
  <c r="Z34" i="13"/>
  <c r="AA34" i="13" s="1" a="1"/>
  <c r="AB34" i="13" s="1"/>
  <c r="BF34" i="13"/>
  <c r="BC35" i="13" s="1"/>
  <c r="N33" i="13"/>
  <c r="BI64" i="13" l="1"/>
  <c r="W64" i="13"/>
  <c r="AW64" i="13"/>
  <c r="AX63" i="13"/>
  <c r="BO62" i="13"/>
  <c r="BN64" i="13"/>
  <c r="AG65" i="13" a="1"/>
  <c r="AF65" i="13" a="1"/>
  <c r="L66" i="13"/>
  <c r="BL64" i="13"/>
  <c r="AH22" i="13"/>
  <c r="AI22" i="13" s="1"/>
  <c r="AE23" i="13" s="1"/>
  <c r="BM23" i="13" s="1"/>
  <c r="AR65" i="13"/>
  <c r="AV65" i="13" s="1"/>
  <c r="BH65" i="13"/>
  <c r="BB65" i="13"/>
  <c r="T65" i="13"/>
  <c r="AC65" i="13" a="1"/>
  <c r="BJ65" i="13" s="1"/>
  <c r="AD65" i="13" a="1"/>
  <c r="BK65" i="13" s="1"/>
  <c r="R65" i="13"/>
  <c r="AU64" i="13"/>
  <c r="AZ62" i="13"/>
  <c r="BA62" i="13"/>
  <c r="V64" i="13"/>
  <c r="U65" i="13"/>
  <c r="AY63" i="13"/>
  <c r="X63" i="13"/>
  <c r="AS64" i="13"/>
  <c r="BE35" i="13"/>
  <c r="BD35" i="13"/>
  <c r="BG35" i="13" s="1"/>
  <c r="Y35" i="13" s="1"/>
  <c r="P34" i="13"/>
  <c r="BI65" i="13" l="1"/>
  <c r="W65" i="13"/>
  <c r="AW65" i="13"/>
  <c r="AX64" i="13"/>
  <c r="BO63" i="13"/>
  <c r="BN65" i="13"/>
  <c r="AG66" i="13" a="1"/>
  <c r="AF66" i="13" a="1"/>
  <c r="L67" i="13"/>
  <c r="BL65" i="13"/>
  <c r="AK22" i="13"/>
  <c r="AN22" i="13"/>
  <c r="AO22" i="13" s="1"/>
  <c r="AP22" i="13" s="1"/>
  <c r="AU65" i="13"/>
  <c r="AR66" i="13"/>
  <c r="AV66" i="13" s="1"/>
  <c r="BH66" i="13"/>
  <c r="BB66" i="13"/>
  <c r="T66" i="13"/>
  <c r="AD66" i="13" a="1"/>
  <c r="BK66" i="13" s="1"/>
  <c r="AC66" i="13" a="1"/>
  <c r="BJ66" i="13" s="1"/>
  <c r="R66" i="13"/>
  <c r="AY64" i="13"/>
  <c r="X64" i="13"/>
  <c r="BA63" i="13"/>
  <c r="AZ63" i="13"/>
  <c r="U66" i="13"/>
  <c r="V65" i="13"/>
  <c r="AS65" i="13"/>
  <c r="Z35" i="13"/>
  <c r="AA35" i="13" s="1" a="1"/>
  <c r="AB35" i="13" s="1"/>
  <c r="P35" i="13"/>
  <c r="BF35" i="13"/>
  <c r="BC36" i="13" s="1"/>
  <c r="N34" i="13"/>
  <c r="BI66" i="13" l="1"/>
  <c r="W66" i="13"/>
  <c r="AX65" i="13"/>
  <c r="AW66" i="13"/>
  <c r="BO64" i="13"/>
  <c r="BN66" i="13"/>
  <c r="AG67" i="13" a="1"/>
  <c r="AF67" i="13" a="1"/>
  <c r="L68" i="13"/>
  <c r="BL66" i="13"/>
  <c r="M22" i="13"/>
  <c r="O22" i="13" s="1"/>
  <c r="BH67" i="13"/>
  <c r="AR67" i="13"/>
  <c r="AV67" i="13" s="1"/>
  <c r="BB67" i="13"/>
  <c r="T67" i="13"/>
  <c r="U67" i="13" s="1"/>
  <c r="U68" i="13" s="1"/>
  <c r="V66" i="13"/>
  <c r="AC67" i="13" a="1"/>
  <c r="BJ67" i="13" s="1"/>
  <c r="AD67" i="13" a="1"/>
  <c r="BK67" i="13" s="1"/>
  <c r="R67" i="13"/>
  <c r="AU66" i="13"/>
  <c r="BA64" i="13"/>
  <c r="AZ64" i="13"/>
  <c r="AY65" i="13"/>
  <c r="X65" i="13"/>
  <c r="AS66" i="13"/>
  <c r="BE36" i="13"/>
  <c r="BD36" i="13"/>
  <c r="BG36" i="13" s="1"/>
  <c r="Y36" i="13" s="1"/>
  <c r="BI67" i="13" l="1"/>
  <c r="W67" i="13"/>
  <c r="AX66" i="13"/>
  <c r="AW67" i="13"/>
  <c r="BN67" i="13"/>
  <c r="BO65" i="13"/>
  <c r="AR68" i="13"/>
  <c r="AV68" i="13" s="1"/>
  <c r="BH68" i="13"/>
  <c r="AG68" i="13" a="1"/>
  <c r="AF68" i="13" a="1"/>
  <c r="L69" i="13"/>
  <c r="BL67" i="13"/>
  <c r="AH23" i="13"/>
  <c r="AI23" i="13" s="1"/>
  <c r="AE24" i="13" s="1"/>
  <c r="BM24" i="13" s="1"/>
  <c r="V67" i="13"/>
  <c r="AU67" i="13"/>
  <c r="AY66" i="13"/>
  <c r="X66" i="13"/>
  <c r="BB68" i="13"/>
  <c r="T68" i="13"/>
  <c r="AC68" i="13" a="1"/>
  <c r="BJ68" i="13" s="1"/>
  <c r="AD68" i="13" a="1"/>
  <c r="BK68" i="13" s="1"/>
  <c r="R68" i="13"/>
  <c r="V68" i="13" s="1"/>
  <c r="AZ65" i="13"/>
  <c r="BA65" i="13"/>
  <c r="AS67" i="13"/>
  <c r="Z36" i="13"/>
  <c r="AA36" i="13" s="1" a="1"/>
  <c r="AB36" i="13" s="1"/>
  <c r="U69" i="13"/>
  <c r="BF36" i="13"/>
  <c r="BC37" i="13" s="1"/>
  <c r="N35" i="13"/>
  <c r="BI68" i="13" l="1"/>
  <c r="W68" i="13"/>
  <c r="X68" i="13" s="1"/>
  <c r="AW68" i="13"/>
  <c r="AX67" i="13"/>
  <c r="BO66" i="13"/>
  <c r="BN68" i="13"/>
  <c r="AU68" i="13"/>
  <c r="BB69" i="13"/>
  <c r="BH69" i="13"/>
  <c r="AR69" i="13"/>
  <c r="AV69" i="13" s="1"/>
  <c r="T69" i="13"/>
  <c r="AF69" i="13" a="1"/>
  <c r="AG69" i="13" a="1"/>
  <c r="L70" i="13"/>
  <c r="BL68" i="13"/>
  <c r="AK23" i="13"/>
  <c r="AN23" i="13"/>
  <c r="AO23" i="13" s="1"/>
  <c r="AP23" i="13" s="1"/>
  <c r="AZ66" i="13"/>
  <c r="BA66" i="13"/>
  <c r="AY67" i="13"/>
  <c r="X67" i="13"/>
  <c r="AC69" i="13" a="1"/>
  <c r="BJ69" i="13" s="1"/>
  <c r="AD69" i="13" a="1"/>
  <c r="BK69" i="13" s="1"/>
  <c r="R69" i="13"/>
  <c r="V69" i="13" s="1"/>
  <c r="AS68" i="13"/>
  <c r="BE37" i="13"/>
  <c r="BD37" i="13"/>
  <c r="BG37" i="13" s="1"/>
  <c r="Y37" i="13" s="1"/>
  <c r="P36" i="13"/>
  <c r="U70" i="13"/>
  <c r="AY68" i="13"/>
  <c r="BI69" i="13" l="1"/>
  <c r="W69" i="13"/>
  <c r="X69" i="13" s="1"/>
  <c r="AX68" i="13"/>
  <c r="AW69" i="13"/>
  <c r="BN69" i="13"/>
  <c r="BO67" i="13"/>
  <c r="AU69" i="13"/>
  <c r="AG70" i="13" a="1"/>
  <c r="AF70" i="13" a="1"/>
  <c r="L71" i="13"/>
  <c r="BL69" i="13"/>
  <c r="M23" i="13"/>
  <c r="O23" i="13" s="1"/>
  <c r="AZ67" i="13"/>
  <c r="BA67" i="13"/>
  <c r="AR70" i="13"/>
  <c r="AV70" i="13" s="1"/>
  <c r="R70" i="13"/>
  <c r="V70" i="13" s="1"/>
  <c r="BH70" i="13"/>
  <c r="T70" i="13"/>
  <c r="AC70" i="13" a="1"/>
  <c r="BJ70" i="13" s="1"/>
  <c r="AD70" i="13" a="1"/>
  <c r="BK70" i="13" s="1"/>
  <c r="BB70" i="13"/>
  <c r="AS69" i="13"/>
  <c r="Z37" i="13"/>
  <c r="AA37" i="13" s="1" a="1"/>
  <c r="AB37" i="13" s="1"/>
  <c r="AZ68" i="13"/>
  <c r="BA68" i="13"/>
  <c r="BF37" i="13"/>
  <c r="BC38" i="13" s="1"/>
  <c r="AY69" i="13"/>
  <c r="N36" i="13"/>
  <c r="BI70" i="13" l="1"/>
  <c r="W70" i="13"/>
  <c r="X70" i="13" s="1"/>
  <c r="AX69" i="13"/>
  <c r="AW70" i="13"/>
  <c r="BN70" i="13"/>
  <c r="BO68" i="13"/>
  <c r="AG71" i="13" a="1"/>
  <c r="AF71" i="13" a="1"/>
  <c r="L72" i="13"/>
  <c r="AR72" i="13" s="1"/>
  <c r="AV72" i="13" s="1"/>
  <c r="BL70" i="13"/>
  <c r="AH24" i="13"/>
  <c r="AI24" i="13" s="1"/>
  <c r="AE25" i="13" s="1"/>
  <c r="BM25" i="13" s="1"/>
  <c r="AU70" i="13"/>
  <c r="AR71" i="13"/>
  <c r="AV71" i="13" s="1"/>
  <c r="BH71" i="13"/>
  <c r="BB71" i="13"/>
  <c r="T71" i="13"/>
  <c r="U71" i="13" s="1"/>
  <c r="AC71" i="13" a="1"/>
  <c r="BJ71" i="13" s="1"/>
  <c r="AD71" i="13" a="1"/>
  <c r="BK71" i="13" s="1"/>
  <c r="R71" i="13"/>
  <c r="AS70" i="13"/>
  <c r="BE38" i="13"/>
  <c r="BD38" i="13"/>
  <c r="BG38" i="13" s="1"/>
  <c r="Y38" i="13" s="1"/>
  <c r="AZ69" i="13"/>
  <c r="BA69" i="13"/>
  <c r="P37" i="13"/>
  <c r="AY70" i="13"/>
  <c r="BI71" i="13" l="1"/>
  <c r="W71" i="13"/>
  <c r="AW71" i="13"/>
  <c r="AW72" i="13"/>
  <c r="AX70" i="13"/>
  <c r="BN71" i="13"/>
  <c r="BO69" i="13"/>
  <c r="AU72" i="13"/>
  <c r="BN72" i="13"/>
  <c r="AF72" i="13" a="1"/>
  <c r="AG72" i="13" a="1"/>
  <c r="L73" i="13"/>
  <c r="BL71" i="13"/>
  <c r="AK24" i="13"/>
  <c r="AN24" i="13"/>
  <c r="AO24" i="13" s="1"/>
  <c r="AP24" i="13" s="1"/>
  <c r="BH72" i="13"/>
  <c r="BB72" i="13"/>
  <c r="T72" i="13"/>
  <c r="AC72" i="13" a="1"/>
  <c r="BJ72" i="13" s="1"/>
  <c r="AD72" i="13" a="1"/>
  <c r="BK72" i="13" s="1"/>
  <c r="R72" i="13"/>
  <c r="AU71" i="13"/>
  <c r="V71" i="13"/>
  <c r="U72" i="13"/>
  <c r="AS71" i="13"/>
  <c r="Z38" i="13"/>
  <c r="AA38" i="13" s="1" a="1"/>
  <c r="AB38" i="13" s="1"/>
  <c r="AZ70" i="13"/>
  <c r="BA70" i="13"/>
  <c r="P38" i="13"/>
  <c r="BF38" i="13"/>
  <c r="BC39" i="13" s="1"/>
  <c r="N37" i="13"/>
  <c r="BI72" i="13" l="1"/>
  <c r="W72" i="13"/>
  <c r="AX71" i="13"/>
  <c r="BO70" i="13"/>
  <c r="AC73" i="13" a="1"/>
  <c r="BJ73" i="13" s="1"/>
  <c r="BB73" i="13"/>
  <c r="T73" i="13"/>
  <c r="AF73" i="13" a="1"/>
  <c r="AG73" i="13" a="1"/>
  <c r="L74" i="13"/>
  <c r="AR74" i="13" s="1"/>
  <c r="AV74" i="13" s="1"/>
  <c r="BL72" i="13"/>
  <c r="M24" i="13"/>
  <c r="O24" i="13" s="1"/>
  <c r="AR73" i="13"/>
  <c r="AV73" i="13" s="1"/>
  <c r="BH73" i="13"/>
  <c r="AD73" i="13" a="1"/>
  <c r="BK73" i="13" s="1"/>
  <c r="R73" i="13"/>
  <c r="AY71" i="13"/>
  <c r="X71" i="13"/>
  <c r="V72" i="13"/>
  <c r="U73" i="13"/>
  <c r="AS72" i="13"/>
  <c r="AX72" i="13" s="1"/>
  <c r="BE39" i="13"/>
  <c r="BD39" i="13"/>
  <c r="BG39" i="13" s="1"/>
  <c r="Y39" i="13" s="1"/>
  <c r="BI73" i="13" l="1"/>
  <c r="W73" i="13"/>
  <c r="AW73" i="13"/>
  <c r="AW74" i="13"/>
  <c r="BN73" i="13"/>
  <c r="BO71" i="13"/>
  <c r="BL73" i="13"/>
  <c r="AU74" i="13"/>
  <c r="BN74" i="13"/>
  <c r="BH74" i="13"/>
  <c r="BB74" i="13"/>
  <c r="T74" i="13"/>
  <c r="AF74" i="13" a="1"/>
  <c r="AG74" i="13" a="1"/>
  <c r="L75" i="13"/>
  <c r="AH25" i="13"/>
  <c r="AI25" i="13" s="1"/>
  <c r="AE26" i="13" s="1"/>
  <c r="BM26" i="13" s="1"/>
  <c r="AU73" i="13"/>
  <c r="AC74" i="13" a="1"/>
  <c r="BJ74" i="13" s="1"/>
  <c r="AD74" i="13" a="1"/>
  <c r="BK74" i="13" s="1"/>
  <c r="R74" i="13"/>
  <c r="AY72" i="13"/>
  <c r="X72" i="13"/>
  <c r="V73" i="13"/>
  <c r="U74" i="13"/>
  <c r="AZ71" i="13"/>
  <c r="BA71" i="13"/>
  <c r="AS73" i="13"/>
  <c r="BO72" i="13"/>
  <c r="Z39" i="13"/>
  <c r="AA39" i="13" s="1" a="1"/>
  <c r="AB39" i="13" s="1"/>
  <c r="BF39" i="13"/>
  <c r="BC40" i="13" s="1"/>
  <c r="N38" i="13"/>
  <c r="BI74" i="13" l="1"/>
  <c r="W74" i="13"/>
  <c r="AX73" i="13"/>
  <c r="AF75" i="13" a="1"/>
  <c r="AG75" i="13" a="1"/>
  <c r="L76" i="13"/>
  <c r="BL74" i="13"/>
  <c r="AK25" i="13"/>
  <c r="AN25" i="13"/>
  <c r="AO25" i="13" s="1"/>
  <c r="AP25" i="13" s="1"/>
  <c r="V74" i="13"/>
  <c r="AZ72" i="13"/>
  <c r="BA72" i="13"/>
  <c r="AR75" i="13"/>
  <c r="AV75" i="13" s="1"/>
  <c r="BH75" i="13"/>
  <c r="BB75" i="13"/>
  <c r="T75" i="13"/>
  <c r="U75" i="13" s="1"/>
  <c r="AD75" i="13" a="1"/>
  <c r="BK75" i="13" s="1"/>
  <c r="AC75" i="13" a="1"/>
  <c r="BJ75" i="13" s="1"/>
  <c r="R75" i="13"/>
  <c r="AY73" i="13"/>
  <c r="X73" i="13"/>
  <c r="AS74" i="13"/>
  <c r="AX74" i="13" s="1"/>
  <c r="BE40" i="13"/>
  <c r="BD40" i="13"/>
  <c r="BG40" i="13" s="1"/>
  <c r="Y40" i="13" s="1"/>
  <c r="P39" i="13"/>
  <c r="BI75" i="13" l="1"/>
  <c r="W75" i="13"/>
  <c r="AW75" i="13"/>
  <c r="BN75" i="13"/>
  <c r="BO73" i="13"/>
  <c r="AR76" i="13"/>
  <c r="AV76" i="13" s="1"/>
  <c r="BH76" i="13"/>
  <c r="AF76" i="13" a="1"/>
  <c r="AG76" i="13" a="1"/>
  <c r="L77" i="13"/>
  <c r="BL75" i="13"/>
  <c r="M25" i="13"/>
  <c r="O25" i="13" s="1"/>
  <c r="AY74" i="13"/>
  <c r="X74" i="13"/>
  <c r="BB76" i="13"/>
  <c r="T76" i="13"/>
  <c r="AC76" i="13" a="1"/>
  <c r="BJ76" i="13" s="1"/>
  <c r="AD76" i="13" a="1"/>
  <c r="BK76" i="13" s="1"/>
  <c r="R76" i="13"/>
  <c r="AU75" i="13"/>
  <c r="V75" i="13"/>
  <c r="U76" i="13"/>
  <c r="AZ73" i="13"/>
  <c r="BA73" i="13"/>
  <c r="AS75" i="13"/>
  <c r="BO74" i="13"/>
  <c r="Z40" i="13"/>
  <c r="AA40" i="13" s="1" a="1"/>
  <c r="AB40" i="13" s="1"/>
  <c r="P40" i="13"/>
  <c r="BF40" i="13"/>
  <c r="BC41" i="13" s="1"/>
  <c r="N39" i="13"/>
  <c r="BI76" i="13" l="1"/>
  <c r="W76" i="13"/>
  <c r="AX75" i="13"/>
  <c r="AW76" i="13"/>
  <c r="BN76" i="13"/>
  <c r="AU76" i="13"/>
  <c r="AR77" i="13"/>
  <c r="AV77" i="13" s="1"/>
  <c r="BH77" i="13"/>
  <c r="AF77" i="13" a="1"/>
  <c r="AG77" i="13" a="1"/>
  <c r="L78" i="13"/>
  <c r="AR78" i="13" s="1"/>
  <c r="AV78" i="13" s="1"/>
  <c r="BL76" i="13"/>
  <c r="AH26" i="13"/>
  <c r="AI26" i="13" s="1"/>
  <c r="AZ74" i="13"/>
  <c r="BA74" i="13"/>
  <c r="BB77" i="13"/>
  <c r="T77" i="13"/>
  <c r="AC77" i="13" a="1"/>
  <c r="BJ77" i="13" s="1"/>
  <c r="AD77" i="13" a="1"/>
  <c r="BK77" i="13" s="1"/>
  <c r="R77" i="13"/>
  <c r="AY75" i="13"/>
  <c r="X75" i="13"/>
  <c r="V76" i="13"/>
  <c r="U77" i="13"/>
  <c r="AS76" i="13"/>
  <c r="BE41" i="13"/>
  <c r="BD41" i="13"/>
  <c r="BG41" i="13" s="1"/>
  <c r="Y41" i="13" s="1"/>
  <c r="BI77" i="13" l="1"/>
  <c r="W77" i="13"/>
  <c r="AX76" i="13"/>
  <c r="AW77" i="13"/>
  <c r="AW78" i="13"/>
  <c r="BN77" i="13"/>
  <c r="BO75" i="13"/>
  <c r="AU78" i="13"/>
  <c r="BN78" i="13"/>
  <c r="AU77" i="13"/>
  <c r="AG78" i="13" a="1"/>
  <c r="AF78" i="13" a="1"/>
  <c r="L79" i="13"/>
  <c r="BL77" i="13"/>
  <c r="AK26" i="13"/>
  <c r="AN26" i="13"/>
  <c r="AO26" i="13" s="1"/>
  <c r="AP26" i="13" s="1"/>
  <c r="M26" i="13" s="1"/>
  <c r="O26" i="13" s="1"/>
  <c r="BH78" i="13"/>
  <c r="BB78" i="13"/>
  <c r="T78" i="13"/>
  <c r="AC78" i="13" a="1"/>
  <c r="BJ78" i="13" s="1"/>
  <c r="AD78" i="13" a="1"/>
  <c r="BK78" i="13" s="1"/>
  <c r="R78" i="13"/>
  <c r="AZ75" i="13"/>
  <c r="BA75" i="13"/>
  <c r="AY76" i="13"/>
  <c r="X76" i="13"/>
  <c r="V77" i="13"/>
  <c r="U78" i="13"/>
  <c r="AS77" i="13"/>
  <c r="Z41" i="13"/>
  <c r="AA41" i="13" s="1" a="1"/>
  <c r="AB41" i="13" s="1"/>
  <c r="BF41" i="13"/>
  <c r="BC42" i="13" s="1"/>
  <c r="N40" i="13"/>
  <c r="BI78" i="13" l="1"/>
  <c r="W78" i="13"/>
  <c r="AX77" i="13"/>
  <c r="BO76" i="13"/>
  <c r="AF79" i="13" a="1"/>
  <c r="AG79" i="13" a="1"/>
  <c r="L80" i="13"/>
  <c r="BL78" i="13"/>
  <c r="V78" i="13"/>
  <c r="AR79" i="13"/>
  <c r="AV79" i="13" s="1"/>
  <c r="BH79" i="13"/>
  <c r="AD79" i="13" a="1"/>
  <c r="BK79" i="13" s="1"/>
  <c r="BB79" i="13"/>
  <c r="T79" i="13"/>
  <c r="U79" i="13" s="1"/>
  <c r="AC79" i="13" a="1"/>
  <c r="BJ79" i="13" s="1"/>
  <c r="R79" i="13"/>
  <c r="BA76" i="13"/>
  <c r="AZ76" i="13"/>
  <c r="AY77" i="13"/>
  <c r="X77" i="13"/>
  <c r="AS78" i="13"/>
  <c r="AX78" i="13" s="1"/>
  <c r="BE42" i="13"/>
  <c r="BD42" i="13"/>
  <c r="BG42" i="13" s="1"/>
  <c r="Y42" i="13" s="1"/>
  <c r="P41" i="13"/>
  <c r="BI79" i="13" l="1"/>
  <c r="W79" i="13"/>
  <c r="AW79" i="13"/>
  <c r="BN79" i="13"/>
  <c r="BO77" i="13"/>
  <c r="AG80" i="13" a="1"/>
  <c r="AF80" i="13" a="1"/>
  <c r="L81" i="13"/>
  <c r="AR81" i="13" s="1"/>
  <c r="AV81" i="13" s="1"/>
  <c r="BL79" i="13"/>
  <c r="AY78" i="13"/>
  <c r="X78" i="13"/>
  <c r="AU79" i="13"/>
  <c r="V79" i="13"/>
  <c r="U80" i="13"/>
  <c r="AR80" i="13"/>
  <c r="AV80" i="13" s="1"/>
  <c r="AD80" i="13" a="1"/>
  <c r="BK80" i="13" s="1"/>
  <c r="BH80" i="13"/>
  <c r="BB80" i="13"/>
  <c r="T80" i="13"/>
  <c r="AC80" i="13" a="1"/>
  <c r="BJ80" i="13" s="1"/>
  <c r="R80" i="13"/>
  <c r="AZ77" i="13"/>
  <c r="BA77" i="13"/>
  <c r="AS79" i="13"/>
  <c r="BO78" i="13"/>
  <c r="Z42" i="13"/>
  <c r="AA42" i="13" s="1" a="1"/>
  <c r="AB42" i="13" s="1"/>
  <c r="P42" i="13"/>
  <c r="BF42" i="13"/>
  <c r="BC43" i="13" s="1"/>
  <c r="N41" i="13"/>
  <c r="BI80" i="13" l="1"/>
  <c r="W80" i="13"/>
  <c r="AX79" i="13"/>
  <c r="AW80" i="13"/>
  <c r="AW81" i="13"/>
  <c r="BN80" i="13"/>
  <c r="AU81" i="13"/>
  <c r="BN81" i="13"/>
  <c r="AG81" i="13" a="1"/>
  <c r="AF81" i="13" a="1"/>
  <c r="L82" i="13"/>
  <c r="BL80" i="13"/>
  <c r="AZ78" i="13"/>
  <c r="BA78" i="13"/>
  <c r="AY79" i="13"/>
  <c r="X79" i="13"/>
  <c r="U81" i="13"/>
  <c r="V80" i="13"/>
  <c r="AU80" i="13"/>
  <c r="BH81" i="13"/>
  <c r="BB81" i="13"/>
  <c r="T81" i="13"/>
  <c r="AC81" i="13" a="1"/>
  <c r="BJ81" i="13" s="1"/>
  <c r="AD81" i="13" a="1"/>
  <c r="BK81" i="13" s="1"/>
  <c r="R81" i="13"/>
  <c r="AS80" i="13"/>
  <c r="BE43" i="13"/>
  <c r="BD43" i="13"/>
  <c r="BG43" i="13" s="1"/>
  <c r="Y43" i="13" s="1"/>
  <c r="BI81" i="13" l="1"/>
  <c r="W81" i="13"/>
  <c r="AX80" i="13"/>
  <c r="BO79" i="13"/>
  <c r="BB82" i="13"/>
  <c r="AC82" i="13" a="1"/>
  <c r="BJ82" i="13" s="1"/>
  <c r="AD82" i="13" a="1"/>
  <c r="BK82" i="13" s="1"/>
  <c r="R82" i="13"/>
  <c r="T82" i="13"/>
  <c r="AR82" i="13"/>
  <c r="BH82" i="13"/>
  <c r="AG82" i="13" a="1"/>
  <c r="AF82" i="13" a="1"/>
  <c r="BL81" i="13"/>
  <c r="AZ79" i="13"/>
  <c r="BA79" i="13"/>
  <c r="U82" i="13"/>
  <c r="V81" i="13"/>
  <c r="AY80" i="13"/>
  <c r="X80" i="13"/>
  <c r="AS81" i="13"/>
  <c r="AX81" i="13" s="1"/>
  <c r="Z43" i="13"/>
  <c r="AA43" i="13" s="1" a="1"/>
  <c r="AB43" i="13" s="1"/>
  <c r="BF43" i="13"/>
  <c r="BC44" i="13" s="1"/>
  <c r="N42" i="13"/>
  <c r="BI82" i="13" l="1"/>
  <c r="B8" i="13" s="1"/>
  <c r="W82" i="13"/>
  <c r="B4" i="13"/>
  <c r="AV82" i="13"/>
  <c r="AW82" i="13" s="1"/>
  <c r="BO80" i="13"/>
  <c r="AS82" i="13"/>
  <c r="BL82" i="13"/>
  <c r="B7" i="13" s="1"/>
  <c r="AU82" i="13"/>
  <c r="BN82" i="13"/>
  <c r="AZ80" i="13"/>
  <c r="BA80" i="13"/>
  <c r="B6" i="13"/>
  <c r="V82" i="13"/>
  <c r="AY81" i="13"/>
  <c r="X81" i="13"/>
  <c r="BE44" i="13"/>
  <c r="BD44" i="13"/>
  <c r="BG44" i="13" s="1"/>
  <c r="Y44" i="13" s="1"/>
  <c r="P43" i="13"/>
  <c r="X82" i="13" l="1"/>
  <c r="AX82" i="13"/>
  <c r="B5" i="13" s="1"/>
  <c r="BO81" i="13"/>
  <c r="AY82" i="13"/>
  <c r="AZ81" i="13"/>
  <c r="BA81" i="13"/>
  <c r="Z44" i="13"/>
  <c r="AA44" i="13" s="1" a="1"/>
  <c r="AB44" i="13" s="1"/>
  <c r="BF44" i="13"/>
  <c r="BC45" i="13" s="1"/>
  <c r="N43" i="13"/>
  <c r="BO82" i="13" l="1"/>
  <c r="AZ82" i="13"/>
  <c r="BA82" i="13"/>
  <c r="BE45" i="13"/>
  <c r="BD45" i="13"/>
  <c r="BG45" i="13" s="1"/>
  <c r="Y45" i="13" s="1"/>
  <c r="P44" i="13"/>
  <c r="Z45" i="13" l="1"/>
  <c r="AA45" i="13" s="1" a="1"/>
  <c r="AB45" i="13" s="1"/>
  <c r="BF45" i="13"/>
  <c r="BC46" i="13" s="1"/>
  <c r="N44" i="13"/>
  <c r="BE46" i="13" l="1"/>
  <c r="BD46" i="13"/>
  <c r="BG46" i="13" s="1"/>
  <c r="Y46" i="13" s="1"/>
  <c r="P45" i="13"/>
  <c r="Z46" i="13" l="1"/>
  <c r="AA46" i="13" s="1" a="1"/>
  <c r="AB46" i="13" s="1"/>
  <c r="BF46" i="13"/>
  <c r="BC47" i="13" s="1"/>
  <c r="N45" i="13"/>
  <c r="BE47" i="13" l="1"/>
  <c r="BD47" i="13"/>
  <c r="BG47" i="13" s="1"/>
  <c r="Y47" i="13" s="1"/>
  <c r="P46" i="13"/>
  <c r="Z47" i="13" l="1"/>
  <c r="AA47" i="13" s="1" a="1"/>
  <c r="AB47" i="13" s="1"/>
  <c r="BF47" i="13"/>
  <c r="BC48" i="13" s="1"/>
  <c r="N46" i="13"/>
  <c r="BE48" i="13" l="1"/>
  <c r="BD48" i="13"/>
  <c r="BG48" i="13" s="1"/>
  <c r="Y48" i="13" s="1"/>
  <c r="P47" i="13"/>
  <c r="N47" i="13"/>
  <c r="Z48" i="13" l="1"/>
  <c r="AA48" i="13" s="1" a="1"/>
  <c r="AB48" i="13" s="1"/>
  <c r="P48" i="13"/>
  <c r="BF48" i="13"/>
  <c r="BC49" i="13" s="1"/>
  <c r="N48" i="13"/>
  <c r="BE49" i="13" l="1"/>
  <c r="BD49" i="13"/>
  <c r="BG49" i="13" s="1"/>
  <c r="BF49" i="13" l="1"/>
  <c r="BC50" i="13" s="1"/>
  <c r="BE50" i="13" s="1"/>
  <c r="Y49" i="13"/>
  <c r="N49" i="13"/>
  <c r="BD50" i="13" l="1"/>
  <c r="BG50" i="13" s="1"/>
  <c r="Y50" i="13" s="1"/>
  <c r="Z49" i="13"/>
  <c r="AA49" i="13" s="1" a="1"/>
  <c r="AB49" i="13" s="1"/>
  <c r="P49" i="13"/>
  <c r="N50" i="13"/>
  <c r="Z50" i="13" l="1"/>
  <c r="AA50" i="13" s="1" a="1"/>
  <c r="AB50" i="13" s="1"/>
  <c r="BF50" i="13"/>
  <c r="BC51" i="13" s="1"/>
  <c r="BE51" i="13" s="1"/>
  <c r="P50" i="13"/>
  <c r="BD51" i="13" l="1"/>
  <c r="BG51" i="13" s="1"/>
  <c r="Y51" i="13" s="1"/>
  <c r="N51" i="13"/>
  <c r="Z51" i="13" l="1"/>
  <c r="AA51" i="13" s="1" a="1"/>
  <c r="BF51" i="13"/>
  <c r="BC52" i="13" s="1"/>
  <c r="BE52" i="13" s="1"/>
  <c r="P51" i="13"/>
  <c r="AB51" i="13" l="1"/>
  <c r="N52" i="13"/>
  <c r="BD52" i="13"/>
  <c r="BG52" i="13" s="1"/>
  <c r="Y52" i="13" s="1"/>
  <c r="Z52" i="13" l="1"/>
  <c r="AA52" i="13" s="1" a="1"/>
  <c r="AB52" i="13" s="1"/>
  <c r="BF52" i="13"/>
  <c r="BC53" i="13" s="1"/>
  <c r="BE53" i="13" s="1"/>
  <c r="P52" i="13"/>
  <c r="N53" i="13" l="1"/>
  <c r="BD53" i="13"/>
  <c r="BG53" i="13" s="1"/>
  <c r="Y53" i="13" s="1"/>
  <c r="Z53" i="13" l="1"/>
  <c r="AA53" i="13" s="1" a="1"/>
  <c r="BF53" i="13"/>
  <c r="BC54" i="13" s="1"/>
  <c r="BE54" i="13" s="1"/>
  <c r="P53" i="13"/>
  <c r="AB53" i="13" l="1"/>
  <c r="N54" i="13"/>
  <c r="BD54" i="13"/>
  <c r="BG54" i="13" s="1"/>
  <c r="Y54" i="13" s="1"/>
  <c r="Z54" i="13" l="1"/>
  <c r="AA54" i="13" s="1" a="1"/>
  <c r="AB54" i="13" s="1"/>
  <c r="BF54" i="13"/>
  <c r="BC55" i="13" s="1"/>
  <c r="BD55" i="13" s="1"/>
  <c r="BG55" i="13" s="1"/>
  <c r="Y55" i="13" s="1"/>
  <c r="P54" i="13"/>
  <c r="BE55" i="13" l="1"/>
  <c r="BF55" i="13" s="1"/>
  <c r="BC56" i="13" s="1"/>
  <c r="N55" i="13"/>
  <c r="Z55" i="13"/>
  <c r="AA55" i="13" s="1" a="1"/>
  <c r="AB55" i="13" s="1"/>
  <c r="BE56" i="13" l="1"/>
  <c r="BD56" i="13"/>
  <c r="BG56" i="13" s="1"/>
  <c r="Y56" i="13" s="1"/>
  <c r="P55" i="13"/>
  <c r="N56" i="13"/>
  <c r="Z56" i="13" l="1"/>
  <c r="AA56" i="13" s="1" a="1"/>
  <c r="AB56" i="13" s="1"/>
  <c r="BF56" i="13"/>
  <c r="BC57" i="13" s="1"/>
  <c r="BE57" i="13" l="1"/>
  <c r="BD57" i="13"/>
  <c r="BG57" i="13" s="1"/>
  <c r="Y57" i="13" s="1"/>
  <c r="P56" i="13"/>
  <c r="N57" i="13"/>
  <c r="Z57" i="13" l="1"/>
  <c r="AA57" i="13" s="1" a="1"/>
  <c r="AB57" i="13" s="1"/>
  <c r="BF57" i="13"/>
  <c r="BC58" i="13" s="1"/>
  <c r="BE58" i="13" l="1"/>
  <c r="BD58" i="13"/>
  <c r="BG58" i="13" s="1"/>
  <c r="Y58" i="13" s="1"/>
  <c r="P57" i="13"/>
  <c r="N58" i="13"/>
  <c r="Z58" i="13" l="1"/>
  <c r="AA58" i="13" s="1" a="1"/>
  <c r="AB58" i="13" s="1"/>
  <c r="P58" i="13"/>
  <c r="BF58" i="13"/>
  <c r="BC59" i="13" s="1"/>
  <c r="BE59" i="13" l="1"/>
  <c r="BD59" i="13"/>
  <c r="BG59" i="13" s="1"/>
  <c r="Y59" i="13" s="1"/>
  <c r="N59" i="13"/>
  <c r="Z59" i="13" l="1"/>
  <c r="AA59" i="13" s="1" a="1"/>
  <c r="AB59" i="13" s="1"/>
  <c r="P59" i="13"/>
  <c r="BF59" i="13"/>
  <c r="BC60" i="13" s="1"/>
  <c r="BE60" i="13" l="1"/>
  <c r="BD60" i="13"/>
  <c r="BG60" i="13" s="1"/>
  <c r="Y60" i="13" s="1"/>
  <c r="N60" i="13"/>
  <c r="Z60" i="13" l="1"/>
  <c r="AA60" i="13" s="1" a="1"/>
  <c r="AB60" i="13" s="1"/>
  <c r="BF60" i="13"/>
  <c r="BC61" i="13" s="1"/>
  <c r="BE61" i="13" l="1"/>
  <c r="BD61" i="13"/>
  <c r="BG61" i="13" s="1"/>
  <c r="Y61" i="13" s="1"/>
  <c r="P60" i="13"/>
  <c r="N61" i="13"/>
  <c r="Z61" i="13" l="1"/>
  <c r="AA61" i="13" s="1" a="1"/>
  <c r="AB61" i="13" s="1"/>
  <c r="BF61" i="13"/>
  <c r="BC62" i="13" s="1"/>
  <c r="BE62" i="13" l="1"/>
  <c r="BD62" i="13"/>
  <c r="BG62" i="13" s="1"/>
  <c r="Y62" i="13" s="1"/>
  <c r="P61" i="13"/>
  <c r="N62" i="13"/>
  <c r="Z62" i="13" l="1"/>
  <c r="AA62" i="13" s="1" a="1"/>
  <c r="AB62" i="13" s="1"/>
  <c r="BF62" i="13"/>
  <c r="BC63" i="13" s="1"/>
  <c r="BE63" i="13" l="1"/>
  <c r="BD63" i="13"/>
  <c r="BG63" i="13" s="1"/>
  <c r="Y63" i="13" s="1"/>
  <c r="P62" i="13"/>
  <c r="N63" i="13"/>
  <c r="Z63" i="13" l="1"/>
  <c r="AA63" i="13" s="1" a="1"/>
  <c r="AB63" i="13" s="1"/>
  <c r="BF63" i="13"/>
  <c r="BC64" i="13" s="1"/>
  <c r="BE64" i="13" l="1"/>
  <c r="BD64" i="13"/>
  <c r="BG64" i="13" s="1"/>
  <c r="Y64" i="13" s="1"/>
  <c r="P63" i="13"/>
  <c r="N64" i="13"/>
  <c r="Z64" i="13" l="1"/>
  <c r="AA64" i="13" s="1" a="1"/>
  <c r="AB64" i="13" s="1"/>
  <c r="P64" i="13"/>
  <c r="BF64" i="13"/>
  <c r="BC65" i="13" s="1"/>
  <c r="BE65" i="13" l="1"/>
  <c r="BD65" i="13"/>
  <c r="BG65" i="13" s="1"/>
  <c r="Y65" i="13" s="1"/>
  <c r="N65" i="13"/>
  <c r="Z65" i="13" l="1"/>
  <c r="AA65" i="13" s="1" a="1"/>
  <c r="AB65" i="13" s="1"/>
  <c r="P65" i="13"/>
  <c r="BF65" i="13"/>
  <c r="BC66" i="13" s="1"/>
  <c r="BE66" i="13" l="1"/>
  <c r="BD66" i="13"/>
  <c r="BG66" i="13" s="1"/>
  <c r="Y66" i="13" s="1"/>
  <c r="N66" i="13"/>
  <c r="Z66" i="13" l="1"/>
  <c r="AA66" i="13" s="1" a="1"/>
  <c r="AB66" i="13" s="1"/>
  <c r="P66" i="13"/>
  <c r="BF66" i="13"/>
  <c r="BC67" i="13" s="1"/>
  <c r="BE67" i="13" l="1"/>
  <c r="BD67" i="13"/>
  <c r="BG67" i="13" s="1"/>
  <c r="Y67" i="13" s="1"/>
  <c r="N67" i="13"/>
  <c r="Z67" i="13" l="1"/>
  <c r="AA67" i="13" s="1" a="1"/>
  <c r="AB67" i="13" s="1"/>
  <c r="P67" i="13"/>
  <c r="BF67" i="13"/>
  <c r="BC68" i="13" s="1"/>
  <c r="BE68" i="13" l="1"/>
  <c r="BD68" i="13"/>
  <c r="BG68" i="13" s="1"/>
  <c r="Y68" i="13" s="1"/>
  <c r="N68" i="13"/>
  <c r="Z68" i="13" l="1"/>
  <c r="AA68" i="13" s="1" a="1"/>
  <c r="AB68" i="13" s="1"/>
  <c r="P68" i="13"/>
  <c r="BF68" i="13"/>
  <c r="BC69" i="13" s="1"/>
  <c r="BE69" i="13" l="1"/>
  <c r="BD69" i="13"/>
  <c r="BG69" i="13" s="1"/>
  <c r="Y69" i="13" s="1"/>
  <c r="N69" i="13"/>
  <c r="Z69" i="13" l="1"/>
  <c r="AA69" i="13" s="1" a="1"/>
  <c r="AB69" i="13" s="1"/>
  <c r="P69" i="13"/>
  <c r="BF69" i="13"/>
  <c r="BC70" i="13" s="1"/>
  <c r="BE70" i="13" l="1"/>
  <c r="BD70" i="13"/>
  <c r="BG70" i="13" s="1"/>
  <c r="Y70" i="13" s="1"/>
  <c r="N70" i="13"/>
  <c r="Z70" i="13" l="1"/>
  <c r="AA70" i="13" s="1" a="1"/>
  <c r="AB70" i="13" s="1"/>
  <c r="BF70" i="13"/>
  <c r="BC71" i="13" s="1"/>
  <c r="BE71" i="13" l="1"/>
  <c r="BD71" i="13"/>
  <c r="BG71" i="13" s="1"/>
  <c r="Y71" i="13" s="1"/>
  <c r="P70" i="13"/>
  <c r="N71" i="13"/>
  <c r="Z71" i="13" l="1"/>
  <c r="AA71" i="13" s="1" a="1"/>
  <c r="AB71" i="13" s="1"/>
  <c r="BF71" i="13"/>
  <c r="BC72" i="13" s="1"/>
  <c r="BE72" i="13" l="1"/>
  <c r="BD72" i="13"/>
  <c r="BG72" i="13" s="1"/>
  <c r="Y72" i="13" s="1"/>
  <c r="P71" i="13"/>
  <c r="N72" i="13"/>
  <c r="Z72" i="13" l="1"/>
  <c r="AA72" i="13" s="1" a="1"/>
  <c r="AB72" i="13" s="1"/>
  <c r="BF72" i="13"/>
  <c r="BC73" i="13" s="1"/>
  <c r="BE73" i="13" l="1"/>
  <c r="BD73" i="13"/>
  <c r="BG73" i="13" s="1"/>
  <c r="Y73" i="13" s="1"/>
  <c r="P72" i="13"/>
  <c r="N73" i="13"/>
  <c r="Z73" i="13" l="1"/>
  <c r="AA73" i="13" s="1" a="1"/>
  <c r="AB73" i="13" s="1"/>
  <c r="P73" i="13"/>
  <c r="BF73" i="13"/>
  <c r="BC74" i="13" s="1"/>
  <c r="BE74" i="13" l="1"/>
  <c r="BD74" i="13"/>
  <c r="BG74" i="13" s="1"/>
  <c r="Y74" i="13" s="1"/>
  <c r="N74" i="13"/>
  <c r="Z74" i="13" l="1"/>
  <c r="AA74" i="13" s="1" a="1"/>
  <c r="AB74" i="13" s="1"/>
  <c r="BF74" i="13"/>
  <c r="BC75" i="13" s="1"/>
  <c r="BE75" i="13" l="1"/>
  <c r="BD75" i="13"/>
  <c r="BG75" i="13" s="1"/>
  <c r="Y75" i="13" s="1"/>
  <c r="P74" i="13"/>
  <c r="N75" i="13"/>
  <c r="Z75" i="13" l="1"/>
  <c r="AA75" i="13" s="1" a="1"/>
  <c r="AB75" i="13" s="1"/>
  <c r="P75" i="13"/>
  <c r="BF75" i="13"/>
  <c r="BC76" i="13" s="1"/>
  <c r="BE76" i="13" l="1"/>
  <c r="BD76" i="13"/>
  <c r="BG76" i="13" s="1"/>
  <c r="Y76" i="13" s="1"/>
  <c r="N76" i="13"/>
  <c r="Z76" i="13" l="1"/>
  <c r="AA76" i="13" s="1" a="1"/>
  <c r="AB76" i="13" s="1"/>
  <c r="BF76" i="13"/>
  <c r="BC77" i="13" s="1"/>
  <c r="BE77" i="13" l="1"/>
  <c r="BD77" i="13"/>
  <c r="BG77" i="13" s="1"/>
  <c r="Y77" i="13" s="1"/>
  <c r="P76" i="13"/>
  <c r="N77" i="13"/>
  <c r="Z77" i="13" l="1"/>
  <c r="AA77" i="13" s="1" a="1"/>
  <c r="AB77" i="13" s="1"/>
  <c r="BF77" i="13"/>
  <c r="BC78" i="13" s="1"/>
  <c r="BE78" i="13" l="1"/>
  <c r="BD78" i="13"/>
  <c r="BG78" i="13" s="1"/>
  <c r="Y78" i="13" s="1"/>
  <c r="P77" i="13"/>
  <c r="N78" i="13"/>
  <c r="Z78" i="13" l="1"/>
  <c r="AA78" i="13" s="1" a="1"/>
  <c r="AB78" i="13" s="1"/>
  <c r="BF78" i="13"/>
  <c r="BC79" i="13" s="1"/>
  <c r="BE79" i="13" l="1"/>
  <c r="BD79" i="13"/>
  <c r="BG79" i="13" s="1"/>
  <c r="Y79" i="13" s="1"/>
  <c r="P78" i="13"/>
  <c r="N79" i="13"/>
  <c r="Z79" i="13" l="1"/>
  <c r="AA79" i="13" s="1" a="1"/>
  <c r="AB79" i="13" s="1"/>
  <c r="P79" i="13"/>
  <c r="BF79" i="13"/>
  <c r="BC80" i="13" s="1"/>
  <c r="BE80" i="13" l="1"/>
  <c r="BD80" i="13"/>
  <c r="BG80" i="13" s="1"/>
  <c r="Y80" i="13" s="1"/>
  <c r="N80" i="13"/>
  <c r="Z80" i="13" l="1"/>
  <c r="AA80" i="13" s="1" a="1"/>
  <c r="AB80" i="13" s="1"/>
  <c r="P80" i="13"/>
  <c r="BF80" i="13"/>
  <c r="BC81" i="13" s="1"/>
  <c r="BE81" i="13" l="1"/>
  <c r="BD81" i="13"/>
  <c r="BG81" i="13" s="1"/>
  <c r="Y81" i="13" s="1"/>
  <c r="N81" i="13"/>
  <c r="Z81" i="13" l="1"/>
  <c r="AA81" i="13" s="1" a="1"/>
  <c r="AB81" i="13" s="1"/>
  <c r="BF81" i="13"/>
  <c r="BC82" i="13" s="1"/>
  <c r="BD82" i="13" s="1"/>
  <c r="BG82" i="13" s="1"/>
  <c r="Y82" i="13" s="1"/>
  <c r="BE82" i="13" l="1"/>
  <c r="N82" i="13"/>
  <c r="P81" i="13"/>
  <c r="Z82" i="13" l="1"/>
  <c r="AA82" i="13" s="1" a="1"/>
  <c r="AB82" i="13" s="1"/>
  <c r="P82" i="13"/>
  <c r="BF82" i="13"/>
  <c r="U27" i="13"/>
  <c r="U28" i="13" s="1"/>
  <c r="V27" i="13" l="1"/>
  <c r="V28" i="13"/>
  <c r="U29" i="13"/>
  <c r="X27" i="13" l="1"/>
  <c r="AY27" i="13"/>
  <c r="BG27" i="13" s="1"/>
  <c r="V29" i="13"/>
  <c r="U30" i="13"/>
  <c r="V30" i="13" s="1"/>
  <c r="AY28" i="13"/>
  <c r="BG28" i="13" s="1"/>
  <c r="X28" i="13"/>
  <c r="Y27" i="13" l="1"/>
  <c r="AZ27" i="13"/>
  <c r="BA27" i="13"/>
  <c r="BA28" i="13"/>
  <c r="Y28" i="13"/>
  <c r="AZ28" i="13"/>
  <c r="X30" i="13"/>
  <c r="AY30" i="13"/>
  <c r="BG30" i="13" s="1"/>
  <c r="X29" i="13"/>
  <c r="AY29" i="13"/>
  <c r="BG29" i="13" s="1"/>
  <c r="B3" i="13" l="1" a="1"/>
  <c r="X1" i="13" a="1"/>
  <c r="BG1" i="13" a="1"/>
  <c r="Z28" i="13"/>
  <c r="AA28" i="13" s="1" a="1"/>
  <c r="AB28" i="13" s="1"/>
  <c r="P27" i="13"/>
  <c r="P28" i="13"/>
  <c r="Y29" i="13"/>
  <c r="AZ29" i="13"/>
  <c r="BA29" i="13"/>
  <c r="AZ30" i="13"/>
  <c r="BA30" i="13"/>
  <c r="Y30" i="13"/>
  <c r="B38" i="13" l="1" a="1"/>
  <c r="B37" i="13" a="1"/>
  <c r="Z29" i="13"/>
  <c r="AA29" i="13" s="1" a="1"/>
  <c r="AB29" i="13" s="1"/>
  <c r="Z27" i="13"/>
  <c r="AA27" i="13" s="1" a="1"/>
  <c r="Z30" i="13"/>
  <c r="AA30" i="13" s="1" a="1"/>
  <c r="AB30" i="13" s="1"/>
  <c r="P29" i="13"/>
  <c r="P30" i="13"/>
  <c r="AM82" i="13" l="1" a="1"/>
  <c r="AE27" i="13"/>
  <c r="BM27" i="13" s="1"/>
  <c r="AM39" i="13" a="1"/>
  <c r="AM71" i="13" a="1"/>
  <c r="AM38" i="13" a="1"/>
  <c r="AM50" i="13" a="1"/>
  <c r="AM55" i="13" a="1"/>
  <c r="AM59" i="13" a="1"/>
  <c r="AM48" i="13" a="1"/>
  <c r="AM41" i="13" a="1"/>
  <c r="AM28" i="13" a="1"/>
  <c r="AM72" i="13" a="1"/>
  <c r="AM49" i="13" a="1"/>
  <c r="AM27" i="13" a="1"/>
  <c r="AM63" i="13" a="1"/>
  <c r="AM40" i="13" a="1"/>
  <c r="AM31" i="13" a="1"/>
  <c r="AM54" i="13" a="1"/>
  <c r="AM34" i="13" a="1"/>
  <c r="AM56" i="13" a="1"/>
  <c r="AM52" i="13" a="1"/>
  <c r="AM51" i="13" a="1"/>
  <c r="AM77" i="13" a="1"/>
  <c r="AM44" i="13" a="1"/>
  <c r="AM42" i="13" a="1"/>
  <c r="AM68" i="13" a="1"/>
  <c r="AM43" i="13" a="1"/>
  <c r="AM66" i="13" a="1"/>
  <c r="AM33" i="13" a="1"/>
  <c r="AM53" i="13" a="1"/>
  <c r="AM46" i="13" a="1"/>
  <c r="AM29" i="13" a="1"/>
  <c r="AM78" i="13" a="1"/>
  <c r="AM75" i="13" a="1"/>
  <c r="AM69" i="13" a="1"/>
  <c r="AM45" i="13" a="1"/>
  <c r="AM73" i="13" a="1"/>
  <c r="AM57" i="13" a="1"/>
  <c r="AM70" i="13" a="1"/>
  <c r="AM36" i="13" a="1"/>
  <c r="AM37" i="13" a="1"/>
  <c r="AM60" i="13" a="1"/>
  <c r="AM65" i="13" a="1"/>
  <c r="AM30" i="13" a="1"/>
  <c r="AM64" i="13" a="1"/>
  <c r="AM58" i="13" a="1"/>
  <c r="AM80" i="13" a="1"/>
  <c r="AM67" i="13" a="1"/>
  <c r="AM81" i="13" a="1"/>
  <c r="AM62" i="13" a="1"/>
  <c r="AM74" i="13" a="1"/>
  <c r="AM76" i="13" a="1"/>
  <c r="AM35" i="13" a="1"/>
  <c r="AM79" i="13" a="1"/>
  <c r="AM61" i="13" a="1"/>
  <c r="AM47" i="13" a="1"/>
  <c r="AM32" i="13" a="1"/>
  <c r="AB27" i="13"/>
  <c r="AJ27" i="13"/>
  <c r="AJ28" i="13" l="1"/>
  <c r="AL27" i="13"/>
  <c r="AH27" i="13"/>
  <c r="AL28" i="13" l="1"/>
  <c r="AJ29" i="13"/>
  <c r="AI27" i="13"/>
  <c r="AE28" i="13" s="1"/>
  <c r="BM28" i="13" s="1"/>
  <c r="AN27" i="13" l="1"/>
  <c r="AO27" i="13" s="1"/>
  <c r="AP27" i="13" s="1"/>
  <c r="AL29" i="13"/>
  <c r="AJ30" i="13"/>
  <c r="AK27" i="13"/>
  <c r="M27" i="13" l="1"/>
  <c r="O27" i="13" s="1"/>
  <c r="AL30" i="13"/>
  <c r="AJ31" i="13"/>
  <c r="AH28" i="13" l="1"/>
  <c r="AI28" i="13" s="1"/>
  <c r="AL31" i="13"/>
  <c r="AJ32" i="13"/>
  <c r="AN28" i="13" l="1"/>
  <c r="AO28" i="13" s="1"/>
  <c r="AP28" i="13" s="1"/>
  <c r="AE29" i="13"/>
  <c r="BM29" i="13" s="1"/>
  <c r="AK28" i="13"/>
  <c r="AL32" i="13"/>
  <c r="AJ33" i="13"/>
  <c r="M28" i="13" l="1"/>
  <c r="O28" i="13" s="1"/>
  <c r="AL33" i="13"/>
  <c r="AJ34" i="13"/>
  <c r="AH29" i="13" l="1"/>
  <c r="AI29" i="13" s="1"/>
  <c r="AE30" i="13" s="1"/>
  <c r="BM30" i="13" s="1"/>
  <c r="AL34" i="13"/>
  <c r="AJ35" i="13"/>
  <c r="AK29" i="13" l="1"/>
  <c r="AN29" i="13"/>
  <c r="AO29" i="13" s="1"/>
  <c r="AP29" i="13" s="1"/>
  <c r="AL35" i="13"/>
  <c r="AJ36" i="13"/>
  <c r="M29" i="13" l="1"/>
  <c r="O29" i="13" s="1"/>
  <c r="AL36" i="13"/>
  <c r="AJ37" i="13"/>
  <c r="AH30" i="13" l="1"/>
  <c r="AI30" i="13" s="1"/>
  <c r="AE31" i="13" s="1"/>
  <c r="BM31" i="13" s="1"/>
  <c r="AL37" i="13"/>
  <c r="AJ38" i="13"/>
  <c r="AN30" i="13" l="1"/>
  <c r="AO30" i="13" s="1"/>
  <c r="AP30" i="13" s="1"/>
  <c r="AK30" i="13"/>
  <c r="AL38" i="13"/>
  <c r="AJ39" i="13"/>
  <c r="M30" i="13" l="1"/>
  <c r="O30" i="13" s="1"/>
  <c r="AL39" i="13"/>
  <c r="AJ40" i="13"/>
  <c r="AH31" i="13" l="1"/>
  <c r="AI31" i="13" s="1"/>
  <c r="AE32" i="13" s="1"/>
  <c r="BM32" i="13" s="1"/>
  <c r="AL40" i="13"/>
  <c r="AJ41" i="13"/>
  <c r="AN31" i="13" l="1"/>
  <c r="AO31" i="13" s="1"/>
  <c r="AP31" i="13" s="1"/>
  <c r="AK31" i="13"/>
  <c r="AL41" i="13"/>
  <c r="AJ42" i="13"/>
  <c r="M31" i="13" l="1"/>
  <c r="O31" i="13" s="1"/>
  <c r="AL42" i="13"/>
  <c r="AJ43" i="13"/>
  <c r="AH32" i="13" l="1"/>
  <c r="AI32" i="13" s="1"/>
  <c r="AE33" i="13" s="1"/>
  <c r="BM33" i="13" s="1"/>
  <c r="AL43" i="13"/>
  <c r="AJ44" i="13"/>
  <c r="AN32" i="13" l="1"/>
  <c r="AO32" i="13" s="1"/>
  <c r="AP32" i="13" s="1"/>
  <c r="AK32" i="13"/>
  <c r="AL44" i="13"/>
  <c r="AJ45" i="13"/>
  <c r="M32" i="13" l="1"/>
  <c r="O32" i="13" s="1"/>
  <c r="AL45" i="13"/>
  <c r="AJ46" i="13"/>
  <c r="AH33" i="13" l="1"/>
  <c r="AI33" i="13" s="1"/>
  <c r="AE34" i="13" s="1"/>
  <c r="BM34" i="13" s="1"/>
  <c r="AL46" i="13"/>
  <c r="AJ47" i="13"/>
  <c r="AN33" i="13" l="1"/>
  <c r="AO33" i="13" s="1"/>
  <c r="AP33" i="13" s="1"/>
  <c r="AK33" i="13"/>
  <c r="AL47" i="13"/>
  <c r="AJ48" i="13"/>
  <c r="M33" i="13" l="1"/>
  <c r="O33" i="13" s="1"/>
  <c r="AL48" i="13"/>
  <c r="AJ49" i="13"/>
  <c r="AH34" i="13" l="1"/>
  <c r="AI34" i="13" s="1"/>
  <c r="AE35" i="13" s="1"/>
  <c r="BM35" i="13" s="1"/>
  <c r="AL49" i="13"/>
  <c r="AJ50" i="13"/>
  <c r="AK34" i="13" l="1"/>
  <c r="AN34" i="13"/>
  <c r="AO34" i="13" s="1"/>
  <c r="AP34" i="13" s="1"/>
  <c r="AL50" i="13"/>
  <c r="AJ51" i="13"/>
  <c r="M34" i="13" l="1"/>
  <c r="O34" i="13" s="1"/>
  <c r="AL51" i="13"/>
  <c r="AJ52" i="13"/>
  <c r="AH35" i="13" l="1"/>
  <c r="AI35" i="13" s="1"/>
  <c r="AE36" i="13" s="1"/>
  <c r="BM36" i="13" s="1"/>
  <c r="AL52" i="13"/>
  <c r="AJ53" i="13"/>
  <c r="AK35" i="13" l="1"/>
  <c r="AN35" i="13"/>
  <c r="AO35" i="13" s="1"/>
  <c r="AP35" i="13" s="1"/>
  <c r="AL53" i="13"/>
  <c r="AJ54" i="13"/>
  <c r="M35" i="13" l="1"/>
  <c r="O35" i="13" s="1"/>
  <c r="AL54" i="13"/>
  <c r="AJ55" i="13"/>
  <c r="AH36" i="13" l="1"/>
  <c r="AI36" i="13" s="1"/>
  <c r="AE37" i="13" s="1"/>
  <c r="BM37" i="13" s="1"/>
  <c r="AL55" i="13"/>
  <c r="AJ56" i="13"/>
  <c r="AN36" i="13" l="1"/>
  <c r="AO36" i="13" s="1"/>
  <c r="AP36" i="13" s="1"/>
  <c r="AK36" i="13"/>
  <c r="AL56" i="13"/>
  <c r="AJ57" i="13"/>
  <c r="M36" i="13" l="1"/>
  <c r="O36" i="13" s="1"/>
  <c r="AL57" i="13"/>
  <c r="AJ58" i="13"/>
  <c r="AH37" i="13" l="1"/>
  <c r="AI37" i="13" s="1"/>
  <c r="AE38" i="13" s="1"/>
  <c r="BM38" i="13" s="1"/>
  <c r="AL58" i="13"/>
  <c r="AJ59" i="13"/>
  <c r="AN37" i="13" l="1"/>
  <c r="AO37" i="13" s="1"/>
  <c r="AP37" i="13" s="1"/>
  <c r="AK37" i="13"/>
  <c r="AL59" i="13"/>
  <c r="AJ60" i="13"/>
  <c r="M37" i="13" l="1"/>
  <c r="O37" i="13" s="1"/>
  <c r="AL60" i="13"/>
  <c r="AJ61" i="13"/>
  <c r="AH38" i="13" l="1"/>
  <c r="AI38" i="13" s="1"/>
  <c r="AE39" i="13" s="1"/>
  <c r="BM39" i="13" s="1"/>
  <c r="AL61" i="13"/>
  <c r="AJ62" i="13"/>
  <c r="AN38" i="13" l="1"/>
  <c r="AO38" i="13" s="1"/>
  <c r="AP38" i="13" s="1"/>
  <c r="AK38" i="13"/>
  <c r="AL62" i="13"/>
  <c r="AJ63" i="13"/>
  <c r="M38" i="13" l="1"/>
  <c r="O38" i="13" s="1"/>
  <c r="AL63" i="13"/>
  <c r="AJ64" i="13"/>
  <c r="AH39" i="13" l="1"/>
  <c r="AI39" i="13" s="1"/>
  <c r="AE40" i="13" s="1"/>
  <c r="BM40" i="13" s="1"/>
  <c r="AL64" i="13"/>
  <c r="AJ65" i="13"/>
  <c r="AK39" i="13" l="1"/>
  <c r="AN39" i="13"/>
  <c r="AO39" i="13" s="1"/>
  <c r="AP39" i="13" s="1"/>
  <c r="AL65" i="13"/>
  <c r="AJ66" i="13"/>
  <c r="AH40" i="13" l="1"/>
  <c r="AI40" i="13" s="1"/>
  <c r="AE41" i="13" s="1"/>
  <c r="BM41" i="13" s="1"/>
  <c r="M39" i="13"/>
  <c r="O39" i="13" s="1"/>
  <c r="AL66" i="13"/>
  <c r="AJ67" i="13"/>
  <c r="AK40" i="13" l="1"/>
  <c r="AN40" i="13"/>
  <c r="AO40" i="13" s="1"/>
  <c r="AP40" i="13" s="1"/>
  <c r="AL67" i="13"/>
  <c r="AJ68" i="13"/>
  <c r="M40" i="13" l="1"/>
  <c r="O40" i="13" s="1"/>
  <c r="AH41" i="13"/>
  <c r="AI41" i="13" s="1"/>
  <c r="AE42" i="13" s="1"/>
  <c r="BM42" i="13" s="1"/>
  <c r="AL68" i="13"/>
  <c r="AJ69" i="13"/>
  <c r="AN41" i="13" l="1"/>
  <c r="AO41" i="13" s="1"/>
  <c r="AP41" i="13" s="1"/>
  <c r="AK41" i="13"/>
  <c r="AL69" i="13"/>
  <c r="AJ70" i="13"/>
  <c r="AH42" i="13" l="1"/>
  <c r="AI42" i="13" s="1"/>
  <c r="AE43" i="13" s="1"/>
  <c r="BM43" i="13" s="1"/>
  <c r="M41" i="13"/>
  <c r="O41" i="13" s="1"/>
  <c r="AL70" i="13"/>
  <c r="AJ71" i="13"/>
  <c r="AN42" i="13" l="1"/>
  <c r="AO42" i="13" s="1"/>
  <c r="AP42" i="13" s="1"/>
  <c r="AK42" i="13"/>
  <c r="AL71" i="13"/>
  <c r="AJ72" i="13"/>
  <c r="M42" i="13" l="1"/>
  <c r="O42" i="13" s="1"/>
  <c r="AH43" i="13"/>
  <c r="AI43" i="13" s="1"/>
  <c r="AE44" i="13" s="1"/>
  <c r="BM44" i="13" s="1"/>
  <c r="AL72" i="13"/>
  <c r="AJ73" i="13"/>
  <c r="AK43" i="13" l="1"/>
  <c r="AN43" i="13"/>
  <c r="AO43" i="13" s="1"/>
  <c r="AP43" i="13" s="1"/>
  <c r="AL73" i="13"/>
  <c r="AJ74" i="13"/>
  <c r="M43" i="13" l="1"/>
  <c r="O43" i="13" s="1"/>
  <c r="AH44" i="13"/>
  <c r="AI44" i="13" s="1"/>
  <c r="AE45" i="13" s="1"/>
  <c r="BM45" i="13" s="1"/>
  <c r="AL74" i="13"/>
  <c r="AJ75" i="13"/>
  <c r="AK44" i="13" l="1"/>
  <c r="AN44" i="13"/>
  <c r="AO44" i="13" s="1"/>
  <c r="AP44" i="13" s="1"/>
  <c r="AL75" i="13"/>
  <c r="AJ76" i="13"/>
  <c r="M44" i="13" l="1"/>
  <c r="O44" i="13" s="1"/>
  <c r="AL76" i="13"/>
  <c r="AJ77" i="13"/>
  <c r="AH45" i="13" l="1"/>
  <c r="AI45" i="13" s="1"/>
  <c r="AE46" i="13" s="1"/>
  <c r="BM46" i="13" s="1"/>
  <c r="AL77" i="13"/>
  <c r="AJ78" i="13"/>
  <c r="AK45" i="13" l="1"/>
  <c r="AN45" i="13"/>
  <c r="AO45" i="13" s="1"/>
  <c r="AP45" i="13" s="1"/>
  <c r="AL78" i="13"/>
  <c r="AJ79" i="13"/>
  <c r="M45" i="13" l="1"/>
  <c r="O45" i="13" s="1"/>
  <c r="AL79" i="13"/>
  <c r="AJ80" i="13"/>
  <c r="AH46" i="13" l="1"/>
  <c r="AI46" i="13" s="1"/>
  <c r="AE47" i="13" s="1"/>
  <c r="BM47" i="13" s="1"/>
  <c r="AL80" i="13"/>
  <c r="AJ81" i="13"/>
  <c r="AJ82" i="13" s="1"/>
  <c r="AK46" i="13" l="1"/>
  <c r="AN46" i="13"/>
  <c r="AO46" i="13" s="1"/>
  <c r="AP46" i="13" s="1"/>
  <c r="AL81" i="13"/>
  <c r="AL82" i="13"/>
  <c r="M46" i="13" l="1"/>
  <c r="O46" i="13" s="1"/>
  <c r="AH47" i="13" l="1"/>
  <c r="AI47" i="13" s="1"/>
  <c r="AE48" i="13" s="1"/>
  <c r="BM48" i="13" s="1"/>
  <c r="AK47" i="13" l="1"/>
  <c r="AN47" i="13"/>
  <c r="AO47" i="13" s="1"/>
  <c r="AP47" i="13" s="1"/>
  <c r="M47" i="13" l="1"/>
  <c r="O47" i="13" s="1"/>
  <c r="AH48" i="13" l="1"/>
  <c r="AI48" i="13" s="1"/>
  <c r="AE49" i="13" s="1"/>
  <c r="BM49" i="13" s="1"/>
  <c r="AK48" i="13" l="1"/>
  <c r="AN48" i="13"/>
  <c r="AO48" i="13" s="1"/>
  <c r="AP48" i="13" s="1"/>
  <c r="M48" i="13" l="1"/>
  <c r="O48" i="13" s="1"/>
  <c r="AH49" i="13" l="1"/>
  <c r="AI49" i="13" s="1"/>
  <c r="AE50" i="13" s="1"/>
  <c r="BM50" i="13" s="1"/>
  <c r="AK49" i="13" l="1"/>
  <c r="AN49" i="13"/>
  <c r="AO49" i="13" s="1"/>
  <c r="AP49" i="13" s="1"/>
  <c r="M49" i="13" l="1"/>
  <c r="O49" i="13" s="1"/>
  <c r="AH50" i="13" l="1"/>
  <c r="AI50" i="13" s="1"/>
  <c r="AE51" i="13" s="1"/>
  <c r="BM51" i="13" l="1"/>
  <c r="AK50" i="13"/>
  <c r="AN50" i="13"/>
  <c r="AO50" i="13" s="1"/>
  <c r="AP50" i="13" s="1"/>
  <c r="M50" i="13" s="1"/>
  <c r="O50" i="13" s="1"/>
  <c r="AH51" i="13" l="1"/>
  <c r="AI51" i="13" s="1"/>
  <c r="AE52" i="13" l="1"/>
  <c r="BM52" i="13" s="1"/>
  <c r="AK51" i="13"/>
  <c r="AN51" i="13"/>
  <c r="AO51" i="13" s="1"/>
  <c r="AP51" i="13" s="1"/>
  <c r="M51" i="13" s="1"/>
  <c r="O51" i="13" l="1"/>
  <c r="AH52" i="13" l="1"/>
  <c r="AI52" i="13" s="1"/>
  <c r="AE53" i="13" s="1"/>
  <c r="BM53" i="13" s="1"/>
  <c r="AK52" i="13" l="1"/>
  <c r="AN52" i="13"/>
  <c r="AO52" i="13" s="1"/>
  <c r="AP52" i="13" s="1"/>
  <c r="M52" i="13" l="1"/>
  <c r="O52" i="13" s="1"/>
  <c r="AH53" i="13" l="1"/>
  <c r="AI53" i="13" s="1"/>
  <c r="AE54" i="13" s="1"/>
  <c r="BM54" i="13" s="1"/>
  <c r="AK53" i="13" l="1"/>
  <c r="AN53" i="13"/>
  <c r="AO53" i="13" s="1"/>
  <c r="AP53" i="13" s="1"/>
  <c r="M53" i="13" l="1"/>
  <c r="O53" i="13" s="1"/>
  <c r="AH54" i="13" l="1"/>
  <c r="AI54" i="13" s="1"/>
  <c r="AE55" i="13" s="1"/>
  <c r="BM55" i="13" s="1"/>
  <c r="AK54" i="13" l="1"/>
  <c r="AN54" i="13"/>
  <c r="AO54" i="13" s="1"/>
  <c r="AP54" i="13" s="1"/>
  <c r="M54" i="13" l="1"/>
  <c r="O54" i="13" s="1"/>
  <c r="AH55" i="13" l="1"/>
  <c r="AI55" i="13" s="1"/>
  <c r="AE56" i="13" s="1"/>
  <c r="BM56" i="13" s="1"/>
  <c r="AK55" i="13" l="1"/>
  <c r="AN55" i="13"/>
  <c r="AO55" i="13" s="1"/>
  <c r="AP55" i="13" s="1"/>
  <c r="M55" i="13" l="1"/>
  <c r="O55" i="13" s="1"/>
  <c r="AH56" i="13" l="1"/>
  <c r="AI56" i="13" s="1"/>
  <c r="AE57" i="13" s="1"/>
  <c r="BM57" i="13" s="1"/>
  <c r="AK56" i="13" l="1"/>
  <c r="AN56" i="13"/>
  <c r="AO56" i="13" s="1"/>
  <c r="AP56" i="13" s="1"/>
  <c r="M56" i="13" l="1"/>
  <c r="O56" i="13" s="1"/>
  <c r="AH57" i="13" l="1"/>
  <c r="AI57" i="13" s="1"/>
  <c r="AE58" i="13" s="1"/>
  <c r="BM58" i="13" s="1"/>
  <c r="AK57" i="13" l="1"/>
  <c r="AN57" i="13"/>
  <c r="AO57" i="13" s="1"/>
  <c r="AP57" i="13" s="1"/>
  <c r="M57" i="13" l="1"/>
  <c r="O57" i="13" s="1"/>
  <c r="AH58" i="13" l="1"/>
  <c r="AI58" i="13" s="1"/>
  <c r="AE59" i="13" s="1"/>
  <c r="BM59" i="13" s="1"/>
  <c r="AK58" i="13" l="1"/>
  <c r="AN58" i="13"/>
  <c r="AO58" i="13" s="1"/>
  <c r="AP58" i="13" s="1"/>
  <c r="M58" i="13" l="1"/>
  <c r="O58" i="13" s="1"/>
  <c r="AH59" i="13" l="1"/>
  <c r="AI59" i="13" s="1"/>
  <c r="AE60" i="13" s="1"/>
  <c r="BM60" i="13" s="1"/>
  <c r="AK59" i="13" l="1"/>
  <c r="AN59" i="13"/>
  <c r="AO59" i="13" s="1"/>
  <c r="AP59" i="13" s="1"/>
  <c r="M59" i="13" l="1"/>
  <c r="O59" i="13" s="1"/>
  <c r="AH60" i="13" l="1"/>
  <c r="AI60" i="13" s="1"/>
  <c r="AE61" i="13" s="1"/>
  <c r="BM61" i="13" s="1"/>
  <c r="AK60" i="13" l="1"/>
  <c r="AN60" i="13"/>
  <c r="AO60" i="13" s="1"/>
  <c r="AP60" i="13" s="1"/>
  <c r="M60" i="13" l="1"/>
  <c r="O60" i="13" s="1"/>
  <c r="AH61" i="13" l="1"/>
  <c r="AI61" i="13" s="1"/>
  <c r="AE62" i="13" s="1"/>
  <c r="BM62" i="13" s="1"/>
  <c r="AK61" i="13" l="1"/>
  <c r="AN61" i="13"/>
  <c r="AO61" i="13" s="1"/>
  <c r="AP61" i="13" s="1"/>
  <c r="M61" i="13" l="1"/>
  <c r="O61" i="13" s="1"/>
  <c r="AH62" i="13" l="1"/>
  <c r="AI62" i="13" s="1"/>
  <c r="AE63" i="13" s="1"/>
  <c r="BM63" i="13" s="1"/>
  <c r="AK62" i="13" l="1"/>
  <c r="AN62" i="13"/>
  <c r="AO62" i="13" s="1"/>
  <c r="AP62" i="13" s="1"/>
  <c r="M62" i="13" l="1"/>
  <c r="O62" i="13" s="1"/>
  <c r="AH63" i="13" l="1"/>
  <c r="AI63" i="13" s="1"/>
  <c r="AE64" i="13" s="1"/>
  <c r="BM64" i="13" s="1"/>
  <c r="AK63" i="13" l="1"/>
  <c r="AN63" i="13"/>
  <c r="AO63" i="13" s="1"/>
  <c r="AP63" i="13" s="1"/>
  <c r="M63" i="13" l="1"/>
  <c r="O63" i="13" s="1"/>
  <c r="N20" i="13"/>
  <c r="O20" i="13" s="1"/>
  <c r="N21" i="13"/>
  <c r="O21" i="13" s="1"/>
  <c r="AH64" i="13" l="1"/>
  <c r="AI64" i="13" s="1"/>
  <c r="AE65" i="13" s="1"/>
  <c r="BM65" i="13" s="1"/>
  <c r="AK64" i="13" l="1"/>
  <c r="AN64" i="13"/>
  <c r="AO64" i="13" s="1"/>
  <c r="AP64" i="13" s="1"/>
  <c r="M64" i="13" l="1"/>
  <c r="O64" i="13" s="1"/>
  <c r="AH65" i="13" l="1"/>
  <c r="AI65" i="13" s="1"/>
  <c r="AE66" i="13" s="1"/>
  <c r="BM66" i="13" s="1"/>
  <c r="AK65" i="13" l="1"/>
  <c r="AN65" i="13"/>
  <c r="AO65" i="13" s="1"/>
  <c r="AP65" i="13" s="1"/>
  <c r="M65" i="13" l="1"/>
  <c r="O65" i="13" s="1"/>
  <c r="AH66" i="13" l="1"/>
  <c r="AI66" i="13" s="1"/>
  <c r="AE67" i="13" s="1"/>
  <c r="BM67" i="13" s="1"/>
  <c r="AK66" i="13" l="1"/>
  <c r="AN66" i="13"/>
  <c r="AO66" i="13" s="1"/>
  <c r="AP66" i="13" s="1"/>
  <c r="M66" i="13" l="1"/>
  <c r="O66" i="13" s="1"/>
  <c r="AH67" i="13" l="1"/>
  <c r="AI67" i="13" s="1"/>
  <c r="AE68" i="13" s="1"/>
  <c r="BM68" i="13" s="1"/>
  <c r="AK67" i="13" l="1"/>
  <c r="AN67" i="13"/>
  <c r="AO67" i="13" s="1"/>
  <c r="AP67" i="13" s="1"/>
  <c r="M67" i="13" l="1"/>
  <c r="O67" i="13" s="1"/>
  <c r="AH68" i="13" l="1"/>
  <c r="AI68" i="13" s="1"/>
  <c r="AE69" i="13" s="1"/>
  <c r="BM69" i="13" s="1"/>
  <c r="AK68" i="13" l="1"/>
  <c r="AN68" i="13"/>
  <c r="AO68" i="13" s="1"/>
  <c r="AP68" i="13" s="1"/>
  <c r="M68" i="13" l="1"/>
  <c r="O68" i="13" s="1"/>
  <c r="AH69" i="13" l="1"/>
  <c r="AI69" i="13" s="1"/>
  <c r="AE70" i="13" s="1"/>
  <c r="BM70" i="13" s="1"/>
  <c r="AK69" i="13" l="1"/>
  <c r="AN69" i="13"/>
  <c r="AO69" i="13" s="1"/>
  <c r="AP69" i="13" s="1"/>
  <c r="M69" i="13" l="1"/>
  <c r="O69" i="13" s="1"/>
  <c r="AH70" i="13" l="1"/>
  <c r="AI70" i="13" s="1"/>
  <c r="AE71" i="13" s="1"/>
  <c r="BM71" i="13" s="1"/>
  <c r="AK70" i="13" l="1"/>
  <c r="AN70" i="13"/>
  <c r="AO70" i="13" s="1"/>
  <c r="AP70" i="13" s="1"/>
  <c r="M70" i="13" l="1"/>
  <c r="O70" i="13" s="1"/>
  <c r="AH71" i="13" l="1"/>
  <c r="AI71" i="13" s="1"/>
  <c r="AE72" i="13" s="1"/>
  <c r="BM72" i="13" s="1"/>
  <c r="AK71" i="13" l="1"/>
  <c r="AN71" i="13"/>
  <c r="AO71" i="13" s="1"/>
  <c r="AP71" i="13" s="1"/>
  <c r="M71" i="13" l="1"/>
  <c r="O71" i="13" s="1"/>
  <c r="AH72" i="13" l="1"/>
  <c r="AI72" i="13" s="1"/>
  <c r="AE73" i="13" s="1"/>
  <c r="BM73" i="13" s="1"/>
  <c r="AK72" i="13" l="1"/>
  <c r="AN72" i="13"/>
  <c r="AO72" i="13" s="1"/>
  <c r="AP72" i="13" s="1"/>
  <c r="M72" i="13" l="1"/>
  <c r="O72" i="13" s="1"/>
  <c r="AH73" i="13" l="1"/>
  <c r="AI73" i="13" s="1"/>
  <c r="AE74" i="13" s="1"/>
  <c r="BM74" i="13" s="1"/>
  <c r="AK73" i="13" l="1"/>
  <c r="AN73" i="13"/>
  <c r="AO73" i="13" s="1"/>
  <c r="AP73" i="13" s="1"/>
  <c r="M73" i="13" l="1"/>
  <c r="O73" i="13" s="1"/>
  <c r="AH74" i="13" l="1"/>
  <c r="AI74" i="13" s="1"/>
  <c r="AE75" i="13" s="1"/>
  <c r="BM75" i="13" s="1"/>
  <c r="AK74" i="13" l="1"/>
  <c r="AN74" i="13"/>
  <c r="AO74" i="13" s="1"/>
  <c r="AP74" i="13" s="1"/>
  <c r="M74" i="13" l="1"/>
  <c r="O74" i="13" s="1"/>
  <c r="AH75" i="13" l="1"/>
  <c r="AI75" i="13" s="1"/>
  <c r="AE76" i="13" s="1"/>
  <c r="BM76" i="13" s="1"/>
  <c r="AK75" i="13" l="1"/>
  <c r="AN75" i="13"/>
  <c r="AO75" i="13" s="1"/>
  <c r="AP75" i="13" s="1"/>
  <c r="M75" i="13" l="1"/>
  <c r="O75" i="13" s="1"/>
  <c r="AH76" i="13" l="1"/>
  <c r="AI76" i="13" s="1"/>
  <c r="AE77" i="13" s="1"/>
  <c r="BM77" i="13" s="1"/>
  <c r="AK76" i="13" l="1"/>
  <c r="AN76" i="13"/>
  <c r="AO76" i="13" s="1"/>
  <c r="AP76" i="13" s="1"/>
  <c r="M76" i="13" l="1"/>
  <c r="O76" i="13" s="1"/>
  <c r="AH77" i="13" l="1"/>
  <c r="AI77" i="13" s="1"/>
  <c r="AE78" i="13" s="1"/>
  <c r="BM78" i="13" s="1"/>
  <c r="AK77" i="13" l="1"/>
  <c r="AN77" i="13"/>
  <c r="AO77" i="13" s="1"/>
  <c r="AP77" i="13" s="1"/>
  <c r="M77" i="13" l="1"/>
  <c r="O77" i="13" s="1"/>
  <c r="AH78" i="13" l="1"/>
  <c r="AI78" i="13" s="1"/>
  <c r="AE79" i="13" s="1"/>
  <c r="BM79" i="13" s="1"/>
  <c r="AK78" i="13" l="1"/>
  <c r="AN78" i="13"/>
  <c r="AO78" i="13" s="1"/>
  <c r="AP78" i="13" s="1"/>
  <c r="M78" i="13" l="1"/>
  <c r="O78" i="13" s="1"/>
  <c r="AH79" i="13" l="1"/>
  <c r="AI79" i="13" s="1"/>
  <c r="AE80" i="13" s="1"/>
  <c r="BM80" i="13" s="1"/>
  <c r="AK79" i="13" l="1"/>
  <c r="AN79" i="13"/>
  <c r="AO79" i="13" s="1"/>
  <c r="AP79" i="13" s="1"/>
  <c r="M79" i="13" l="1"/>
  <c r="O79" i="13" s="1"/>
  <c r="AH80" i="13" l="1"/>
  <c r="AI80" i="13" s="1"/>
  <c r="AE81" i="13" s="1"/>
  <c r="BM81" i="13" s="1"/>
  <c r="AK80" i="13" l="1"/>
  <c r="AN80" i="13"/>
  <c r="AO80" i="13" s="1"/>
  <c r="AP80" i="13" s="1"/>
  <c r="M80" i="13" l="1"/>
  <c r="O80" i="13" s="1"/>
  <c r="AH81" i="13" l="1"/>
  <c r="AI81" i="13" s="1"/>
  <c r="AE82" i="13" s="1"/>
  <c r="BM82" i="13" s="1"/>
  <c r="AK81" i="13" l="1"/>
  <c r="AN81" i="13"/>
  <c r="AO81" i="13" s="1"/>
  <c r="AP81" i="13" s="1"/>
  <c r="M81" i="13" l="1"/>
  <c r="O81" i="13" s="1"/>
  <c r="AH82" i="13" l="1"/>
  <c r="AI82" i="13" s="1"/>
  <c r="AN82" i="13" l="1"/>
  <c r="AO82" i="13" s="1"/>
  <c r="AP82" i="13" s="1"/>
  <c r="M82" i="13" s="1"/>
  <c r="O82" i="13" s="1"/>
  <c r="B2" i="13" s="1"/>
  <c r="AK8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U2" authorId="0" shapeId="0" xr:uid="{534314A7-E90E-42C9-869F-BEDFBC027EB1}">
      <text>
        <r>
          <rPr>
            <b/>
            <sz val="9"/>
            <color indexed="81"/>
            <rFont val="Tahoma"/>
            <family val="2"/>
          </rPr>
          <t>Hatta Misra:</t>
        </r>
        <r>
          <rPr>
            <sz val="9"/>
            <color indexed="81"/>
            <rFont val="Tahoma"/>
            <family val="2"/>
          </rPr>
          <t xml:space="preserve">
We assume the renter's rents change yearly to match the market rent.</t>
        </r>
      </text>
    </comment>
    <comment ref="Z2" authorId="0" shapeId="0" xr:uid="{7061C6D8-D8BE-4103-BF08-1D6DF6587FA7}">
      <text>
        <r>
          <rPr>
            <b/>
            <sz val="9"/>
            <color indexed="81"/>
            <rFont val="Tahoma"/>
            <family val="2"/>
          </rPr>
          <t>Hatta Misra:</t>
        </r>
        <r>
          <rPr>
            <sz val="9"/>
            <color indexed="81"/>
            <rFont val="Tahoma"/>
            <family val="2"/>
          </rPr>
          <t xml:space="preserve">
Only when investing through super</t>
        </r>
      </text>
    </comment>
    <comment ref="AM2" authorId="0" shapeId="0" xr:uid="{ED8D01D4-0F4F-4AD7-9270-BB001F193D71}">
      <text>
        <r>
          <rPr>
            <b/>
            <sz val="9"/>
            <color indexed="81"/>
            <rFont val="Tahoma"/>
            <family val="2"/>
          </rPr>
          <t>Hatta Misra:</t>
        </r>
        <r>
          <rPr>
            <sz val="9"/>
            <color indexed="81"/>
            <rFont val="Tahoma"/>
            <family val="2"/>
          </rPr>
          <t xml:space="preserve">
Logic: if CPI in Q1 was 100 and next quarter Q2 was 101, then to adjust the cost base for inflation we calculate q_2 = q_1*(101/100) + c_2 where c_2 is contributions this quarter and q is the cost base adjusted for CPI by quarter</t>
        </r>
      </text>
    </comment>
    <comment ref="A14" authorId="0" shapeId="0" xr:uid="{DB548461-CDA2-4DBA-898B-ECF137FF1D7A}">
      <text>
        <r>
          <rPr>
            <b/>
            <sz val="9"/>
            <color indexed="81"/>
            <rFont val="Tahoma"/>
            <family val="2"/>
          </rPr>
          <t>Hatta Misra:</t>
        </r>
        <r>
          <rPr>
            <sz val="9"/>
            <color indexed="81"/>
            <rFont val="Tahoma"/>
            <family val="2"/>
          </rPr>
          <t xml:space="preserve">
We account for depreciation, renovation, and maintenance separately.
We assume that the home depreciates in value at a certain rate (default: 1% of original home value p.a.)
Higher home sale prices in the index are partly due to homes being renovated/altered/added then sold at a higher price. The model accounts for this by adding another derating factor (default: 1.15% of current index value p.a.).
Depreciation and renovation are applied as de-rating factors (as it represents an ageing and unrenovated home falling behind the index of newer and renovated homes). In contrast, maintenance spending is applied as cashflow costs.
(Renovation was modelled as a cashflow cost but since renovations aren't mandatory like maintenance is, it's probably more appropriate to apply it as a derating factor to home value)</t>
        </r>
      </text>
    </comment>
    <comment ref="A15" authorId="0" shapeId="0" xr:uid="{DE9DF85A-EA0B-4E35-AD9B-8C0762CEE527}">
      <text>
        <r>
          <rPr>
            <b/>
            <sz val="9"/>
            <color indexed="81"/>
            <rFont val="Tahoma"/>
            <family val="2"/>
          </rPr>
          <t>Hatta Misra:</t>
        </r>
        <r>
          <rPr>
            <sz val="9"/>
            <color indexed="81"/>
            <rFont val="Tahoma"/>
            <family val="2"/>
          </rPr>
          <t xml:space="preserve">
This line item is how much better we assume newer homes (newer constituents in the home price index) are, compared to older homes. If this is 0 then we assume the median 2010 and median 2020 home are the same quality - same appliances, floor area, insulation standards, etc. etc.
Fox &amp; Tulip 2014 cites Stapleton 2007, 2012 estimates of "alterations and additions [contributing] 1.15 percentage points a year to average home values"</t>
        </r>
      </text>
    </comment>
    <comment ref="A26" authorId="0" shapeId="0" xr:uid="{0150E84C-B54F-4950-A016-3E7D4B31AFC5}">
      <text>
        <r>
          <rPr>
            <b/>
            <sz val="9"/>
            <color indexed="81"/>
            <rFont val="Tahoma"/>
            <family val="2"/>
          </rPr>
          <t>Hatta Misra:</t>
        </r>
        <r>
          <rPr>
            <sz val="9"/>
            <color indexed="81"/>
            <rFont val="Tahoma"/>
            <family val="2"/>
          </rPr>
          <t xml:space="preserve">
There were first home buyer exemptions in 2005: https://www.aph.gov.au/Parliamentary_Business/Committees/Senate/Former_Committees/hsaf/report/c07</t>
        </r>
      </text>
    </comment>
    <comment ref="B26" authorId="0" shapeId="0" xr:uid="{38E18596-781B-4FCF-A741-A26E08C20CD3}">
      <text>
        <r>
          <rPr>
            <b/>
            <sz val="9"/>
            <color indexed="81"/>
            <rFont val="Tahoma"/>
            <family val="2"/>
          </rPr>
          <t>Hatta Misra:</t>
        </r>
        <r>
          <rPr>
            <sz val="9"/>
            <color indexed="81"/>
            <rFont val="Tahoma"/>
            <family val="2"/>
          </rPr>
          <t xml:space="preserve">
Duties Act 2000 (Vic) as of 1 Jan 2006, Part 3 s. 28. NB: First home owner concession was only for properties under $200k</t>
        </r>
      </text>
    </comment>
    <comment ref="A44" authorId="0" shapeId="0" xr:uid="{0A031E0E-F2A5-407C-A615-5278ABAA2A5A}">
      <text>
        <r>
          <rPr>
            <b/>
            <sz val="9"/>
            <color indexed="81"/>
            <rFont val="Tahoma"/>
            <family val="2"/>
          </rPr>
          <t>Hatta Misra:</t>
        </r>
        <r>
          <rPr>
            <sz val="9"/>
            <color indexed="81"/>
            <rFont val="Tahoma"/>
            <family val="2"/>
          </rPr>
          <t xml:space="preserve">
We do not consider taxation of superannuation earnings as there are ways for an individual investor to have a very low effective tax rate on superannuation earnings. See the notes docx for more info.</t>
        </r>
      </text>
    </comment>
    <comment ref="A47" authorId="0" shapeId="0" xr:uid="{34FBCEC1-7EB8-4B16-93C0-311B51D2B3E3}">
      <text>
        <r>
          <rPr>
            <b/>
            <sz val="9"/>
            <color indexed="81"/>
            <rFont val="Tahoma"/>
            <family val="2"/>
          </rPr>
          <t>Hatta Misra:</t>
        </r>
        <r>
          <rPr>
            <sz val="9"/>
            <color indexed="81"/>
            <rFont val="Tahoma"/>
            <family val="2"/>
          </rPr>
          <t xml:space="preserve">
We assume that a renter-investor using super has all of their spare cashflow at the marginal income/super tax rates, and claims the tax deductions. This can be done in the same quarter through salary sacrificing.
For example, if the renter has spare cashflow of $10,000, marginal income tax + Medicare levy 32% and super contributions tax 15% (for tax concessions of 17%), it would be taxed at 15% in super, making their contribution (1-15%)*10,000 = $8500. But they would be able to get a $10,000 tax deduction and thus an extra 32%*10,000 = $3200, making their total deduction 8500+3200 = $11,700 = (1+17%)*10,000.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Q1" authorId="0" shapeId="0" xr:uid="{160799A1-2AFB-4CCA-9EDD-0931D0D9E663}">
      <text>
        <r>
          <rPr>
            <sz val="8"/>
            <color indexed="81"/>
            <rFont val="Tahoma"/>
            <family val="2"/>
          </rPr>
          <t>Attached dwellings includes flats, units and apartments plus semi-detached, row and terrace houses.</t>
        </r>
      </text>
    </comment>
    <comment ref="R1" authorId="0" shapeId="0" xr:uid="{437841FB-80FA-4E45-AF88-34ADC8257B2A}">
      <text>
        <r>
          <rPr>
            <sz val="8"/>
            <color indexed="81"/>
            <rFont val="Tahoma"/>
            <family val="2"/>
          </rPr>
          <t>Attached dwellings includes flats, units and apartments plus semi-detached, row and terrace houses.</t>
        </r>
      </text>
    </comment>
    <comment ref="S1" authorId="0" shapeId="0" xr:uid="{164ED3C5-3D81-47CC-B775-51CAB287356E}">
      <text>
        <r>
          <rPr>
            <sz val="8"/>
            <color indexed="81"/>
            <rFont val="Tahoma"/>
            <family val="2"/>
          </rPr>
          <t>Attached dwellings includes flats, units and apartments plus semi-detached, row and terrace houses.</t>
        </r>
      </text>
    </comment>
    <comment ref="T1" authorId="0" shapeId="0" xr:uid="{F487017B-74CD-4D73-81BB-6789E1D9F250}">
      <text>
        <r>
          <rPr>
            <sz val="8"/>
            <color indexed="81"/>
            <rFont val="Tahoma"/>
            <family val="2"/>
          </rPr>
          <t>Attached dwellings includes flats, units and apartments plus semi-detached, row and terrace houses.</t>
        </r>
      </text>
    </comment>
    <comment ref="U1" authorId="0" shapeId="0" xr:uid="{98E2E865-2862-49F6-A7D8-2BDC68C5C3A0}">
      <text>
        <r>
          <rPr>
            <sz val="8"/>
            <color indexed="81"/>
            <rFont val="Tahoma"/>
            <family val="2"/>
          </rPr>
          <t>Attached dwellings includes flats, units and apartments plus semi-detached, row and terrace houses.</t>
        </r>
      </text>
    </comment>
    <comment ref="V1" authorId="0" shapeId="0" xr:uid="{27B842E7-0451-4CCA-9367-42E2527FE6B5}">
      <text>
        <r>
          <rPr>
            <sz val="8"/>
            <color indexed="81"/>
            <rFont val="Tahoma"/>
            <family val="2"/>
          </rPr>
          <t>Attached dwellings includes flats, units and apartments plus semi-detached, row and terrace houses.</t>
        </r>
      </text>
    </comment>
    <comment ref="W1" authorId="0" shapeId="0" xr:uid="{0D198B6E-1C56-4089-A215-403F0EB08B94}">
      <text>
        <r>
          <rPr>
            <sz val="8"/>
            <color indexed="81"/>
            <rFont val="Tahoma"/>
            <family val="2"/>
          </rPr>
          <t>Attached dwellings includes flats, units and apartments plus semi-detached, row and terrace houses.</t>
        </r>
      </text>
    </comment>
    <comment ref="X1" authorId="0" shapeId="0" xr:uid="{3E37ECA9-03BB-4B6F-AA93-A5E854D5DDD0}">
      <text>
        <r>
          <rPr>
            <sz val="8"/>
            <color indexed="81"/>
            <rFont val="Tahoma"/>
            <family val="2"/>
          </rPr>
          <t>Attached dwellings includes flats, units and apartments plus semi-detached, row and terrace houses.</t>
        </r>
      </text>
    </comment>
    <comment ref="Y1" authorId="0" shapeId="0" xr:uid="{911945AE-3C9D-472D-BB7E-C5FAFF40AEBF}">
      <text>
        <r>
          <rPr>
            <sz val="8"/>
            <color indexed="81"/>
            <rFont val="Tahoma"/>
            <family val="2"/>
          </rPr>
          <t>Attached dwellings includes flats, units and apartments plus semi-detached, row and terrace houses.</t>
        </r>
      </text>
    </comment>
    <comment ref="Z1" authorId="0" shapeId="0" xr:uid="{8A9730A1-9F8D-4113-9779-C9E8F197D601}">
      <text>
        <r>
          <rPr>
            <sz val="8"/>
            <color indexed="81"/>
            <rFont val="Tahoma"/>
            <family val="2"/>
          </rPr>
          <t>Attached dwellings includes flats, units and apartments plus semi-detached, row and terrace houses.</t>
        </r>
      </text>
    </comment>
    <comment ref="AA1" authorId="0" shapeId="0" xr:uid="{82FBAFC2-86EB-4471-AFC2-D5FDA000C1B2}">
      <text>
        <r>
          <rPr>
            <sz val="8"/>
            <color indexed="81"/>
            <rFont val="Tahoma"/>
            <family val="2"/>
          </rPr>
          <t>Attached dwellings includes flats, units and apartments plus semi-detached, row and terrace houses.</t>
        </r>
      </text>
    </comment>
    <comment ref="AB1" authorId="0" shapeId="0" xr:uid="{BB46C58C-CBE4-406F-AB16-504EDEF4B811}">
      <text>
        <r>
          <rPr>
            <sz val="8"/>
            <color indexed="81"/>
            <rFont val="Tahoma"/>
            <family val="2"/>
          </rPr>
          <t>Attached dwellings includes flats, units and apartments plus semi-detached, row and terrace houses.</t>
        </r>
      </text>
    </comment>
    <comment ref="AC1" authorId="0" shapeId="0" xr:uid="{C05170B5-1B0F-4DF1-B688-30223E3F0B9D}">
      <text>
        <r>
          <rPr>
            <sz val="8"/>
            <color indexed="81"/>
            <rFont val="Tahoma"/>
            <family val="2"/>
          </rPr>
          <t>Attached dwellings includes flats, units and apartments plus semi-detached, row and terrace houses.</t>
        </r>
      </text>
    </comment>
    <comment ref="AD1" authorId="0" shapeId="0" xr:uid="{C70B48E3-484F-4C55-B103-AD6B8C0271C5}">
      <text>
        <r>
          <rPr>
            <sz val="8"/>
            <color indexed="81"/>
            <rFont val="Tahoma"/>
            <family val="2"/>
          </rPr>
          <t>Attached dwellings includes flats, units and apartments plus semi-detached, row and terrace houses.</t>
        </r>
      </text>
    </comment>
    <comment ref="AE1" authorId="0" shapeId="0" xr:uid="{C667635D-3477-4732-BB3D-42C9813AE9C4}">
      <text>
        <r>
          <rPr>
            <sz val="8"/>
            <color indexed="81"/>
            <rFont val="Tahoma"/>
            <family val="2"/>
          </rPr>
          <t>Attached dwellings includes flats, units and apartments plus semi-detached, row and terrace houses.</t>
        </r>
      </text>
    </comment>
    <comment ref="AU1" authorId="0" shapeId="0" xr:uid="{D8AFCF95-AD6D-4011-A901-EECC3C540149}">
      <text>
        <r>
          <rPr>
            <sz val="8"/>
            <color indexed="81"/>
            <rFont val="Tahoma"/>
            <family val="2"/>
          </rPr>
          <t>Attached dwellings includes flats, units and apartments plus semi-detached, row and terrace houses.</t>
        </r>
      </text>
    </comment>
    <comment ref="AV1" authorId="0" shapeId="0" xr:uid="{E5E842B4-9EC1-40DC-8F59-CEA9DE6F07A4}">
      <text>
        <r>
          <rPr>
            <sz val="8"/>
            <color indexed="81"/>
            <rFont val="Tahoma"/>
            <family val="2"/>
          </rPr>
          <t>Attached dwellings includes flats, units and apartments plus semi-detached, row and terrace houses.</t>
        </r>
      </text>
    </comment>
    <comment ref="AW1" authorId="0" shapeId="0" xr:uid="{1BDCA899-FFA5-4F43-87EE-C4A360BD8BC9}">
      <text>
        <r>
          <rPr>
            <sz val="8"/>
            <color indexed="81"/>
            <rFont val="Tahoma"/>
            <family val="2"/>
          </rPr>
          <t>Attached dwellings includes flats, units and apartments plus semi-detached, row and terrace houses.</t>
        </r>
      </text>
    </comment>
    <comment ref="AX1" authorId="0" shapeId="0" xr:uid="{45D36AC8-7F54-45E4-ADCA-1A38EB900ACA}">
      <text>
        <r>
          <rPr>
            <sz val="8"/>
            <color indexed="81"/>
            <rFont val="Tahoma"/>
            <family val="2"/>
          </rPr>
          <t>Attached dwellings includes flats, units and apartments plus semi-detached, row and terrace houses.</t>
        </r>
      </text>
    </comment>
    <comment ref="AY1" authorId="0" shapeId="0" xr:uid="{13B5A90A-6A13-4537-B4E9-37D4FDA4BF55}">
      <text>
        <r>
          <rPr>
            <sz val="8"/>
            <color indexed="81"/>
            <rFont val="Tahoma"/>
            <family val="2"/>
          </rPr>
          <t>Attached dwellings includes flats, units and apartments plus semi-detached, row and terrace houses.</t>
        </r>
      </text>
    </comment>
    <comment ref="AZ1" authorId="0" shapeId="0" xr:uid="{36899DD7-48A8-4043-90C6-2FC239F3ED6B}">
      <text>
        <r>
          <rPr>
            <sz val="8"/>
            <color indexed="81"/>
            <rFont val="Tahoma"/>
            <family val="2"/>
          </rPr>
          <t>Attached dwellings includes flats, units and apartments plus semi-detached, row and terrace houses.</t>
        </r>
      </text>
    </comment>
    <comment ref="BA1" authorId="0" shapeId="0" xr:uid="{178BCED2-A49A-4EC1-889E-D2388A104FA3}">
      <text>
        <r>
          <rPr>
            <sz val="8"/>
            <color indexed="81"/>
            <rFont val="Tahoma"/>
            <family val="2"/>
          </rPr>
          <t>Attached dwellings includes flats, units and apartments plus semi-detached, row and terrace houses.</t>
        </r>
      </text>
    </comment>
    <comment ref="BB1" authorId="0" shapeId="0" xr:uid="{745DABC8-EC18-460C-B941-87C9A3FCB62B}">
      <text>
        <r>
          <rPr>
            <sz val="8"/>
            <color indexed="81"/>
            <rFont val="Tahoma"/>
            <family val="2"/>
          </rPr>
          <t>Attached dwellings includes flats, units and apartments plus semi-detached, row and terrace houses.</t>
        </r>
      </text>
    </comment>
    <comment ref="BC1" authorId="0" shapeId="0" xr:uid="{E1ABAF80-23BF-4845-A6D9-F4C88C69C320}">
      <text>
        <r>
          <rPr>
            <sz val="8"/>
            <color indexed="81"/>
            <rFont val="Tahoma"/>
            <family val="2"/>
          </rPr>
          <t>Attached dwellings includes flats, units and apartments plus semi-detached, row and terrace houses.</t>
        </r>
      </text>
    </comment>
    <comment ref="BD1" authorId="0" shapeId="0" xr:uid="{85C19BE5-B286-430A-B63D-DCEEC9525178}">
      <text>
        <r>
          <rPr>
            <sz val="8"/>
            <color indexed="81"/>
            <rFont val="Tahoma"/>
            <family val="2"/>
          </rPr>
          <t>Attached dwellings includes flats, units and apartments plus semi-detached, row and terrace houses.</t>
        </r>
      </text>
    </comment>
    <comment ref="BE1" authorId="0" shapeId="0" xr:uid="{8A361AEC-A0BD-454A-A58E-6C0D7092CAF7}">
      <text>
        <r>
          <rPr>
            <sz val="8"/>
            <color indexed="81"/>
            <rFont val="Tahoma"/>
            <family val="2"/>
          </rPr>
          <t>Attached dwellings includes flats, units and apartments plus semi-detached, row and terrace houses.</t>
        </r>
      </text>
    </comment>
    <comment ref="BF1" authorId="0" shapeId="0" xr:uid="{C2EC42C7-85A0-4740-8F91-53B2076437CE}">
      <text>
        <r>
          <rPr>
            <sz val="8"/>
            <color indexed="81"/>
            <rFont val="Tahoma"/>
            <family val="2"/>
          </rPr>
          <t>Attached dwellings includes flats, units and apartments plus semi-detached, row and terrace houses.</t>
        </r>
      </text>
    </comment>
    <comment ref="BG1" authorId="0" shapeId="0" xr:uid="{0ADC0907-2217-4FC5-ABF4-51ECB5A0233F}">
      <text>
        <r>
          <rPr>
            <sz val="8"/>
            <color indexed="81"/>
            <rFont val="Tahoma"/>
            <family val="2"/>
          </rPr>
          <t>Attached dwellings includes flats, units and apartments plus semi-detached, row and terrace houses.</t>
        </r>
      </text>
    </comment>
    <comment ref="BH1" authorId="0" shapeId="0" xr:uid="{9876B2A6-59B4-4E48-BED9-F0F16BB5E444}">
      <text>
        <r>
          <rPr>
            <sz val="8"/>
            <color indexed="81"/>
            <rFont val="Tahoma"/>
            <family val="2"/>
          </rPr>
          <t>Attached dwellings includes flats, units and apartments plus semi-detached, row and terrace houses.</t>
        </r>
      </text>
    </comment>
    <comment ref="BI1" authorId="0" shapeId="0" xr:uid="{A700DDBD-6913-4ED0-A956-16B0EFAE55FC}">
      <text>
        <r>
          <rPr>
            <sz val="8"/>
            <color indexed="81"/>
            <rFont val="Tahoma"/>
            <family val="2"/>
          </rPr>
          <t>Attached dwellings includes flats, units and apartments plus semi-detached, row and terrace houses.</t>
        </r>
      </text>
    </comment>
    <comment ref="A6" authorId="0" shapeId="0" xr:uid="{F1E3F243-C0B1-46E4-9B69-EB74C3325702}">
      <text>
        <r>
          <rPr>
            <sz val="8"/>
            <color indexed="81"/>
            <rFont val="Tahoma"/>
            <family val="2"/>
          </rPr>
          <t>Refers to series collected at quarterly and lesser frequencies only.
Indicates which month in the collection period the data refers to.</t>
        </r>
      </text>
    </comment>
    <comment ref="J97" authorId="0" shapeId="0" xr:uid="{44E5B53C-BE04-4C66-941F-4660BB2D776E}">
      <text>
        <r>
          <rPr>
            <sz val="8"/>
            <color indexed="81"/>
            <rFont val="Tahoma"/>
            <family val="2"/>
          </rPr>
          <t>revised</t>
        </r>
      </text>
    </comment>
    <comment ref="K97" authorId="0" shapeId="0" xr:uid="{125D08E9-6454-4AE0-85B8-2796DDE8773A}">
      <text>
        <r>
          <rPr>
            <sz val="8"/>
            <color indexed="81"/>
            <rFont val="Tahoma"/>
            <family val="2"/>
          </rPr>
          <t>revised</t>
        </r>
      </text>
    </comment>
    <comment ref="L97" authorId="0" shapeId="0" xr:uid="{8FD0AA6F-7618-43E4-9082-2AD8F16EE6B9}">
      <text>
        <r>
          <rPr>
            <sz val="8"/>
            <color indexed="81"/>
            <rFont val="Tahoma"/>
            <family val="2"/>
          </rPr>
          <t>revised</t>
        </r>
      </text>
    </comment>
    <comment ref="M97" authorId="0" shapeId="0" xr:uid="{E8C88C85-6ACE-44ED-AFE1-8ABEC897F4C3}">
      <text>
        <r>
          <rPr>
            <sz val="8"/>
            <color indexed="81"/>
            <rFont val="Tahoma"/>
            <family val="2"/>
          </rPr>
          <t>revised</t>
        </r>
      </text>
    </comment>
    <comment ref="Z97" authorId="0" shapeId="0" xr:uid="{B59FECAB-F98B-4CC6-9468-77BEEB9D111A}">
      <text>
        <r>
          <rPr>
            <sz val="8"/>
            <color indexed="81"/>
            <rFont val="Tahoma"/>
            <family val="2"/>
          </rPr>
          <t>revised</t>
        </r>
      </text>
    </comment>
    <comment ref="AF97" authorId="0" shapeId="0" xr:uid="{AC24EF5A-3F90-4FEF-928A-0FBC8974A0E8}">
      <text>
        <r>
          <rPr>
            <sz val="8"/>
            <color indexed="81"/>
            <rFont val="Tahoma"/>
            <family val="2"/>
          </rPr>
          <t>revised</t>
        </r>
      </text>
    </comment>
    <comment ref="AH97" authorId="0" shapeId="0" xr:uid="{AE406641-6886-4CB3-932E-4736AB8375E1}">
      <text>
        <r>
          <rPr>
            <sz val="8"/>
            <color indexed="81"/>
            <rFont val="Tahoma"/>
            <family val="2"/>
          </rPr>
          <t>revised</t>
        </r>
      </text>
    </comment>
    <comment ref="AI97" authorId="0" shapeId="0" xr:uid="{0D6D9349-45D8-462C-BC45-A3AAE5342539}">
      <text>
        <r>
          <rPr>
            <sz val="8"/>
            <color indexed="81"/>
            <rFont val="Tahoma"/>
            <family val="2"/>
          </rPr>
          <t>revised</t>
        </r>
      </text>
    </comment>
    <comment ref="AJ97" authorId="0" shapeId="0" xr:uid="{7DE8D48D-4048-4E1E-989B-F9C9CA20138B}">
      <text>
        <r>
          <rPr>
            <sz val="8"/>
            <color indexed="81"/>
            <rFont val="Tahoma"/>
            <family val="2"/>
          </rPr>
          <t>revised</t>
        </r>
      </text>
    </comment>
    <comment ref="AK97" authorId="0" shapeId="0" xr:uid="{AB0B14DE-1347-4331-95DF-CE3F34652A6D}">
      <text>
        <r>
          <rPr>
            <sz val="8"/>
            <color indexed="81"/>
            <rFont val="Tahoma"/>
            <family val="2"/>
          </rPr>
          <t>revised</t>
        </r>
      </text>
    </comment>
    <comment ref="AL97" authorId="0" shapeId="0" xr:uid="{252B64D3-BFB5-451A-9458-297D007E9381}">
      <text>
        <r>
          <rPr>
            <sz val="8"/>
            <color indexed="81"/>
            <rFont val="Tahoma"/>
            <family val="2"/>
          </rPr>
          <t>revised</t>
        </r>
      </text>
    </comment>
    <comment ref="AN97" authorId="0" shapeId="0" xr:uid="{E6AA9942-FA7D-45C6-9FA2-EC592F901FA3}">
      <text>
        <r>
          <rPr>
            <sz val="8"/>
            <color indexed="81"/>
            <rFont val="Tahoma"/>
            <family val="2"/>
          </rPr>
          <t>revised</t>
        </r>
      </text>
    </comment>
    <comment ref="AO97" authorId="0" shapeId="0" xr:uid="{282AABE6-DC83-47E2-8169-27CA257747B5}">
      <text>
        <r>
          <rPr>
            <sz val="8"/>
            <color indexed="81"/>
            <rFont val="Tahoma"/>
            <family val="2"/>
          </rPr>
          <t>revised</t>
        </r>
      </text>
    </comment>
    <comment ref="AP97" authorId="0" shapeId="0" xr:uid="{E87312C2-A8D2-4C71-9AAE-A2B9C37B3D9F}">
      <text>
        <r>
          <rPr>
            <sz val="8"/>
            <color indexed="81"/>
            <rFont val="Tahoma"/>
            <family val="2"/>
          </rPr>
          <t>revised</t>
        </r>
      </text>
    </comment>
    <comment ref="AQ97" authorId="0" shapeId="0" xr:uid="{DFA623B3-24F0-416A-8ACD-36A6A4652BAF}">
      <text>
        <r>
          <rPr>
            <sz val="8"/>
            <color indexed="81"/>
            <rFont val="Tahoma"/>
            <family val="2"/>
          </rPr>
          <t>revised</t>
        </r>
      </text>
    </comment>
    <comment ref="AU97" authorId="0" shapeId="0" xr:uid="{1DEF4367-71A5-4383-B0B0-BFEC0365E722}">
      <text>
        <r>
          <rPr>
            <sz val="8"/>
            <color indexed="81"/>
            <rFont val="Tahoma"/>
            <family val="2"/>
          </rPr>
          <t>revised</t>
        </r>
      </text>
    </comment>
    <comment ref="AV97" authorId="0" shapeId="0" xr:uid="{70FC75FA-8083-467E-8EE1-51D19A1F7989}">
      <text>
        <r>
          <rPr>
            <sz val="8"/>
            <color indexed="81"/>
            <rFont val="Tahoma"/>
            <family val="2"/>
          </rPr>
          <t>revised</t>
        </r>
      </text>
    </comment>
    <comment ref="AW97" authorId="0" shapeId="0" xr:uid="{9851EDBD-3C1D-472C-9C8A-85BAC78520FE}">
      <text>
        <r>
          <rPr>
            <sz val="8"/>
            <color indexed="81"/>
            <rFont val="Tahoma"/>
            <family val="2"/>
          </rPr>
          <t>revised</t>
        </r>
      </text>
    </comment>
    <comment ref="AY97" authorId="0" shapeId="0" xr:uid="{8AB552B2-F11C-4C13-A2CE-F649FDAA9F5C}">
      <text>
        <r>
          <rPr>
            <sz val="8"/>
            <color indexed="81"/>
            <rFont val="Tahoma"/>
            <family val="2"/>
          </rPr>
          <t>revised</t>
        </r>
      </text>
    </comment>
    <comment ref="AZ97" authorId="0" shapeId="0" xr:uid="{421AC7E5-7DB8-44C3-B1A7-E97E033763AE}">
      <text>
        <r>
          <rPr>
            <sz val="8"/>
            <color indexed="81"/>
            <rFont val="Tahoma"/>
            <family val="2"/>
          </rPr>
          <t>revised</t>
        </r>
      </text>
    </comment>
    <comment ref="BC97" authorId="0" shapeId="0" xr:uid="{578F147D-C1EA-4F69-969A-46708FBDDAC6}">
      <text>
        <r>
          <rPr>
            <sz val="8"/>
            <color indexed="81"/>
            <rFont val="Tahoma"/>
            <family val="2"/>
          </rPr>
          <t>revised</t>
        </r>
      </text>
    </comment>
    <comment ref="BD97" authorId="0" shapeId="0" xr:uid="{407DC16C-5120-4EC1-8DF4-2E7AE7324560}">
      <text>
        <r>
          <rPr>
            <sz val="8"/>
            <color indexed="81"/>
            <rFont val="Tahoma"/>
            <family val="2"/>
          </rPr>
          <t>revised</t>
        </r>
      </text>
    </comment>
    <comment ref="H98" authorId="0" shapeId="0" xr:uid="{3E914551-7696-475D-8CE8-F9DBD1A02677}">
      <text>
        <r>
          <rPr>
            <sz val="8"/>
            <color indexed="81"/>
            <rFont val="Tahoma"/>
            <family val="2"/>
          </rPr>
          <t>revised</t>
        </r>
      </text>
    </comment>
    <comment ref="J98" authorId="0" shapeId="0" xr:uid="{6BEA4D8E-333A-4551-87BC-7C3149F1FA74}">
      <text>
        <r>
          <rPr>
            <sz val="8"/>
            <color indexed="81"/>
            <rFont val="Tahoma"/>
            <family val="2"/>
          </rPr>
          <t>revised</t>
        </r>
      </text>
    </comment>
    <comment ref="K98" authorId="0" shapeId="0" xr:uid="{2955C72E-457D-4DA9-88F0-56B2F3B33857}">
      <text>
        <r>
          <rPr>
            <sz val="8"/>
            <color indexed="81"/>
            <rFont val="Tahoma"/>
            <family val="2"/>
          </rPr>
          <t>revised</t>
        </r>
      </text>
    </comment>
    <comment ref="L98" authorId="0" shapeId="0" xr:uid="{E04E11F5-5266-48F9-9BBD-4B429E548D23}">
      <text>
        <r>
          <rPr>
            <sz val="8"/>
            <color indexed="81"/>
            <rFont val="Tahoma"/>
            <family val="2"/>
          </rPr>
          <t>revised</t>
        </r>
      </text>
    </comment>
    <comment ref="R98" authorId="0" shapeId="0" xr:uid="{872CC450-49E5-46D3-B848-9A61A807CB8B}">
      <text>
        <r>
          <rPr>
            <sz val="8"/>
            <color indexed="81"/>
            <rFont val="Tahoma"/>
            <family val="2"/>
          </rPr>
          <t>revised</t>
        </r>
      </text>
    </comment>
    <comment ref="S98" authorId="0" shapeId="0" xr:uid="{26DEC3A4-4FB1-4072-8F43-8E0133A11B60}">
      <text>
        <r>
          <rPr>
            <sz val="8"/>
            <color indexed="81"/>
            <rFont val="Tahoma"/>
            <family val="2"/>
          </rPr>
          <t>revised</t>
        </r>
      </text>
    </comment>
    <comment ref="V98" authorId="0" shapeId="0" xr:uid="{4CAB19CA-CBD7-43F2-9245-D11AEAD46760}">
      <text>
        <r>
          <rPr>
            <sz val="8"/>
            <color indexed="81"/>
            <rFont val="Tahoma"/>
            <family val="2"/>
          </rPr>
          <t>revised</t>
        </r>
      </text>
    </comment>
    <comment ref="W98" authorId="0" shapeId="0" xr:uid="{2CA342F2-2BE9-4E49-8F9F-5AD1DBA4C19D}">
      <text>
        <r>
          <rPr>
            <sz val="8"/>
            <color indexed="81"/>
            <rFont val="Tahoma"/>
            <family val="2"/>
          </rPr>
          <t>revised</t>
        </r>
      </text>
    </comment>
    <comment ref="Z98" authorId="0" shapeId="0" xr:uid="{49C9A331-D9B6-478A-8154-93562CF77343}">
      <text>
        <r>
          <rPr>
            <sz val="8"/>
            <color indexed="81"/>
            <rFont val="Tahoma"/>
            <family val="2"/>
          </rPr>
          <t>revised</t>
        </r>
      </text>
    </comment>
    <comment ref="AF98" authorId="0" shapeId="0" xr:uid="{C32FBFB1-BBAC-4AAC-A5AC-8079EF931019}">
      <text>
        <r>
          <rPr>
            <sz val="8"/>
            <color indexed="81"/>
            <rFont val="Tahoma"/>
            <family val="2"/>
          </rPr>
          <t>revised</t>
        </r>
      </text>
    </comment>
    <comment ref="AG98" authorId="0" shapeId="0" xr:uid="{D826FB92-44D3-4786-A6E6-0F2737F22B9F}">
      <text>
        <r>
          <rPr>
            <sz val="8"/>
            <color indexed="81"/>
            <rFont val="Tahoma"/>
            <family val="2"/>
          </rPr>
          <t>revised</t>
        </r>
      </text>
    </comment>
    <comment ref="AH98" authorId="0" shapeId="0" xr:uid="{C99F4E9C-E83C-4600-96E0-C6D44F90CECE}">
      <text>
        <r>
          <rPr>
            <sz val="8"/>
            <color indexed="81"/>
            <rFont val="Tahoma"/>
            <family val="2"/>
          </rPr>
          <t>revised</t>
        </r>
      </text>
    </comment>
    <comment ref="AJ98" authorId="0" shapeId="0" xr:uid="{C41CAD3F-B190-4D90-A967-5F86C38C572A}">
      <text>
        <r>
          <rPr>
            <sz val="8"/>
            <color indexed="81"/>
            <rFont val="Tahoma"/>
            <family val="2"/>
          </rPr>
          <t>revised</t>
        </r>
      </text>
    </comment>
    <comment ref="AL98" authorId="0" shapeId="0" xr:uid="{09BA4796-F7E2-445D-911E-EE47BC2A8C56}">
      <text>
        <r>
          <rPr>
            <sz val="8"/>
            <color indexed="81"/>
            <rFont val="Tahoma"/>
            <family val="2"/>
          </rPr>
          <t>revised</t>
        </r>
      </text>
    </comment>
    <comment ref="AN98" authorId="0" shapeId="0" xr:uid="{D58F1435-EBA2-49E5-A62E-A8C6CACFDAC3}">
      <text>
        <r>
          <rPr>
            <sz val="8"/>
            <color indexed="81"/>
            <rFont val="Tahoma"/>
            <family val="2"/>
          </rPr>
          <t>revised</t>
        </r>
      </text>
    </comment>
    <comment ref="AO98" authorId="0" shapeId="0" xr:uid="{7D23D33B-0CF2-41DB-961A-5653E2080DD7}">
      <text>
        <r>
          <rPr>
            <sz val="8"/>
            <color indexed="81"/>
            <rFont val="Tahoma"/>
            <family val="2"/>
          </rPr>
          <t>revised</t>
        </r>
      </text>
    </comment>
    <comment ref="AP98" authorId="0" shapeId="0" xr:uid="{849C7E5E-5230-4370-873A-21D6E512AC53}">
      <text>
        <r>
          <rPr>
            <sz val="8"/>
            <color indexed="81"/>
            <rFont val="Tahoma"/>
            <family val="2"/>
          </rPr>
          <t>revised</t>
        </r>
      </text>
    </comment>
    <comment ref="AQ98" authorId="0" shapeId="0" xr:uid="{1E42B401-490C-4B05-A5FD-56832C3C4DCD}">
      <text>
        <r>
          <rPr>
            <sz val="8"/>
            <color indexed="81"/>
            <rFont val="Tahoma"/>
            <family val="2"/>
          </rPr>
          <t>revised</t>
        </r>
      </text>
    </comment>
    <comment ref="AU98" authorId="0" shapeId="0" xr:uid="{F2234696-9F87-4D4B-910F-A65490AF634F}">
      <text>
        <r>
          <rPr>
            <sz val="8"/>
            <color indexed="81"/>
            <rFont val="Tahoma"/>
            <family val="2"/>
          </rPr>
          <t>revised</t>
        </r>
      </text>
    </comment>
    <comment ref="AV98" authorId="0" shapeId="0" xr:uid="{9E752DC5-C196-4EAE-BAA5-938988BB2445}">
      <text>
        <r>
          <rPr>
            <sz val="8"/>
            <color indexed="81"/>
            <rFont val="Tahoma"/>
            <family val="2"/>
          </rPr>
          <t>revised</t>
        </r>
      </text>
    </comment>
    <comment ref="AW98" authorId="0" shapeId="0" xr:uid="{967375AB-B609-4C67-808D-342ECCEE0FED}">
      <text>
        <r>
          <rPr>
            <sz val="8"/>
            <color indexed="81"/>
            <rFont val="Tahoma"/>
            <family val="2"/>
          </rPr>
          <t>revised</t>
        </r>
      </text>
    </comment>
    <comment ref="AY98" authorId="0" shapeId="0" xr:uid="{BF636A89-4C33-4C62-A546-5AD6537151C3}">
      <text>
        <r>
          <rPr>
            <sz val="8"/>
            <color indexed="81"/>
            <rFont val="Tahoma"/>
            <family val="2"/>
          </rPr>
          <t>revised</t>
        </r>
      </text>
    </comment>
    <comment ref="AZ98" authorId="0" shapeId="0" xr:uid="{658DB6E5-DF81-41F3-B213-6579F7B3BAA5}">
      <text>
        <r>
          <rPr>
            <sz val="8"/>
            <color indexed="81"/>
            <rFont val="Tahoma"/>
            <family val="2"/>
          </rPr>
          <t>revised</t>
        </r>
      </text>
    </comment>
    <comment ref="BA98" authorId="0" shapeId="0" xr:uid="{2266E30E-BABD-4630-B947-3C4F331B2615}">
      <text>
        <r>
          <rPr>
            <sz val="8"/>
            <color indexed="81"/>
            <rFont val="Tahoma"/>
            <family val="2"/>
          </rPr>
          <t>revised</t>
        </r>
      </text>
    </comment>
    <comment ref="BC98" authorId="0" shapeId="0" xr:uid="{C1EF582E-B8F2-4857-8E6A-F5D938D8AE8D}">
      <text>
        <r>
          <rPr>
            <sz val="8"/>
            <color indexed="81"/>
            <rFont val="Tahoma"/>
            <family val="2"/>
          </rPr>
          <t>revised</t>
        </r>
      </text>
    </comment>
    <comment ref="BD98" authorId="0" shapeId="0" xr:uid="{B2F0B1EB-4B91-4202-A199-D3D936F1E6AA}">
      <text>
        <r>
          <rPr>
            <sz val="8"/>
            <color indexed="81"/>
            <rFont val="Tahoma"/>
            <family val="2"/>
          </rPr>
          <t>revised</t>
        </r>
      </text>
    </comment>
    <comment ref="H99" authorId="0" shapeId="0" xr:uid="{3ED77541-9B9E-4B3A-A871-EF8E043F64AA}">
      <text>
        <r>
          <rPr>
            <sz val="8"/>
            <color indexed="81"/>
            <rFont val="Tahoma"/>
            <family val="2"/>
          </rPr>
          <t>revised</t>
        </r>
      </text>
    </comment>
    <comment ref="J99" authorId="0" shapeId="0" xr:uid="{AA5683F6-5574-4916-9E06-1D4F7F85EAB8}">
      <text>
        <r>
          <rPr>
            <sz val="8"/>
            <color indexed="81"/>
            <rFont val="Tahoma"/>
            <family val="2"/>
          </rPr>
          <t>revised</t>
        </r>
      </text>
    </comment>
    <comment ref="M99" authorId="0" shapeId="0" xr:uid="{7D08CF35-4668-483B-97B8-20E10C94461B}">
      <text>
        <r>
          <rPr>
            <sz val="8"/>
            <color indexed="81"/>
            <rFont val="Tahoma"/>
            <family val="2"/>
          </rPr>
          <t>revised</t>
        </r>
      </text>
    </comment>
    <comment ref="R99" authorId="0" shapeId="0" xr:uid="{50D7AC2E-144D-48F9-8247-0741879D4CFD}">
      <text>
        <r>
          <rPr>
            <sz val="8"/>
            <color indexed="81"/>
            <rFont val="Tahoma"/>
            <family val="2"/>
          </rPr>
          <t>revised</t>
        </r>
      </text>
    </comment>
    <comment ref="T99" authorId="0" shapeId="0" xr:uid="{18233089-2284-4068-A14A-FF898A72F0F6}">
      <text>
        <r>
          <rPr>
            <sz val="8"/>
            <color indexed="81"/>
            <rFont val="Tahoma"/>
            <family val="2"/>
          </rPr>
          <t>revised</t>
        </r>
      </text>
    </comment>
    <comment ref="Z99" authorId="0" shapeId="0" xr:uid="{AF291592-61FC-4028-977A-C26F3725CA93}">
      <text>
        <r>
          <rPr>
            <sz val="8"/>
            <color indexed="81"/>
            <rFont val="Tahoma"/>
            <family val="2"/>
          </rPr>
          <t>revised</t>
        </r>
      </text>
    </comment>
    <comment ref="AG99" authorId="0" shapeId="0" xr:uid="{59FDDF51-42CB-4314-A61A-2E560D0144F5}">
      <text>
        <r>
          <rPr>
            <sz val="8"/>
            <color indexed="81"/>
            <rFont val="Tahoma"/>
            <family val="2"/>
          </rPr>
          <t>revised</t>
        </r>
      </text>
    </comment>
    <comment ref="AH99" authorId="0" shapeId="0" xr:uid="{276B32BC-81C1-4F03-B894-F1507EDE2AFE}">
      <text>
        <r>
          <rPr>
            <sz val="8"/>
            <color indexed="81"/>
            <rFont val="Tahoma"/>
            <family val="2"/>
          </rPr>
          <t>revised</t>
        </r>
      </text>
    </comment>
    <comment ref="AI99" authorId="0" shapeId="0" xr:uid="{B1113F23-7102-461C-B648-F96FC4CA4495}">
      <text>
        <r>
          <rPr>
            <sz val="8"/>
            <color indexed="81"/>
            <rFont val="Tahoma"/>
            <family val="2"/>
          </rPr>
          <t>revised</t>
        </r>
      </text>
    </comment>
    <comment ref="AK99" authorId="0" shapeId="0" xr:uid="{66E0BB91-71E8-4144-8983-79A466174E23}">
      <text>
        <r>
          <rPr>
            <sz val="8"/>
            <color indexed="81"/>
            <rFont val="Tahoma"/>
            <family val="2"/>
          </rPr>
          <t>revised</t>
        </r>
      </text>
    </comment>
    <comment ref="AL99" authorId="0" shapeId="0" xr:uid="{3421F56E-66E5-45B2-9158-D8B1F7AA635E}">
      <text>
        <r>
          <rPr>
            <sz val="8"/>
            <color indexed="81"/>
            <rFont val="Tahoma"/>
            <family val="2"/>
          </rPr>
          <t>revised</t>
        </r>
      </text>
    </comment>
    <comment ref="AM99" authorId="0" shapeId="0" xr:uid="{0068514F-A3D1-405F-B05C-D874865CF2D0}">
      <text>
        <r>
          <rPr>
            <sz val="8"/>
            <color indexed="81"/>
            <rFont val="Tahoma"/>
            <family val="2"/>
          </rPr>
          <t>revised</t>
        </r>
      </text>
    </comment>
    <comment ref="AN99" authorId="0" shapeId="0" xr:uid="{98B42DF2-DCB4-414E-90C7-EA681380921A}">
      <text>
        <r>
          <rPr>
            <sz val="8"/>
            <color indexed="81"/>
            <rFont val="Tahoma"/>
            <family val="2"/>
          </rPr>
          <t>revised</t>
        </r>
      </text>
    </comment>
    <comment ref="AO99" authorId="0" shapeId="0" xr:uid="{58EDBD33-2BCE-4C4D-A727-FE8E4B2A1E07}">
      <text>
        <r>
          <rPr>
            <sz val="8"/>
            <color indexed="81"/>
            <rFont val="Tahoma"/>
            <family val="2"/>
          </rPr>
          <t>revised</t>
        </r>
      </text>
    </comment>
    <comment ref="AQ99" authorId="0" shapeId="0" xr:uid="{512FF15C-C88A-40CB-973F-B59FCB64E389}">
      <text>
        <r>
          <rPr>
            <sz val="8"/>
            <color indexed="81"/>
            <rFont val="Tahoma"/>
            <family val="2"/>
          </rPr>
          <t>revised</t>
        </r>
      </text>
    </comment>
    <comment ref="AR99" authorId="0" shapeId="0" xr:uid="{8CE46E1A-C373-4A73-8EE5-84C6E54F0FC2}">
      <text>
        <r>
          <rPr>
            <sz val="8"/>
            <color indexed="81"/>
            <rFont val="Tahoma"/>
            <family val="2"/>
          </rPr>
          <t>revised</t>
        </r>
      </text>
    </comment>
    <comment ref="AT99" authorId="0" shapeId="0" xr:uid="{48C689DF-D3A2-4DAC-8480-11ACC2EB81E7}">
      <text>
        <r>
          <rPr>
            <sz val="8"/>
            <color indexed="81"/>
            <rFont val="Tahoma"/>
            <family val="2"/>
          </rPr>
          <t>revised</t>
        </r>
      </text>
    </comment>
    <comment ref="AU99" authorId="0" shapeId="0" xr:uid="{E050EE44-AAB2-4CE2-8F93-C1A908CF42C8}">
      <text>
        <r>
          <rPr>
            <sz val="8"/>
            <color indexed="81"/>
            <rFont val="Tahoma"/>
            <family val="2"/>
          </rPr>
          <t>revised</t>
        </r>
      </text>
    </comment>
    <comment ref="AV99" authorId="0" shapeId="0" xr:uid="{A6FBFC30-874D-422C-908E-597538C69D05}">
      <text>
        <r>
          <rPr>
            <sz val="8"/>
            <color indexed="81"/>
            <rFont val="Tahoma"/>
            <family val="2"/>
          </rPr>
          <t>revised</t>
        </r>
      </text>
    </comment>
    <comment ref="AW99" authorId="0" shapeId="0" xr:uid="{C3775412-1319-4419-8D6B-DB0316791460}">
      <text>
        <r>
          <rPr>
            <sz val="8"/>
            <color indexed="81"/>
            <rFont val="Tahoma"/>
            <family val="2"/>
          </rPr>
          <t>revised</t>
        </r>
      </text>
    </comment>
    <comment ref="AX99" authorId="0" shapeId="0" xr:uid="{3284035D-AD7D-49F3-85D1-BD467A57BAED}">
      <text>
        <r>
          <rPr>
            <sz val="8"/>
            <color indexed="81"/>
            <rFont val="Tahoma"/>
            <family val="2"/>
          </rPr>
          <t>revised</t>
        </r>
      </text>
    </comment>
    <comment ref="AY99" authorId="0" shapeId="0" xr:uid="{9C7AFD6E-543C-45AD-A40A-0460AE491C0D}">
      <text>
        <r>
          <rPr>
            <sz val="8"/>
            <color indexed="81"/>
            <rFont val="Tahoma"/>
            <family val="2"/>
          </rPr>
          <t>revised</t>
        </r>
      </text>
    </comment>
    <comment ref="AZ99" authorId="0" shapeId="0" xr:uid="{096A52D4-058B-472B-8357-323954B470B6}">
      <text>
        <r>
          <rPr>
            <sz val="8"/>
            <color indexed="81"/>
            <rFont val="Tahoma"/>
            <family val="2"/>
          </rPr>
          <t>revised</t>
        </r>
      </text>
    </comment>
    <comment ref="BC99" authorId="0" shapeId="0" xr:uid="{9FE1129D-ED53-4124-AF09-B059F23DF328}">
      <text>
        <r>
          <rPr>
            <sz val="8"/>
            <color indexed="81"/>
            <rFont val="Tahoma"/>
            <family val="2"/>
          </rPr>
          <t>revised</t>
        </r>
      </text>
    </comment>
    <comment ref="BD99" authorId="0" shapeId="0" xr:uid="{42793509-3A6A-45F8-A9B1-38998EFF87A6}">
      <text>
        <r>
          <rPr>
            <sz val="8"/>
            <color indexed="81"/>
            <rFont val="Tahoma"/>
            <family val="2"/>
          </rPr>
          <t>revised</t>
        </r>
      </text>
    </comment>
    <comment ref="C100" authorId="0" shapeId="0" xr:uid="{2564D78B-6179-4B1D-A81B-F5D2DAAF625D}">
      <text>
        <r>
          <rPr>
            <sz val="8"/>
            <color indexed="81"/>
            <rFont val="Tahoma"/>
            <family val="2"/>
          </rPr>
          <t>revised</t>
        </r>
      </text>
    </comment>
    <comment ref="J100" authorId="0" shapeId="0" xr:uid="{08A0A81A-11C1-476D-ACE9-3BA073C6FC08}">
      <text>
        <r>
          <rPr>
            <sz val="8"/>
            <color indexed="81"/>
            <rFont val="Tahoma"/>
            <family val="2"/>
          </rPr>
          <t>revised</t>
        </r>
      </text>
    </comment>
    <comment ref="L100" authorId="0" shapeId="0" xr:uid="{A18CFB95-322D-4402-9C39-1D73894BE983}">
      <text>
        <r>
          <rPr>
            <sz val="8"/>
            <color indexed="81"/>
            <rFont val="Tahoma"/>
            <family val="2"/>
          </rPr>
          <t>revised</t>
        </r>
      </text>
    </comment>
    <comment ref="R100" authorId="0" shapeId="0" xr:uid="{B9BB233F-305D-49F8-BA73-F8AA6F2E163D}">
      <text>
        <r>
          <rPr>
            <sz val="8"/>
            <color indexed="81"/>
            <rFont val="Tahoma"/>
            <family val="2"/>
          </rPr>
          <t>revised</t>
        </r>
      </text>
    </comment>
    <comment ref="AE100" authorId="0" shapeId="0" xr:uid="{5A3901DC-A45C-42CE-B13D-7DA1FCC6B3A4}">
      <text>
        <r>
          <rPr>
            <sz val="8"/>
            <color indexed="81"/>
            <rFont val="Tahoma"/>
            <family val="2"/>
          </rPr>
          <t>revised</t>
        </r>
      </text>
    </comment>
    <comment ref="AF100" authorId="0" shapeId="0" xr:uid="{21CA5ADF-3D4A-462E-9C88-0F85131D1361}">
      <text>
        <r>
          <rPr>
            <sz val="8"/>
            <color indexed="81"/>
            <rFont val="Tahoma"/>
            <family val="2"/>
          </rPr>
          <t>revised</t>
        </r>
      </text>
    </comment>
    <comment ref="AG100" authorId="0" shapeId="0" xr:uid="{17335532-8CE6-4550-802E-5BDF65A7583F}">
      <text>
        <r>
          <rPr>
            <sz val="8"/>
            <color indexed="81"/>
            <rFont val="Tahoma"/>
            <family val="2"/>
          </rPr>
          <t>revised</t>
        </r>
      </text>
    </comment>
    <comment ref="AH100" authorId="0" shapeId="0" xr:uid="{8275D35E-E3F5-4B80-8852-326E79B03C8F}">
      <text>
        <r>
          <rPr>
            <sz val="8"/>
            <color indexed="81"/>
            <rFont val="Tahoma"/>
            <family val="2"/>
          </rPr>
          <t>revised</t>
        </r>
      </text>
    </comment>
    <comment ref="AI100" authorId="0" shapeId="0" xr:uid="{0E84E177-2AC2-4289-9E4D-9D543349222C}">
      <text>
        <r>
          <rPr>
            <sz val="8"/>
            <color indexed="81"/>
            <rFont val="Tahoma"/>
            <family val="2"/>
          </rPr>
          <t>revised</t>
        </r>
      </text>
    </comment>
    <comment ref="AJ100" authorId="0" shapeId="0" xr:uid="{6BECD634-836A-4B4F-849D-76E130BEAD3B}">
      <text>
        <r>
          <rPr>
            <sz val="8"/>
            <color indexed="81"/>
            <rFont val="Tahoma"/>
            <family val="2"/>
          </rPr>
          <t>revised</t>
        </r>
      </text>
    </comment>
    <comment ref="AK100" authorId="0" shapeId="0" xr:uid="{0FF45FFC-AD6A-4EF8-9257-AD412B8E4787}">
      <text>
        <r>
          <rPr>
            <sz val="8"/>
            <color indexed="81"/>
            <rFont val="Tahoma"/>
            <family val="2"/>
          </rPr>
          <t>revised</t>
        </r>
      </text>
    </comment>
    <comment ref="AL100" authorId="0" shapeId="0" xr:uid="{F6BDD28E-4180-4692-AFA1-88594101ADD5}">
      <text>
        <r>
          <rPr>
            <sz val="8"/>
            <color indexed="81"/>
            <rFont val="Tahoma"/>
            <family val="2"/>
          </rPr>
          <t>revised</t>
        </r>
      </text>
    </comment>
    <comment ref="AN100" authorId="0" shapeId="0" xr:uid="{7E550AF7-11D1-45E0-B6C1-58D029BF3523}">
      <text>
        <r>
          <rPr>
            <sz val="8"/>
            <color indexed="81"/>
            <rFont val="Tahoma"/>
            <family val="2"/>
          </rPr>
          <t>revised</t>
        </r>
      </text>
    </comment>
    <comment ref="AO100" authorId="0" shapeId="0" xr:uid="{29DE1544-4100-4044-8819-029A0A356B2E}">
      <text>
        <r>
          <rPr>
            <sz val="8"/>
            <color indexed="81"/>
            <rFont val="Tahoma"/>
            <family val="2"/>
          </rPr>
          <t>revised</t>
        </r>
      </text>
    </comment>
    <comment ref="AP100" authorId="0" shapeId="0" xr:uid="{8DA6D496-7967-4D6B-8706-C3835F3CD64E}">
      <text>
        <r>
          <rPr>
            <sz val="8"/>
            <color indexed="81"/>
            <rFont val="Tahoma"/>
            <family val="2"/>
          </rPr>
          <t>revised</t>
        </r>
      </text>
    </comment>
    <comment ref="AU100" authorId="0" shapeId="0" xr:uid="{C159BADA-D51B-4D4A-918E-2276B118559A}">
      <text>
        <r>
          <rPr>
            <sz val="8"/>
            <color indexed="81"/>
            <rFont val="Tahoma"/>
            <family val="2"/>
          </rPr>
          <t>revised</t>
        </r>
      </text>
    </comment>
    <comment ref="AV100" authorId="0" shapeId="0" xr:uid="{87C486EE-9522-4B44-BF89-2E4273C742BE}">
      <text>
        <r>
          <rPr>
            <sz val="8"/>
            <color indexed="81"/>
            <rFont val="Tahoma"/>
            <family val="2"/>
          </rPr>
          <t>revised</t>
        </r>
      </text>
    </comment>
    <comment ref="AW100" authorId="0" shapeId="0" xr:uid="{0C55ADC7-64E3-474B-BFF7-8496E5F5F7B0}">
      <text>
        <r>
          <rPr>
            <sz val="8"/>
            <color indexed="81"/>
            <rFont val="Tahoma"/>
            <family val="2"/>
          </rPr>
          <t>revised</t>
        </r>
      </text>
    </comment>
    <comment ref="AY100" authorId="0" shapeId="0" xr:uid="{0B30648A-F3F2-43CB-838A-9425D06DC3F7}">
      <text>
        <r>
          <rPr>
            <sz val="8"/>
            <color indexed="81"/>
            <rFont val="Tahoma"/>
            <family val="2"/>
          </rPr>
          <t>revised</t>
        </r>
      </text>
    </comment>
    <comment ref="AZ100" authorId="0" shapeId="0" xr:uid="{89E35E66-56E3-467B-9A53-B18E81EDDDE8}">
      <text>
        <r>
          <rPr>
            <sz val="8"/>
            <color indexed="81"/>
            <rFont val="Tahoma"/>
            <family val="2"/>
          </rPr>
          <t>revised</t>
        </r>
      </text>
    </comment>
    <comment ref="BC100" authorId="0" shapeId="0" xr:uid="{EFAA86E9-5496-4A42-BEC6-AB52483FF4DD}">
      <text>
        <r>
          <rPr>
            <sz val="8"/>
            <color indexed="81"/>
            <rFont val="Tahoma"/>
            <family val="2"/>
          </rPr>
          <t>revised</t>
        </r>
      </text>
    </comment>
    <comment ref="BD100" authorId="0" shapeId="0" xr:uid="{7186CCC9-A6C5-4383-B92B-CA7F459B23A6}">
      <text>
        <r>
          <rPr>
            <sz val="8"/>
            <color indexed="81"/>
            <rFont val="Tahoma"/>
            <family val="2"/>
          </rPr>
          <t>revised</t>
        </r>
      </text>
    </comment>
    <comment ref="BF100" authorId="0" shapeId="0" xr:uid="{E2B731B5-2D51-454E-AAF3-5494E40A214D}">
      <text>
        <r>
          <rPr>
            <sz val="8"/>
            <color indexed="81"/>
            <rFont val="Tahoma"/>
            <family val="2"/>
          </rPr>
          <t>revised</t>
        </r>
      </text>
    </comment>
    <comment ref="BI100" authorId="0" shapeId="0" xr:uid="{01B1057E-1DDA-4F36-BE78-B3D644A50924}">
      <text>
        <r>
          <rPr>
            <sz val="8"/>
            <color indexed="81"/>
            <rFont val="Tahoma"/>
            <family val="2"/>
          </rPr>
          <t>revised</t>
        </r>
      </text>
    </comment>
    <comment ref="E101" authorId="0" shapeId="0" xr:uid="{64AF78FA-D843-4A67-B1D7-60386AE9A4EA}">
      <text>
        <r>
          <rPr>
            <sz val="8"/>
            <color indexed="81"/>
            <rFont val="Tahoma"/>
            <family val="2"/>
          </rPr>
          <t>revised</t>
        </r>
      </text>
    </comment>
    <comment ref="M101" authorId="0" shapeId="0" xr:uid="{EB0E4D0E-8487-47CD-8CF6-590C202E3A2F}">
      <text>
        <r>
          <rPr>
            <sz val="8"/>
            <color indexed="81"/>
            <rFont val="Tahoma"/>
            <family val="2"/>
          </rPr>
          <t>revised</t>
        </r>
      </text>
    </comment>
    <comment ref="Q101" authorId="0" shapeId="0" xr:uid="{54A435AF-F5C4-4490-B0E6-961A923B79E0}">
      <text>
        <r>
          <rPr>
            <sz val="8"/>
            <color indexed="81"/>
            <rFont val="Tahoma"/>
            <family val="2"/>
          </rPr>
          <t>revised</t>
        </r>
      </text>
    </comment>
    <comment ref="S101" authorId="0" shapeId="0" xr:uid="{66B327F3-E338-4695-86AF-B797198C1EDB}">
      <text>
        <r>
          <rPr>
            <sz val="8"/>
            <color indexed="81"/>
            <rFont val="Tahoma"/>
            <family val="2"/>
          </rPr>
          <t>revised</t>
        </r>
      </text>
    </comment>
    <comment ref="T101" authorId="0" shapeId="0" xr:uid="{5A75E993-D274-44ED-B560-BE201AEA937C}">
      <text>
        <r>
          <rPr>
            <sz val="8"/>
            <color indexed="81"/>
            <rFont val="Tahoma"/>
            <family val="2"/>
          </rPr>
          <t>revised</t>
        </r>
      </text>
    </comment>
    <comment ref="AF101" authorId="0" shapeId="0" xr:uid="{81B08239-CE20-4E4F-AFA5-DF6221315A52}">
      <text>
        <r>
          <rPr>
            <sz val="8"/>
            <color indexed="81"/>
            <rFont val="Tahoma"/>
            <family val="2"/>
          </rPr>
          <t>revised</t>
        </r>
      </text>
    </comment>
    <comment ref="AG101" authorId="0" shapeId="0" xr:uid="{60AE186D-D03A-41D1-A7B4-8E3C657DF171}">
      <text>
        <r>
          <rPr>
            <sz val="8"/>
            <color indexed="81"/>
            <rFont val="Tahoma"/>
            <family val="2"/>
          </rPr>
          <t>revised</t>
        </r>
      </text>
    </comment>
    <comment ref="AH101" authorId="0" shapeId="0" xr:uid="{47ECABA9-1AED-473A-9F09-ECCF3960A691}">
      <text>
        <r>
          <rPr>
            <sz val="8"/>
            <color indexed="81"/>
            <rFont val="Tahoma"/>
            <family val="2"/>
          </rPr>
          <t>revised</t>
        </r>
      </text>
    </comment>
    <comment ref="AI101" authorId="0" shapeId="0" xr:uid="{F6E15B82-4AE3-456C-995F-1963B772225B}">
      <text>
        <r>
          <rPr>
            <sz val="8"/>
            <color indexed="81"/>
            <rFont val="Tahoma"/>
            <family val="2"/>
          </rPr>
          <t>revised</t>
        </r>
      </text>
    </comment>
    <comment ref="AJ101" authorId="0" shapeId="0" xr:uid="{DFE1A1DE-9E60-4B3C-984B-8899AD8CAF0B}">
      <text>
        <r>
          <rPr>
            <sz val="8"/>
            <color indexed="81"/>
            <rFont val="Tahoma"/>
            <family val="2"/>
          </rPr>
          <t>revised</t>
        </r>
      </text>
    </comment>
    <comment ref="AK101" authorId="0" shapeId="0" xr:uid="{CFC17EC1-FA7F-46C3-927D-CC56C9707557}">
      <text>
        <r>
          <rPr>
            <sz val="8"/>
            <color indexed="81"/>
            <rFont val="Tahoma"/>
            <family val="2"/>
          </rPr>
          <t>revised</t>
        </r>
      </text>
    </comment>
    <comment ref="AL101" authorId="0" shapeId="0" xr:uid="{CD2C8A64-2BCE-4563-BC6A-B960AFC3196D}">
      <text>
        <r>
          <rPr>
            <sz val="8"/>
            <color indexed="81"/>
            <rFont val="Tahoma"/>
            <family val="2"/>
          </rPr>
          <t>revised</t>
        </r>
      </text>
    </comment>
    <comment ref="AN101" authorId="0" shapeId="0" xr:uid="{C8AB6419-3132-4BF5-B789-F8761C41E25C}">
      <text>
        <r>
          <rPr>
            <sz val="8"/>
            <color indexed="81"/>
            <rFont val="Tahoma"/>
            <family val="2"/>
          </rPr>
          <t>revised</t>
        </r>
      </text>
    </comment>
    <comment ref="AO101" authorId="0" shapeId="0" xr:uid="{A54E41E3-1C28-4B12-BD2C-7B08D640144C}">
      <text>
        <r>
          <rPr>
            <sz val="8"/>
            <color indexed="81"/>
            <rFont val="Tahoma"/>
            <family val="2"/>
          </rPr>
          <t>revised</t>
        </r>
      </text>
    </comment>
    <comment ref="AP101" authorId="0" shapeId="0" xr:uid="{FDAA2603-A649-40E4-B1E4-385A0DF5E582}">
      <text>
        <r>
          <rPr>
            <sz val="8"/>
            <color indexed="81"/>
            <rFont val="Tahoma"/>
            <family val="2"/>
          </rPr>
          <t>revised</t>
        </r>
      </text>
    </comment>
    <comment ref="AQ101" authorId="0" shapeId="0" xr:uid="{6AFE4C03-EFDA-44AA-A51E-689C99984D2C}">
      <text>
        <r>
          <rPr>
            <sz val="8"/>
            <color indexed="81"/>
            <rFont val="Tahoma"/>
            <family val="2"/>
          </rPr>
          <t>revised</t>
        </r>
      </text>
    </comment>
    <comment ref="AT101" authorId="0" shapeId="0" xr:uid="{3366F6D6-BAE5-43E2-AC84-01F1E278E9FE}">
      <text>
        <r>
          <rPr>
            <sz val="8"/>
            <color indexed="81"/>
            <rFont val="Tahoma"/>
            <family val="2"/>
          </rPr>
          <t>revised</t>
        </r>
      </text>
    </comment>
    <comment ref="AU101" authorId="0" shapeId="0" xr:uid="{1D8F52F2-2229-49B9-9152-596B787B2C11}">
      <text>
        <r>
          <rPr>
            <sz val="8"/>
            <color indexed="81"/>
            <rFont val="Tahoma"/>
            <family val="2"/>
          </rPr>
          <t>revised</t>
        </r>
      </text>
    </comment>
    <comment ref="AV101" authorId="0" shapeId="0" xr:uid="{AB2C27BC-D585-4D47-932C-BBEE23432F86}">
      <text>
        <r>
          <rPr>
            <sz val="8"/>
            <color indexed="81"/>
            <rFont val="Tahoma"/>
            <family val="2"/>
          </rPr>
          <t>revised</t>
        </r>
      </text>
    </comment>
    <comment ref="AW101" authorId="0" shapeId="0" xr:uid="{B787ABF0-BD67-424E-8371-452616C505AE}">
      <text>
        <r>
          <rPr>
            <sz val="8"/>
            <color indexed="81"/>
            <rFont val="Tahoma"/>
            <family val="2"/>
          </rPr>
          <t>revised</t>
        </r>
      </text>
    </comment>
    <comment ref="AX101" authorId="0" shapeId="0" xr:uid="{8403199E-1323-479D-820E-49D550CC064D}">
      <text>
        <r>
          <rPr>
            <sz val="8"/>
            <color indexed="81"/>
            <rFont val="Tahoma"/>
            <family val="2"/>
          </rPr>
          <t>revised</t>
        </r>
      </text>
    </comment>
    <comment ref="AY101" authorId="0" shapeId="0" xr:uid="{3EBCBDBC-8556-4C6E-B6B0-865EC2790BE7}">
      <text>
        <r>
          <rPr>
            <sz val="8"/>
            <color indexed="81"/>
            <rFont val="Tahoma"/>
            <family val="2"/>
          </rPr>
          <t>revised</t>
        </r>
      </text>
    </comment>
    <comment ref="AZ101" authorId="0" shapeId="0" xr:uid="{186B7ED0-00B5-4B7E-8D85-FBA288CB5E95}">
      <text>
        <r>
          <rPr>
            <sz val="8"/>
            <color indexed="81"/>
            <rFont val="Tahoma"/>
            <family val="2"/>
          </rPr>
          <t>revised</t>
        </r>
      </text>
    </comment>
    <comment ref="BC101" authorId="0" shapeId="0" xr:uid="{BD234C3E-137B-4DD3-B885-72D576301306}">
      <text>
        <r>
          <rPr>
            <sz val="8"/>
            <color indexed="81"/>
            <rFont val="Tahoma"/>
            <family val="2"/>
          </rPr>
          <t>revised</t>
        </r>
      </text>
    </comment>
    <comment ref="BE101" authorId="0" shapeId="0" xr:uid="{01138135-943F-4865-B9C7-CAC4E5DF40B2}">
      <text>
        <r>
          <rPr>
            <sz val="8"/>
            <color indexed="81"/>
            <rFont val="Tahoma"/>
            <family val="2"/>
          </rPr>
          <t>revised</t>
        </r>
      </text>
    </comment>
    <comment ref="B102" authorId="0" shapeId="0" xr:uid="{A5C82FD9-616E-4260-A272-51AB975B95A0}">
      <text>
        <r>
          <rPr>
            <sz val="8"/>
            <color indexed="81"/>
            <rFont val="Tahoma"/>
            <family val="2"/>
          </rPr>
          <t>revised</t>
        </r>
      </text>
    </comment>
    <comment ref="D102" authorId="0" shapeId="0" xr:uid="{C0D74781-793B-44A8-B274-04A45030FB84}">
      <text>
        <r>
          <rPr>
            <sz val="8"/>
            <color indexed="81"/>
            <rFont val="Tahoma"/>
            <family val="2"/>
          </rPr>
          <t>revised</t>
        </r>
      </text>
    </comment>
    <comment ref="O102" authorId="0" shapeId="0" xr:uid="{F913FC68-BE3F-48D4-9F64-B80566245561}">
      <text>
        <r>
          <rPr>
            <sz val="8"/>
            <color indexed="81"/>
            <rFont val="Tahoma"/>
            <family val="2"/>
          </rPr>
          <t>revised</t>
        </r>
      </text>
    </comment>
    <comment ref="X102" authorId="0" shapeId="0" xr:uid="{F6F20618-D825-46E7-AD37-666865F7D02F}">
      <text>
        <r>
          <rPr>
            <sz val="8"/>
            <color indexed="81"/>
            <rFont val="Tahoma"/>
            <family val="2"/>
          </rPr>
          <t>revised</t>
        </r>
      </text>
    </comment>
    <comment ref="Y102" authorId="0" shapeId="0" xr:uid="{0A43B575-2835-4953-A301-97C610DD35F8}">
      <text>
        <r>
          <rPr>
            <sz val="8"/>
            <color indexed="81"/>
            <rFont val="Tahoma"/>
            <family val="2"/>
          </rPr>
          <t>revised</t>
        </r>
      </text>
    </comment>
    <comment ref="Z102" authorId="0" shapeId="0" xr:uid="{B4043031-0F5B-4A98-BEE3-223716F53E27}">
      <text>
        <r>
          <rPr>
            <sz val="8"/>
            <color indexed="81"/>
            <rFont val="Tahoma"/>
            <family val="2"/>
          </rPr>
          <t>revised</t>
        </r>
      </text>
    </comment>
    <comment ref="AA102" authorId="0" shapeId="0" xr:uid="{A97B2FC6-75E5-4755-BB97-172A8B4E2782}">
      <text>
        <r>
          <rPr>
            <sz val="8"/>
            <color indexed="81"/>
            <rFont val="Tahoma"/>
            <family val="2"/>
          </rPr>
          <t>revised</t>
        </r>
      </text>
    </comment>
    <comment ref="AC102" authorId="0" shapeId="0" xr:uid="{A5A27A6C-66E9-44A1-A12E-DF67034888F1}">
      <text>
        <r>
          <rPr>
            <sz val="8"/>
            <color indexed="81"/>
            <rFont val="Tahoma"/>
            <family val="2"/>
          </rPr>
          <t>revised</t>
        </r>
      </text>
    </comment>
    <comment ref="AF102" authorId="0" shapeId="0" xr:uid="{D88EA3BF-D5A8-4710-94F7-FFB6D8E6F26B}">
      <text>
        <r>
          <rPr>
            <sz val="8"/>
            <color indexed="81"/>
            <rFont val="Tahoma"/>
            <family val="2"/>
          </rPr>
          <t>revised</t>
        </r>
      </text>
    </comment>
    <comment ref="AG102" authorId="0" shapeId="0" xr:uid="{C42BC2FF-6B9D-4AA2-99BD-69FF30D5CAE7}">
      <text>
        <r>
          <rPr>
            <sz val="8"/>
            <color indexed="81"/>
            <rFont val="Tahoma"/>
            <family val="2"/>
          </rPr>
          <t>revised</t>
        </r>
      </text>
    </comment>
    <comment ref="AH102" authorId="0" shapeId="0" xr:uid="{DBCD1047-5D59-4932-99FA-559F37C55E8D}">
      <text>
        <r>
          <rPr>
            <sz val="8"/>
            <color indexed="81"/>
            <rFont val="Tahoma"/>
            <family val="2"/>
          </rPr>
          <t>revised</t>
        </r>
      </text>
    </comment>
    <comment ref="AI102" authorId="0" shapeId="0" xr:uid="{C01F77BA-26BB-4DB0-A822-E4BD1D34530B}">
      <text>
        <r>
          <rPr>
            <sz val="8"/>
            <color indexed="81"/>
            <rFont val="Tahoma"/>
            <family val="2"/>
          </rPr>
          <t>revised</t>
        </r>
      </text>
    </comment>
    <comment ref="AJ102" authorId="0" shapeId="0" xr:uid="{2844642F-97B1-4DAB-8218-A1E05A8C2FD9}">
      <text>
        <r>
          <rPr>
            <sz val="8"/>
            <color indexed="81"/>
            <rFont val="Tahoma"/>
            <family val="2"/>
          </rPr>
          <t>revised</t>
        </r>
      </text>
    </comment>
    <comment ref="AK102" authorId="0" shapeId="0" xr:uid="{988315AB-DF66-4A70-8BD5-514EAB47E366}">
      <text>
        <r>
          <rPr>
            <sz val="8"/>
            <color indexed="81"/>
            <rFont val="Tahoma"/>
            <family val="2"/>
          </rPr>
          <t>revised</t>
        </r>
      </text>
    </comment>
    <comment ref="AL102" authorId="0" shapeId="0" xr:uid="{9C8ACAA1-072D-4105-98E4-9600588A2138}">
      <text>
        <r>
          <rPr>
            <sz val="8"/>
            <color indexed="81"/>
            <rFont val="Tahoma"/>
            <family val="2"/>
          </rPr>
          <t>revised</t>
        </r>
      </text>
    </comment>
    <comment ref="AM102" authorId="0" shapeId="0" xr:uid="{F9D7F8FD-F815-4203-91E2-F0054D8E0AF6}">
      <text>
        <r>
          <rPr>
            <sz val="8"/>
            <color indexed="81"/>
            <rFont val="Tahoma"/>
            <family val="2"/>
          </rPr>
          <t>revised</t>
        </r>
      </text>
    </comment>
    <comment ref="AN102" authorId="0" shapeId="0" xr:uid="{E9CD0064-5C8A-4C5D-8AC8-3FBBCBED48EC}">
      <text>
        <r>
          <rPr>
            <sz val="8"/>
            <color indexed="81"/>
            <rFont val="Tahoma"/>
            <family val="2"/>
          </rPr>
          <t>revised</t>
        </r>
      </text>
    </comment>
    <comment ref="AO102" authorId="0" shapeId="0" xr:uid="{917F98F5-47DC-47A0-9AC9-8B5CF823C87D}">
      <text>
        <r>
          <rPr>
            <sz val="8"/>
            <color indexed="81"/>
            <rFont val="Tahoma"/>
            <family val="2"/>
          </rPr>
          <t>revised</t>
        </r>
      </text>
    </comment>
    <comment ref="AP102" authorId="0" shapeId="0" xr:uid="{EDC451EC-482C-414A-A84C-F7AE54121605}">
      <text>
        <r>
          <rPr>
            <sz val="8"/>
            <color indexed="81"/>
            <rFont val="Tahoma"/>
            <family val="2"/>
          </rPr>
          <t>revised</t>
        </r>
      </text>
    </comment>
    <comment ref="AQ102" authorId="0" shapeId="0" xr:uid="{F88B78C2-EAFE-4B55-9C8F-D7C333D3B3DA}">
      <text>
        <r>
          <rPr>
            <sz val="8"/>
            <color indexed="81"/>
            <rFont val="Tahoma"/>
            <family val="2"/>
          </rPr>
          <t>revised</t>
        </r>
      </text>
    </comment>
    <comment ref="AR102" authorId="0" shapeId="0" xr:uid="{41C2CFE2-55D4-41E6-9C17-EE7F771549CB}">
      <text>
        <r>
          <rPr>
            <sz val="8"/>
            <color indexed="81"/>
            <rFont val="Tahoma"/>
            <family val="2"/>
          </rPr>
          <t>revised</t>
        </r>
      </text>
    </comment>
    <comment ref="AS102" authorId="0" shapeId="0" xr:uid="{33F7F194-0872-44DA-B83F-0A9EFA128772}">
      <text>
        <r>
          <rPr>
            <sz val="8"/>
            <color indexed="81"/>
            <rFont val="Tahoma"/>
            <family val="2"/>
          </rPr>
          <t>revised</t>
        </r>
      </text>
    </comment>
    <comment ref="AT102" authorId="0" shapeId="0" xr:uid="{FC20CAD1-BD3D-4F44-B7E1-FBDDF2E43B56}">
      <text>
        <r>
          <rPr>
            <sz val="8"/>
            <color indexed="81"/>
            <rFont val="Tahoma"/>
            <family val="2"/>
          </rPr>
          <t>revised</t>
        </r>
      </text>
    </comment>
    <comment ref="AU102" authorId="0" shapeId="0" xr:uid="{5B3CF521-08A7-425C-82D1-1A7C4509D4A9}">
      <text>
        <r>
          <rPr>
            <sz val="8"/>
            <color indexed="81"/>
            <rFont val="Tahoma"/>
            <family val="2"/>
          </rPr>
          <t>revised</t>
        </r>
      </text>
    </comment>
    <comment ref="AV102" authorId="0" shapeId="0" xr:uid="{C4A087CC-F40A-4C5A-A7D7-124231F95E96}">
      <text>
        <r>
          <rPr>
            <sz val="8"/>
            <color indexed="81"/>
            <rFont val="Tahoma"/>
            <family val="2"/>
          </rPr>
          <t>revised</t>
        </r>
      </text>
    </comment>
    <comment ref="AW102" authorId="0" shapeId="0" xr:uid="{7BFFA81F-58BD-4223-B8C3-834D359FB2D6}">
      <text>
        <r>
          <rPr>
            <sz val="8"/>
            <color indexed="81"/>
            <rFont val="Tahoma"/>
            <family val="2"/>
          </rPr>
          <t>revised</t>
        </r>
      </text>
    </comment>
    <comment ref="AX102" authorId="0" shapeId="0" xr:uid="{3A11A37E-3A90-43C3-B7C2-0A4C292A9E96}">
      <text>
        <r>
          <rPr>
            <sz val="8"/>
            <color indexed="81"/>
            <rFont val="Tahoma"/>
            <family val="2"/>
          </rPr>
          <t>revised</t>
        </r>
      </text>
    </comment>
    <comment ref="AY102" authorId="0" shapeId="0" xr:uid="{A1F3818A-610D-4AAE-81DC-168FE77F5C7B}">
      <text>
        <r>
          <rPr>
            <sz val="8"/>
            <color indexed="81"/>
            <rFont val="Tahoma"/>
            <family val="2"/>
          </rPr>
          <t>revised</t>
        </r>
      </text>
    </comment>
    <comment ref="AZ102" authorId="0" shapeId="0" xr:uid="{16E02AD5-18C1-4C42-B058-C356972DD2DC}">
      <text>
        <r>
          <rPr>
            <sz val="8"/>
            <color indexed="81"/>
            <rFont val="Tahoma"/>
            <family val="2"/>
          </rPr>
          <t>revised</t>
        </r>
      </text>
    </comment>
    <comment ref="BA102" authorId="0" shapeId="0" xr:uid="{45A1ED46-B179-4F30-954B-2BE689F663AC}">
      <text>
        <r>
          <rPr>
            <sz val="8"/>
            <color indexed="81"/>
            <rFont val="Tahoma"/>
            <family val="2"/>
          </rPr>
          <t>revised</t>
        </r>
      </text>
    </comment>
    <comment ref="BB102" authorId="0" shapeId="0" xr:uid="{1D3464C3-A424-45A0-B94F-4EDD89BD8BDB}">
      <text>
        <r>
          <rPr>
            <sz val="8"/>
            <color indexed="81"/>
            <rFont val="Tahoma"/>
            <family val="2"/>
          </rPr>
          <t>revised</t>
        </r>
      </text>
    </comment>
    <comment ref="BC102" authorId="0" shapeId="0" xr:uid="{243EBA37-405E-4F80-814C-CC974B5EAE5C}">
      <text>
        <r>
          <rPr>
            <sz val="8"/>
            <color indexed="81"/>
            <rFont val="Tahoma"/>
            <family val="2"/>
          </rPr>
          <t>revised</t>
        </r>
      </text>
    </comment>
    <comment ref="BD102" authorId="0" shapeId="0" xr:uid="{97942C53-10EB-48CE-A547-730B482BC87B}">
      <text>
        <r>
          <rPr>
            <sz val="8"/>
            <color indexed="81"/>
            <rFont val="Tahoma"/>
            <family val="2"/>
          </rPr>
          <t>revised</t>
        </r>
      </text>
    </comment>
    <comment ref="BE102" authorId="0" shapeId="0" xr:uid="{54CE872B-55F4-4C99-8FF6-C3DD92805190}">
      <text>
        <r>
          <rPr>
            <sz val="8"/>
            <color indexed="81"/>
            <rFont val="Tahoma"/>
            <family val="2"/>
          </rPr>
          <t>revised</t>
        </r>
      </text>
    </comment>
    <comment ref="BF102" authorId="0" shapeId="0" xr:uid="{9A276E07-6EC7-4A9E-991B-8A478CAC37A4}">
      <text>
        <r>
          <rPr>
            <sz val="8"/>
            <color indexed="81"/>
            <rFont val="Tahoma"/>
            <family val="2"/>
          </rPr>
          <t>revised</t>
        </r>
      </text>
    </comment>
    <comment ref="BG102" authorId="0" shapeId="0" xr:uid="{22F72357-71CD-424B-AB8A-1E021868E77B}">
      <text>
        <r>
          <rPr>
            <sz val="8"/>
            <color indexed="81"/>
            <rFont val="Tahoma"/>
            <family val="2"/>
          </rPr>
          <t>revised</t>
        </r>
      </text>
    </comment>
    <comment ref="BI102" authorId="0" shapeId="0" xr:uid="{0B3DA0CC-8531-4CD8-87FB-AD2704D45D8D}">
      <text>
        <r>
          <rPr>
            <sz val="8"/>
            <color indexed="81"/>
            <rFont val="Tahoma"/>
            <family val="2"/>
          </rPr>
          <t>revised</t>
        </r>
      </text>
    </comment>
    <comment ref="F103" authorId="0" shapeId="0" xr:uid="{0DF3E734-8496-4A92-91DE-4E3805AA5DDB}">
      <text>
        <r>
          <rPr>
            <sz val="8"/>
            <color indexed="81"/>
            <rFont val="Tahoma"/>
            <family val="2"/>
          </rPr>
          <t>revised</t>
        </r>
      </text>
    </comment>
    <comment ref="H103" authorId="0" shapeId="0" xr:uid="{28368428-5254-4E0C-9928-C0638049A092}">
      <text>
        <r>
          <rPr>
            <sz val="8"/>
            <color indexed="81"/>
            <rFont val="Tahoma"/>
            <family val="2"/>
          </rPr>
          <t>revised</t>
        </r>
      </text>
    </comment>
    <comment ref="I103" authorId="0" shapeId="0" xr:uid="{A497A787-3B90-4ACD-BD1C-976BABB2ED19}">
      <text>
        <r>
          <rPr>
            <sz val="8"/>
            <color indexed="81"/>
            <rFont val="Tahoma"/>
            <family val="2"/>
          </rPr>
          <t>revised</t>
        </r>
      </text>
    </comment>
    <comment ref="J103" authorId="0" shapeId="0" xr:uid="{03AFC322-0B5B-4130-B714-CD2EC7C14A65}">
      <text>
        <r>
          <rPr>
            <sz val="8"/>
            <color indexed="81"/>
            <rFont val="Tahoma"/>
            <family val="2"/>
          </rPr>
          <t>revised</t>
        </r>
      </text>
    </comment>
    <comment ref="L103" authorId="0" shapeId="0" xr:uid="{91C721F6-AF82-4E79-BF64-C0B47C1C298A}">
      <text>
        <r>
          <rPr>
            <sz val="8"/>
            <color indexed="81"/>
            <rFont val="Tahoma"/>
            <family val="2"/>
          </rPr>
          <t>revised</t>
        </r>
      </text>
    </comment>
    <comment ref="O103" authorId="0" shapeId="0" xr:uid="{9833FB3B-CAC2-403A-B742-C580C5632314}">
      <text>
        <r>
          <rPr>
            <sz val="8"/>
            <color indexed="81"/>
            <rFont val="Tahoma"/>
            <family val="2"/>
          </rPr>
          <t>revised</t>
        </r>
      </text>
    </comment>
    <comment ref="R103" authorId="0" shapeId="0" xr:uid="{100B6E12-9BFA-46FB-BBDE-D54F660D9A67}">
      <text>
        <r>
          <rPr>
            <sz val="8"/>
            <color indexed="81"/>
            <rFont val="Tahoma"/>
            <family val="2"/>
          </rPr>
          <t>revised</t>
        </r>
      </text>
    </comment>
    <comment ref="S103" authorId="0" shapeId="0" xr:uid="{53AD3F5A-85E9-4B4E-B7C6-70EFD0D45EA7}">
      <text>
        <r>
          <rPr>
            <sz val="8"/>
            <color indexed="81"/>
            <rFont val="Tahoma"/>
            <family val="2"/>
          </rPr>
          <t>revised</t>
        </r>
      </text>
    </comment>
    <comment ref="Y103" authorId="0" shapeId="0" xr:uid="{D559E504-0FC2-44FF-85AE-36DFF511CCA5}">
      <text>
        <r>
          <rPr>
            <sz val="8"/>
            <color indexed="81"/>
            <rFont val="Tahoma"/>
            <family val="2"/>
          </rPr>
          <t>revised</t>
        </r>
      </text>
    </comment>
    <comment ref="Z103" authorId="0" shapeId="0" xr:uid="{3A572CB0-2B91-4F0C-B454-1825CDF444C8}">
      <text>
        <r>
          <rPr>
            <sz val="8"/>
            <color indexed="81"/>
            <rFont val="Tahoma"/>
            <family val="2"/>
          </rPr>
          <t>revised</t>
        </r>
      </text>
    </comment>
    <comment ref="AB103" authorId="0" shapeId="0" xr:uid="{7FA76D95-4418-40CD-B03C-A1D6D7F8DAFC}">
      <text>
        <r>
          <rPr>
            <sz val="8"/>
            <color indexed="81"/>
            <rFont val="Tahoma"/>
            <family val="2"/>
          </rPr>
          <t>revised</t>
        </r>
      </text>
    </comment>
    <comment ref="AF103" authorId="0" shapeId="0" xr:uid="{F4D4542C-B29B-41AF-8335-D5ACD348D42E}">
      <text>
        <r>
          <rPr>
            <sz val="8"/>
            <color indexed="81"/>
            <rFont val="Tahoma"/>
            <family val="2"/>
          </rPr>
          <t>revised</t>
        </r>
      </text>
    </comment>
    <comment ref="AG103" authorId="0" shapeId="0" xr:uid="{731ADADA-C500-45D6-B883-762B5535B466}">
      <text>
        <r>
          <rPr>
            <sz val="8"/>
            <color indexed="81"/>
            <rFont val="Tahoma"/>
            <family val="2"/>
          </rPr>
          <t>revised</t>
        </r>
      </text>
    </comment>
    <comment ref="AH103" authorId="0" shapeId="0" xr:uid="{47C36F61-35E7-4B58-9B72-2E94FCE1E000}">
      <text>
        <r>
          <rPr>
            <sz val="8"/>
            <color indexed="81"/>
            <rFont val="Tahoma"/>
            <family val="2"/>
          </rPr>
          <t>revised</t>
        </r>
      </text>
    </comment>
    <comment ref="AI103" authorId="0" shapeId="0" xr:uid="{BB1E36BF-F4D0-43FE-87FC-ED41AE09B852}">
      <text>
        <r>
          <rPr>
            <sz val="8"/>
            <color indexed="81"/>
            <rFont val="Tahoma"/>
            <family val="2"/>
          </rPr>
          <t>revised</t>
        </r>
      </text>
    </comment>
    <comment ref="AJ103" authorId="0" shapeId="0" xr:uid="{067D5F11-7BB3-42A4-98D9-B637EEDF3207}">
      <text>
        <r>
          <rPr>
            <sz val="8"/>
            <color indexed="81"/>
            <rFont val="Tahoma"/>
            <family val="2"/>
          </rPr>
          <t>revised</t>
        </r>
      </text>
    </comment>
    <comment ref="AK103" authorId="0" shapeId="0" xr:uid="{31503B32-2C93-4329-878E-8C4B23F3E621}">
      <text>
        <r>
          <rPr>
            <sz val="8"/>
            <color indexed="81"/>
            <rFont val="Tahoma"/>
            <family val="2"/>
          </rPr>
          <t>revised</t>
        </r>
      </text>
    </comment>
    <comment ref="AL103" authorId="0" shapeId="0" xr:uid="{5D64FC07-E11A-4DE8-8A49-C63EBB39162D}">
      <text>
        <r>
          <rPr>
            <sz val="8"/>
            <color indexed="81"/>
            <rFont val="Tahoma"/>
            <family val="2"/>
          </rPr>
          <t>revised</t>
        </r>
      </text>
    </comment>
    <comment ref="AM103" authorId="0" shapeId="0" xr:uid="{978D88CF-52E6-4531-8BCF-6DD77D5B2F38}">
      <text>
        <r>
          <rPr>
            <sz val="8"/>
            <color indexed="81"/>
            <rFont val="Tahoma"/>
            <family val="2"/>
          </rPr>
          <t>revised</t>
        </r>
      </text>
    </comment>
    <comment ref="AN103" authorId="0" shapeId="0" xr:uid="{3911DEDE-D390-43AD-BED0-A3869A9A2D49}">
      <text>
        <r>
          <rPr>
            <sz val="8"/>
            <color indexed="81"/>
            <rFont val="Tahoma"/>
            <family val="2"/>
          </rPr>
          <t>revised</t>
        </r>
      </text>
    </comment>
    <comment ref="AO103" authorId="0" shapeId="0" xr:uid="{46E6F8AE-2471-478A-8027-CAB2C27CAD56}">
      <text>
        <r>
          <rPr>
            <sz val="8"/>
            <color indexed="81"/>
            <rFont val="Tahoma"/>
            <family val="2"/>
          </rPr>
          <t>revised</t>
        </r>
      </text>
    </comment>
    <comment ref="AP103" authorId="0" shapeId="0" xr:uid="{18F47E85-FA24-42B7-A63B-BBD22F05F9C5}">
      <text>
        <r>
          <rPr>
            <sz val="8"/>
            <color indexed="81"/>
            <rFont val="Tahoma"/>
            <family val="2"/>
          </rPr>
          <t>revised</t>
        </r>
      </text>
    </comment>
    <comment ref="AQ103" authorId="0" shapeId="0" xr:uid="{5FA4559B-62F0-4A85-9678-9525562D164A}">
      <text>
        <r>
          <rPr>
            <sz val="8"/>
            <color indexed="81"/>
            <rFont val="Tahoma"/>
            <family val="2"/>
          </rPr>
          <t>revised</t>
        </r>
      </text>
    </comment>
    <comment ref="AR103" authorId="0" shapeId="0" xr:uid="{5D02AA1C-3120-481E-9F21-6E2F55E59444}">
      <text>
        <r>
          <rPr>
            <sz val="8"/>
            <color indexed="81"/>
            <rFont val="Tahoma"/>
            <family val="2"/>
          </rPr>
          <t>revised</t>
        </r>
      </text>
    </comment>
    <comment ref="AS103" authorId="0" shapeId="0" xr:uid="{331C92B6-0031-45BC-8A14-767654E7CF81}">
      <text>
        <r>
          <rPr>
            <sz val="8"/>
            <color indexed="81"/>
            <rFont val="Tahoma"/>
            <family val="2"/>
          </rPr>
          <t>revised</t>
        </r>
      </text>
    </comment>
    <comment ref="AT103" authorId="0" shapeId="0" xr:uid="{9143EAE5-27F4-4AA9-81D4-EDBED6B39ECB}">
      <text>
        <r>
          <rPr>
            <sz val="8"/>
            <color indexed="81"/>
            <rFont val="Tahoma"/>
            <family val="2"/>
          </rPr>
          <t>revised</t>
        </r>
      </text>
    </comment>
    <comment ref="AU103" authorId="0" shapeId="0" xr:uid="{C999F8CD-D91F-448C-9E71-8297408C3DB3}">
      <text>
        <r>
          <rPr>
            <sz val="8"/>
            <color indexed="81"/>
            <rFont val="Tahoma"/>
            <family val="2"/>
          </rPr>
          <t>revised</t>
        </r>
      </text>
    </comment>
    <comment ref="AV103" authorId="0" shapeId="0" xr:uid="{FEA34D48-EF0B-43C0-A4D4-1B38E210756D}">
      <text>
        <r>
          <rPr>
            <sz val="8"/>
            <color indexed="81"/>
            <rFont val="Tahoma"/>
            <family val="2"/>
          </rPr>
          <t>revised</t>
        </r>
      </text>
    </comment>
    <comment ref="AW103" authorId="0" shapeId="0" xr:uid="{20F40EA6-A12A-4FA1-A8D8-897A35DCEE9A}">
      <text>
        <r>
          <rPr>
            <sz val="8"/>
            <color indexed="81"/>
            <rFont val="Tahoma"/>
            <family val="2"/>
          </rPr>
          <t>revised</t>
        </r>
      </text>
    </comment>
    <comment ref="AX103" authorId="0" shapeId="0" xr:uid="{C1EC02A1-0214-4A8F-94F1-90CD793E0F41}">
      <text>
        <r>
          <rPr>
            <sz val="8"/>
            <color indexed="81"/>
            <rFont val="Tahoma"/>
            <family val="2"/>
          </rPr>
          <t>revised</t>
        </r>
      </text>
    </comment>
    <comment ref="AY103" authorId="0" shapeId="0" xr:uid="{9DE349AF-F2AF-4A8D-8A45-628CC8BB096E}">
      <text>
        <r>
          <rPr>
            <sz val="8"/>
            <color indexed="81"/>
            <rFont val="Tahoma"/>
            <family val="2"/>
          </rPr>
          <t>revised</t>
        </r>
      </text>
    </comment>
    <comment ref="AZ103" authorId="0" shapeId="0" xr:uid="{C2672051-F1D0-4ED5-B66D-6164521BC18C}">
      <text>
        <r>
          <rPr>
            <sz val="8"/>
            <color indexed="81"/>
            <rFont val="Tahoma"/>
            <family val="2"/>
          </rPr>
          <t>revised</t>
        </r>
      </text>
    </comment>
    <comment ref="BA103" authorId="0" shapeId="0" xr:uid="{DC963D0B-5155-437C-B275-616D94BF5375}">
      <text>
        <r>
          <rPr>
            <sz val="8"/>
            <color indexed="81"/>
            <rFont val="Tahoma"/>
            <family val="2"/>
          </rPr>
          <t>revised</t>
        </r>
      </text>
    </comment>
    <comment ref="BB103" authorId="0" shapeId="0" xr:uid="{10D89338-301E-4972-AAD8-98AC533A345A}">
      <text>
        <r>
          <rPr>
            <sz val="8"/>
            <color indexed="81"/>
            <rFont val="Tahoma"/>
            <family val="2"/>
          </rPr>
          <t>revised</t>
        </r>
      </text>
    </comment>
    <comment ref="BC103" authorId="0" shapeId="0" xr:uid="{B91601E3-C1C8-4370-9FCF-9F59351F521C}">
      <text>
        <r>
          <rPr>
            <sz val="8"/>
            <color indexed="81"/>
            <rFont val="Tahoma"/>
            <family val="2"/>
          </rPr>
          <t>revised</t>
        </r>
      </text>
    </comment>
    <comment ref="BD103" authorId="0" shapeId="0" xr:uid="{FD347D18-3DF7-43EB-87FB-BF211AB4606B}">
      <text>
        <r>
          <rPr>
            <sz val="8"/>
            <color indexed="81"/>
            <rFont val="Tahoma"/>
            <family val="2"/>
          </rPr>
          <t>revised</t>
        </r>
      </text>
    </comment>
    <comment ref="BE103" authorId="0" shapeId="0" xr:uid="{D91A2876-8C73-4771-81BC-4C42636554DC}">
      <text>
        <r>
          <rPr>
            <sz val="8"/>
            <color indexed="81"/>
            <rFont val="Tahoma"/>
            <family val="2"/>
          </rPr>
          <t>revised</t>
        </r>
      </text>
    </comment>
    <comment ref="BF103" authorId="0" shapeId="0" xr:uid="{FFF45031-0D8F-4783-8570-A0E4F63E9D31}">
      <text>
        <r>
          <rPr>
            <sz val="8"/>
            <color indexed="81"/>
            <rFont val="Tahoma"/>
            <family val="2"/>
          </rPr>
          <t>revised</t>
        </r>
      </text>
    </comment>
    <comment ref="BG103" authorId="0" shapeId="0" xr:uid="{8CEE09A9-BE93-4DB9-9A1F-15FBE4AE736F}">
      <text>
        <r>
          <rPr>
            <sz val="8"/>
            <color indexed="81"/>
            <rFont val="Tahoma"/>
            <family val="2"/>
          </rPr>
          <t>revised</t>
        </r>
      </text>
    </comment>
    <comment ref="BH103" authorId="0" shapeId="0" xr:uid="{A55D10E7-898A-402F-B756-6BF66C9ECD62}">
      <text>
        <r>
          <rPr>
            <sz val="8"/>
            <color indexed="81"/>
            <rFont val="Tahoma"/>
            <family val="2"/>
          </rPr>
          <t>revised</t>
        </r>
      </text>
    </comment>
    <comment ref="BI103" authorId="0" shapeId="0" xr:uid="{20C10D89-47B9-4043-B51D-DBB7B28C6EF6}">
      <text>
        <r>
          <rPr>
            <sz val="8"/>
            <color indexed="81"/>
            <rFont val="Tahoma"/>
            <family val="2"/>
          </rPr>
          <t>revised</t>
        </r>
      </text>
    </comment>
    <comment ref="B104" authorId="0" shapeId="0" xr:uid="{D04524A8-B3D1-4CC5-917E-46C6645F5FDE}">
      <text>
        <r>
          <rPr>
            <sz val="8"/>
            <color indexed="81"/>
            <rFont val="Tahoma"/>
            <family val="2"/>
          </rPr>
          <t>revised</t>
        </r>
      </text>
    </comment>
    <comment ref="D104" authorId="0" shapeId="0" xr:uid="{0D66C798-6B16-4E65-A6D6-2FAAE1CB027A}">
      <text>
        <r>
          <rPr>
            <sz val="8"/>
            <color indexed="81"/>
            <rFont val="Tahoma"/>
            <family val="2"/>
          </rPr>
          <t>revised</t>
        </r>
      </text>
    </comment>
    <comment ref="L104" authorId="0" shapeId="0" xr:uid="{148FA758-9C46-447F-83C4-30E54913C8EA}">
      <text>
        <r>
          <rPr>
            <sz val="8"/>
            <color indexed="81"/>
            <rFont val="Tahoma"/>
            <family val="2"/>
          </rPr>
          <t>revised</t>
        </r>
      </text>
    </comment>
    <comment ref="M104" authorId="0" shapeId="0" xr:uid="{9E0D9B62-41D5-471B-B851-3157D1D14CC7}">
      <text>
        <r>
          <rPr>
            <sz val="8"/>
            <color indexed="81"/>
            <rFont val="Tahoma"/>
            <family val="2"/>
          </rPr>
          <t>revised</t>
        </r>
      </text>
    </comment>
    <comment ref="O104" authorId="0" shapeId="0" xr:uid="{E888F37E-F9F7-4150-810D-83F808ADB39A}">
      <text>
        <r>
          <rPr>
            <sz val="8"/>
            <color indexed="81"/>
            <rFont val="Tahoma"/>
            <family val="2"/>
          </rPr>
          <t>revised</t>
        </r>
      </text>
    </comment>
    <comment ref="R104" authorId="0" shapeId="0" xr:uid="{E1D5B003-D83A-49F5-83E9-EAA3E714D3E6}">
      <text>
        <r>
          <rPr>
            <sz val="8"/>
            <color indexed="81"/>
            <rFont val="Tahoma"/>
            <family val="2"/>
          </rPr>
          <t>revised</t>
        </r>
      </text>
    </comment>
    <comment ref="S104" authorId="0" shapeId="0" xr:uid="{15041365-1FD8-4606-8EA5-ABE2506FCA8D}">
      <text>
        <r>
          <rPr>
            <sz val="8"/>
            <color indexed="81"/>
            <rFont val="Tahoma"/>
            <family val="2"/>
          </rPr>
          <t>revised</t>
        </r>
      </text>
    </comment>
    <comment ref="U104" authorId="0" shapeId="0" xr:uid="{94F0E79E-8318-4B4A-90AE-971B80B10295}">
      <text>
        <r>
          <rPr>
            <sz val="8"/>
            <color indexed="81"/>
            <rFont val="Tahoma"/>
            <family val="2"/>
          </rPr>
          <t>revised</t>
        </r>
      </text>
    </comment>
    <comment ref="V104" authorId="0" shapeId="0" xr:uid="{50AF3E69-33CC-4305-AA94-39AD252CF62A}">
      <text>
        <r>
          <rPr>
            <sz val="8"/>
            <color indexed="81"/>
            <rFont val="Tahoma"/>
            <family val="2"/>
          </rPr>
          <t>revised</t>
        </r>
      </text>
    </comment>
    <comment ref="AA104" authorId="0" shapeId="0" xr:uid="{FF223A11-C0FB-4C2C-8F51-B641700CE3BE}">
      <text>
        <r>
          <rPr>
            <sz val="8"/>
            <color indexed="81"/>
            <rFont val="Tahoma"/>
            <family val="2"/>
          </rPr>
          <t>revised</t>
        </r>
      </text>
    </comment>
    <comment ref="AF104" authorId="0" shapeId="0" xr:uid="{716DB7B7-03C3-4E99-B35F-63D6B9CB1EB0}">
      <text>
        <r>
          <rPr>
            <sz val="8"/>
            <color indexed="81"/>
            <rFont val="Tahoma"/>
            <family val="2"/>
          </rPr>
          <t>revised</t>
        </r>
      </text>
    </comment>
    <comment ref="AG104" authorId="0" shapeId="0" xr:uid="{CFA8D475-EFEF-4DB1-9AF7-F5E11D3A1D0D}">
      <text>
        <r>
          <rPr>
            <sz val="8"/>
            <color indexed="81"/>
            <rFont val="Tahoma"/>
            <family val="2"/>
          </rPr>
          <t>revised</t>
        </r>
      </text>
    </comment>
    <comment ref="AH104" authorId="0" shapeId="0" xr:uid="{2E5EFDF3-78D0-47F9-BB57-84CD2EE80C40}">
      <text>
        <r>
          <rPr>
            <sz val="8"/>
            <color indexed="81"/>
            <rFont val="Tahoma"/>
            <family val="2"/>
          </rPr>
          <t>revised</t>
        </r>
      </text>
    </comment>
    <comment ref="AI104" authorId="0" shapeId="0" xr:uid="{A4D93DB9-4E94-43F0-857F-2CA7665F55F7}">
      <text>
        <r>
          <rPr>
            <sz val="8"/>
            <color indexed="81"/>
            <rFont val="Tahoma"/>
            <family val="2"/>
          </rPr>
          <t>revised</t>
        </r>
      </text>
    </comment>
    <comment ref="AJ104" authorId="0" shapeId="0" xr:uid="{605E7C61-DDB2-4148-818F-497D3CEAE0C8}">
      <text>
        <r>
          <rPr>
            <sz val="8"/>
            <color indexed="81"/>
            <rFont val="Tahoma"/>
            <family val="2"/>
          </rPr>
          <t>revised</t>
        </r>
      </text>
    </comment>
    <comment ref="AK104" authorId="0" shapeId="0" xr:uid="{B733DF2A-F25D-43B8-8822-786BFCD74262}">
      <text>
        <r>
          <rPr>
            <sz val="8"/>
            <color indexed="81"/>
            <rFont val="Tahoma"/>
            <family val="2"/>
          </rPr>
          <t>revised</t>
        </r>
      </text>
    </comment>
    <comment ref="AL104" authorId="0" shapeId="0" xr:uid="{587F6256-52AD-4DE1-BB51-3B171D7FB814}">
      <text>
        <r>
          <rPr>
            <sz val="8"/>
            <color indexed="81"/>
            <rFont val="Tahoma"/>
            <family val="2"/>
          </rPr>
          <t>revised</t>
        </r>
      </text>
    </comment>
    <comment ref="AM104" authorId="0" shapeId="0" xr:uid="{431365B7-6F04-45FF-A5AF-7A3BE56AED3E}">
      <text>
        <r>
          <rPr>
            <sz val="8"/>
            <color indexed="81"/>
            <rFont val="Tahoma"/>
            <family val="2"/>
          </rPr>
          <t>revised</t>
        </r>
      </text>
    </comment>
    <comment ref="AN104" authorId="0" shapeId="0" xr:uid="{00190992-FD0B-4DA4-98B2-39549B1086CD}">
      <text>
        <r>
          <rPr>
            <sz val="8"/>
            <color indexed="81"/>
            <rFont val="Tahoma"/>
            <family val="2"/>
          </rPr>
          <t>revised</t>
        </r>
      </text>
    </comment>
    <comment ref="AO104" authorId="0" shapeId="0" xr:uid="{0FE41468-5B6A-4472-95F6-88CB0BA33F0B}">
      <text>
        <r>
          <rPr>
            <sz val="8"/>
            <color indexed="81"/>
            <rFont val="Tahoma"/>
            <family val="2"/>
          </rPr>
          <t>revised</t>
        </r>
      </text>
    </comment>
    <comment ref="AP104" authorId="0" shapeId="0" xr:uid="{E3697885-1B14-458A-8A66-802127E12440}">
      <text>
        <r>
          <rPr>
            <sz val="8"/>
            <color indexed="81"/>
            <rFont val="Tahoma"/>
            <family val="2"/>
          </rPr>
          <t>revised</t>
        </r>
      </text>
    </comment>
    <comment ref="AQ104" authorId="0" shapeId="0" xr:uid="{CF8D220D-5CA1-4A9A-9447-70E576189AC7}">
      <text>
        <r>
          <rPr>
            <sz val="8"/>
            <color indexed="81"/>
            <rFont val="Tahoma"/>
            <family val="2"/>
          </rPr>
          <t>revised</t>
        </r>
      </text>
    </comment>
    <comment ref="AS104" authorId="0" shapeId="0" xr:uid="{410B6939-8B68-4628-A8ED-2FA6D686CEDA}">
      <text>
        <r>
          <rPr>
            <sz val="8"/>
            <color indexed="81"/>
            <rFont val="Tahoma"/>
            <family val="2"/>
          </rPr>
          <t>revised</t>
        </r>
      </text>
    </comment>
    <comment ref="AT104" authorId="0" shapeId="0" xr:uid="{0941D74D-37D4-44D7-8F39-A4A13B249DC0}">
      <text>
        <r>
          <rPr>
            <sz val="8"/>
            <color indexed="81"/>
            <rFont val="Tahoma"/>
            <family val="2"/>
          </rPr>
          <t>revised</t>
        </r>
      </text>
    </comment>
    <comment ref="AU104" authorId="0" shapeId="0" xr:uid="{8C09E65B-041B-473E-8E38-0520D0273377}">
      <text>
        <r>
          <rPr>
            <sz val="8"/>
            <color indexed="81"/>
            <rFont val="Tahoma"/>
            <family val="2"/>
          </rPr>
          <t>revised</t>
        </r>
      </text>
    </comment>
    <comment ref="AV104" authorId="0" shapeId="0" xr:uid="{9743D6EF-68AA-4E08-8339-8DF708A83930}">
      <text>
        <r>
          <rPr>
            <sz val="8"/>
            <color indexed="81"/>
            <rFont val="Tahoma"/>
            <family val="2"/>
          </rPr>
          <t>revised</t>
        </r>
      </text>
    </comment>
    <comment ref="AW104" authorId="0" shapeId="0" xr:uid="{15FC116B-11DF-44DD-9757-1FDED0DD29FB}">
      <text>
        <r>
          <rPr>
            <sz val="8"/>
            <color indexed="81"/>
            <rFont val="Tahoma"/>
            <family val="2"/>
          </rPr>
          <t>revised</t>
        </r>
      </text>
    </comment>
    <comment ref="AX104" authorId="0" shapeId="0" xr:uid="{6B93CFE9-A85F-40D2-B473-61FC63D1D7B2}">
      <text>
        <r>
          <rPr>
            <sz val="8"/>
            <color indexed="81"/>
            <rFont val="Tahoma"/>
            <family val="2"/>
          </rPr>
          <t>revised</t>
        </r>
      </text>
    </comment>
    <comment ref="AY104" authorId="0" shapeId="0" xr:uid="{D675ADBE-C52C-4AF3-B315-DFF83CBBECB0}">
      <text>
        <r>
          <rPr>
            <sz val="8"/>
            <color indexed="81"/>
            <rFont val="Tahoma"/>
            <family val="2"/>
          </rPr>
          <t>revised</t>
        </r>
      </text>
    </comment>
    <comment ref="AZ104" authorId="0" shapeId="0" xr:uid="{AAB5864A-3B89-45F6-AA05-43A7F6990185}">
      <text>
        <r>
          <rPr>
            <sz val="8"/>
            <color indexed="81"/>
            <rFont val="Tahoma"/>
            <family val="2"/>
          </rPr>
          <t>revised</t>
        </r>
      </text>
    </comment>
    <comment ref="BA104" authorId="0" shapeId="0" xr:uid="{89AA1DC6-D081-47A8-BB9D-5CBD7B274709}">
      <text>
        <r>
          <rPr>
            <sz val="8"/>
            <color indexed="81"/>
            <rFont val="Tahoma"/>
            <family val="2"/>
          </rPr>
          <t>revised</t>
        </r>
      </text>
    </comment>
    <comment ref="BC104" authorId="0" shapeId="0" xr:uid="{33059866-E92E-4ECF-A1F1-2D91426606AC}">
      <text>
        <r>
          <rPr>
            <sz val="8"/>
            <color indexed="81"/>
            <rFont val="Tahoma"/>
            <family val="2"/>
          </rPr>
          <t>revised</t>
        </r>
      </text>
    </comment>
    <comment ref="BD104" authorId="0" shapeId="0" xr:uid="{B8E87927-2B03-4AFA-B884-9727F8B60118}">
      <text>
        <r>
          <rPr>
            <sz val="8"/>
            <color indexed="81"/>
            <rFont val="Tahoma"/>
            <family val="2"/>
          </rPr>
          <t>revised</t>
        </r>
      </text>
    </comment>
    <comment ref="BE104" authorId="0" shapeId="0" xr:uid="{7AE786F9-AD27-4999-8601-E6E42A36D4BF}">
      <text>
        <r>
          <rPr>
            <sz val="8"/>
            <color indexed="81"/>
            <rFont val="Tahoma"/>
            <family val="2"/>
          </rPr>
          <t>revised</t>
        </r>
      </text>
    </comment>
    <comment ref="BF104" authorId="0" shapeId="0" xr:uid="{6F0C4F50-9FCB-4FD8-8930-13F7E2CF139F}">
      <text>
        <r>
          <rPr>
            <sz val="8"/>
            <color indexed="81"/>
            <rFont val="Tahoma"/>
            <family val="2"/>
          </rPr>
          <t>revised</t>
        </r>
      </text>
    </comment>
    <comment ref="BI104" authorId="0" shapeId="0" xr:uid="{C86AC2B9-2EE4-4FA8-BA94-07A6204D69E0}">
      <text>
        <r>
          <rPr>
            <sz val="8"/>
            <color indexed="81"/>
            <rFont val="Tahoma"/>
            <family val="2"/>
          </rPr>
          <t>revised</t>
        </r>
      </text>
    </comment>
    <comment ref="B105" authorId="0" shapeId="0" xr:uid="{F4B36040-3146-49D8-A02C-76AA7EDE8ECB}">
      <text>
        <r>
          <rPr>
            <sz val="8"/>
            <color indexed="81"/>
            <rFont val="Tahoma"/>
            <family val="2"/>
          </rPr>
          <t>revised</t>
        </r>
      </text>
    </comment>
    <comment ref="C105" authorId="0" shapeId="0" xr:uid="{39E9ACA6-F8EA-44F8-8E22-6F2B288B4D94}">
      <text>
        <r>
          <rPr>
            <sz val="8"/>
            <color indexed="81"/>
            <rFont val="Tahoma"/>
            <family val="2"/>
          </rPr>
          <t>revised</t>
        </r>
      </text>
    </comment>
    <comment ref="D105" authorId="0" shapeId="0" xr:uid="{3AE6309B-F09B-40C2-986B-F3ADD9FF8A17}">
      <text>
        <r>
          <rPr>
            <sz val="8"/>
            <color indexed="81"/>
            <rFont val="Tahoma"/>
            <family val="2"/>
          </rPr>
          <t>revised</t>
        </r>
      </text>
    </comment>
    <comment ref="E105" authorId="0" shapeId="0" xr:uid="{AB65198A-C1D6-48B3-B3FD-2354DAFA4304}">
      <text>
        <r>
          <rPr>
            <sz val="8"/>
            <color indexed="81"/>
            <rFont val="Tahoma"/>
            <family val="2"/>
          </rPr>
          <t>revised</t>
        </r>
      </text>
    </comment>
    <comment ref="F105" authorId="0" shapeId="0" xr:uid="{1C08D2C2-EB84-42BC-8042-E734F19C024E}">
      <text>
        <r>
          <rPr>
            <sz val="8"/>
            <color indexed="81"/>
            <rFont val="Tahoma"/>
            <family val="2"/>
          </rPr>
          <t>revised</t>
        </r>
      </text>
    </comment>
    <comment ref="G105" authorId="0" shapeId="0" xr:uid="{193D1E06-5712-459E-9732-C4E4CB5139B2}">
      <text>
        <r>
          <rPr>
            <sz val="8"/>
            <color indexed="81"/>
            <rFont val="Tahoma"/>
            <family val="2"/>
          </rPr>
          <t>revised</t>
        </r>
      </text>
    </comment>
    <comment ref="H105" authorId="0" shapeId="0" xr:uid="{7FB50BAE-2A19-4D84-A725-F592C70E7CE9}">
      <text>
        <r>
          <rPr>
            <sz val="8"/>
            <color indexed="81"/>
            <rFont val="Tahoma"/>
            <family val="2"/>
          </rPr>
          <t>revised</t>
        </r>
      </text>
    </comment>
    <comment ref="J105" authorId="0" shapeId="0" xr:uid="{965639F0-34A3-447B-B910-19BCA017F493}">
      <text>
        <r>
          <rPr>
            <sz val="8"/>
            <color indexed="81"/>
            <rFont val="Tahoma"/>
            <family val="2"/>
          </rPr>
          <t>revised</t>
        </r>
      </text>
    </comment>
    <comment ref="K105" authorId="0" shapeId="0" xr:uid="{54DA473C-3C10-411E-A57B-D2F0A6EBD24C}">
      <text>
        <r>
          <rPr>
            <sz val="8"/>
            <color indexed="81"/>
            <rFont val="Tahoma"/>
            <family val="2"/>
          </rPr>
          <t>revised</t>
        </r>
      </text>
    </comment>
    <comment ref="L105" authorId="0" shapeId="0" xr:uid="{EA11DAE0-303D-4705-B771-80CC10AC4E7A}">
      <text>
        <r>
          <rPr>
            <sz val="8"/>
            <color indexed="81"/>
            <rFont val="Tahoma"/>
            <family val="2"/>
          </rPr>
          <t>revised</t>
        </r>
      </text>
    </comment>
    <comment ref="M105" authorId="0" shapeId="0" xr:uid="{19F419B0-4A73-4E5A-83B3-984A96EA6CC2}">
      <text>
        <r>
          <rPr>
            <sz val="8"/>
            <color indexed="81"/>
            <rFont val="Tahoma"/>
            <family val="2"/>
          </rPr>
          <t>revised</t>
        </r>
      </text>
    </comment>
    <comment ref="P105" authorId="0" shapeId="0" xr:uid="{D9322753-1AD6-41FA-868A-9C6B3CB9F5D1}">
      <text>
        <r>
          <rPr>
            <sz val="8"/>
            <color indexed="81"/>
            <rFont val="Tahoma"/>
            <family val="2"/>
          </rPr>
          <t>revised</t>
        </r>
      </text>
    </comment>
    <comment ref="Q105" authorId="0" shapeId="0" xr:uid="{0F2FE8E6-3CA2-4974-A6E1-7A245565760A}">
      <text>
        <r>
          <rPr>
            <sz val="8"/>
            <color indexed="81"/>
            <rFont val="Tahoma"/>
            <family val="2"/>
          </rPr>
          <t>revised</t>
        </r>
      </text>
    </comment>
    <comment ref="R105" authorId="0" shapeId="0" xr:uid="{33DBF81B-2C7D-45B7-BA8A-F14908471877}">
      <text>
        <r>
          <rPr>
            <sz val="8"/>
            <color indexed="81"/>
            <rFont val="Tahoma"/>
            <family val="2"/>
          </rPr>
          <t>revised</t>
        </r>
      </text>
    </comment>
    <comment ref="S105" authorId="0" shapeId="0" xr:uid="{85231A06-B161-4E1C-AD0A-816926B73BFF}">
      <text>
        <r>
          <rPr>
            <sz val="8"/>
            <color indexed="81"/>
            <rFont val="Tahoma"/>
            <family val="2"/>
          </rPr>
          <t>revised</t>
        </r>
      </text>
    </comment>
    <comment ref="T105" authorId="0" shapeId="0" xr:uid="{7210EE54-FA6F-418D-B149-2432C9163CA6}">
      <text>
        <r>
          <rPr>
            <sz val="8"/>
            <color indexed="81"/>
            <rFont val="Tahoma"/>
            <family val="2"/>
          </rPr>
          <t>revised</t>
        </r>
      </text>
    </comment>
    <comment ref="U105" authorId="0" shapeId="0" xr:uid="{385DB5FE-2955-403F-9D5D-3471515CE8C0}">
      <text>
        <r>
          <rPr>
            <sz val="8"/>
            <color indexed="81"/>
            <rFont val="Tahoma"/>
            <family val="2"/>
          </rPr>
          <t>revised</t>
        </r>
      </text>
    </comment>
    <comment ref="V105" authorId="0" shapeId="0" xr:uid="{ECBDBBF3-3863-46FB-9E41-BB8D6E1CD8EC}">
      <text>
        <r>
          <rPr>
            <sz val="8"/>
            <color indexed="81"/>
            <rFont val="Tahoma"/>
            <family val="2"/>
          </rPr>
          <t>revised</t>
        </r>
      </text>
    </comment>
    <comment ref="W105" authorId="0" shapeId="0" xr:uid="{5109DD69-B820-48AC-9AB8-94B2107CB3E8}">
      <text>
        <r>
          <rPr>
            <sz val="8"/>
            <color indexed="81"/>
            <rFont val="Tahoma"/>
            <family val="2"/>
          </rPr>
          <t>revised</t>
        </r>
      </text>
    </comment>
    <comment ref="X105" authorId="0" shapeId="0" xr:uid="{BBB4273E-26C0-4D7A-9303-5F2C815B55A2}">
      <text>
        <r>
          <rPr>
            <sz val="8"/>
            <color indexed="81"/>
            <rFont val="Tahoma"/>
            <family val="2"/>
          </rPr>
          <t>revised</t>
        </r>
      </text>
    </comment>
    <comment ref="Y105" authorId="0" shapeId="0" xr:uid="{66681211-B650-4737-97F6-F7C1D60DA1EE}">
      <text>
        <r>
          <rPr>
            <sz val="8"/>
            <color indexed="81"/>
            <rFont val="Tahoma"/>
            <family val="2"/>
          </rPr>
          <t>revised</t>
        </r>
      </text>
    </comment>
    <comment ref="Z105" authorId="0" shapeId="0" xr:uid="{5876EAD1-A65F-4AD1-83AB-13B8B6B085FB}">
      <text>
        <r>
          <rPr>
            <sz val="8"/>
            <color indexed="81"/>
            <rFont val="Tahoma"/>
            <family val="2"/>
          </rPr>
          <t>revised</t>
        </r>
      </text>
    </comment>
    <comment ref="AA105" authorId="0" shapeId="0" xr:uid="{E8515A16-35FE-4C9E-8C97-5A2E062C86A5}">
      <text>
        <r>
          <rPr>
            <sz val="8"/>
            <color indexed="81"/>
            <rFont val="Tahoma"/>
            <family val="2"/>
          </rPr>
          <t>revised</t>
        </r>
      </text>
    </comment>
    <comment ref="AB105" authorId="0" shapeId="0" xr:uid="{FF3079F5-3A88-4E32-B50B-176F2B0B2168}">
      <text>
        <r>
          <rPr>
            <sz val="8"/>
            <color indexed="81"/>
            <rFont val="Tahoma"/>
            <family val="2"/>
          </rPr>
          <t>revised</t>
        </r>
      </text>
    </comment>
    <comment ref="AC105" authorId="0" shapeId="0" xr:uid="{FA0304D2-489D-4EE4-A390-360368C54850}">
      <text>
        <r>
          <rPr>
            <sz val="8"/>
            <color indexed="81"/>
            <rFont val="Tahoma"/>
            <family val="2"/>
          </rPr>
          <t>revised</t>
        </r>
      </text>
    </comment>
    <comment ref="AE105" authorId="0" shapeId="0" xr:uid="{5CD39B7B-DBEF-4AF4-BCB9-A80561D23D37}">
      <text>
        <r>
          <rPr>
            <sz val="8"/>
            <color indexed="81"/>
            <rFont val="Tahoma"/>
            <family val="2"/>
          </rPr>
          <t>revised</t>
        </r>
      </text>
    </comment>
    <comment ref="AF105" authorId="0" shapeId="0" xr:uid="{AB70FF19-2E54-4A26-AA05-0E05F8897F91}">
      <text>
        <r>
          <rPr>
            <sz val="8"/>
            <color indexed="81"/>
            <rFont val="Tahoma"/>
            <family val="2"/>
          </rPr>
          <t>revised</t>
        </r>
      </text>
    </comment>
    <comment ref="AG105" authorId="0" shapeId="0" xr:uid="{4E415E3B-7689-48AF-BE88-8553826D7951}">
      <text>
        <r>
          <rPr>
            <sz val="8"/>
            <color indexed="81"/>
            <rFont val="Tahoma"/>
            <family val="2"/>
          </rPr>
          <t>revised</t>
        </r>
      </text>
    </comment>
    <comment ref="AH105" authorId="0" shapeId="0" xr:uid="{C388D6A1-8623-48FA-AF37-A4AE4D56E329}">
      <text>
        <r>
          <rPr>
            <sz val="8"/>
            <color indexed="81"/>
            <rFont val="Tahoma"/>
            <family val="2"/>
          </rPr>
          <t>revised</t>
        </r>
      </text>
    </comment>
    <comment ref="AI105" authorId="0" shapeId="0" xr:uid="{5E77E8A8-2D1C-41F3-A2AE-36745F2EA0F9}">
      <text>
        <r>
          <rPr>
            <sz val="8"/>
            <color indexed="81"/>
            <rFont val="Tahoma"/>
            <family val="2"/>
          </rPr>
          <t>revised</t>
        </r>
      </text>
    </comment>
    <comment ref="AJ105" authorId="0" shapeId="0" xr:uid="{23E8729A-D7E3-4014-8ADF-1CAE8F202EE2}">
      <text>
        <r>
          <rPr>
            <sz val="8"/>
            <color indexed="81"/>
            <rFont val="Tahoma"/>
            <family val="2"/>
          </rPr>
          <t>revised</t>
        </r>
      </text>
    </comment>
    <comment ref="AK105" authorId="0" shapeId="0" xr:uid="{21BDF4BE-10EC-4A4C-9ECA-19DA786112A9}">
      <text>
        <r>
          <rPr>
            <sz val="8"/>
            <color indexed="81"/>
            <rFont val="Tahoma"/>
            <family val="2"/>
          </rPr>
          <t>revised</t>
        </r>
      </text>
    </comment>
    <comment ref="AL105" authorId="0" shapeId="0" xr:uid="{79D324D8-55F9-4597-84DA-E3F6137E5895}">
      <text>
        <r>
          <rPr>
            <sz val="8"/>
            <color indexed="81"/>
            <rFont val="Tahoma"/>
            <family val="2"/>
          </rPr>
          <t>revised</t>
        </r>
      </text>
    </comment>
    <comment ref="AM105" authorId="0" shapeId="0" xr:uid="{1388BDAB-6EA2-4A4F-8B44-E3456CDDCB31}">
      <text>
        <r>
          <rPr>
            <sz val="8"/>
            <color indexed="81"/>
            <rFont val="Tahoma"/>
            <family val="2"/>
          </rPr>
          <t>revised</t>
        </r>
      </text>
    </comment>
    <comment ref="AN105" authorId="0" shapeId="0" xr:uid="{F1014F06-6559-412D-BE28-2D60E4B5466A}">
      <text>
        <r>
          <rPr>
            <sz val="8"/>
            <color indexed="81"/>
            <rFont val="Tahoma"/>
            <family val="2"/>
          </rPr>
          <t>revised</t>
        </r>
      </text>
    </comment>
    <comment ref="AO105" authorId="0" shapeId="0" xr:uid="{05AAECD9-BD64-4D7B-A327-C392A870AFBE}">
      <text>
        <r>
          <rPr>
            <sz val="8"/>
            <color indexed="81"/>
            <rFont val="Tahoma"/>
            <family val="2"/>
          </rPr>
          <t>revised</t>
        </r>
      </text>
    </comment>
    <comment ref="AP105" authorId="0" shapeId="0" xr:uid="{5C3FE0E1-A4CD-4570-8914-10F3B3F33DE8}">
      <text>
        <r>
          <rPr>
            <sz val="8"/>
            <color indexed="81"/>
            <rFont val="Tahoma"/>
            <family val="2"/>
          </rPr>
          <t>revised</t>
        </r>
      </text>
    </comment>
    <comment ref="AQ105" authorId="0" shapeId="0" xr:uid="{0DBA67F6-5D32-4FB6-AEC9-63D1050036DB}">
      <text>
        <r>
          <rPr>
            <sz val="8"/>
            <color indexed="81"/>
            <rFont val="Tahoma"/>
            <family val="2"/>
          </rPr>
          <t>revised</t>
        </r>
      </text>
    </comment>
    <comment ref="AR105" authorId="0" shapeId="0" xr:uid="{2A46E0C2-49D7-4BF5-AAB2-505488CEA424}">
      <text>
        <r>
          <rPr>
            <sz val="8"/>
            <color indexed="81"/>
            <rFont val="Tahoma"/>
            <family val="2"/>
          </rPr>
          <t>revised</t>
        </r>
      </text>
    </comment>
    <comment ref="AS105" authorId="0" shapeId="0" xr:uid="{813A0C5B-AAA1-442A-BA49-E4DC93F245A8}">
      <text>
        <r>
          <rPr>
            <sz val="8"/>
            <color indexed="81"/>
            <rFont val="Tahoma"/>
            <family val="2"/>
          </rPr>
          <t>revised</t>
        </r>
      </text>
    </comment>
    <comment ref="AT105" authorId="0" shapeId="0" xr:uid="{AF2FB07D-7964-4CD5-BDF6-90CB69DBD089}">
      <text>
        <r>
          <rPr>
            <sz val="8"/>
            <color indexed="81"/>
            <rFont val="Tahoma"/>
            <family val="2"/>
          </rPr>
          <t>revised</t>
        </r>
      </text>
    </comment>
    <comment ref="AU105" authorId="0" shapeId="0" xr:uid="{58C8013F-37B1-4BAA-B1A6-22305FD7FACC}">
      <text>
        <r>
          <rPr>
            <sz val="8"/>
            <color indexed="81"/>
            <rFont val="Tahoma"/>
            <family val="2"/>
          </rPr>
          <t>revised</t>
        </r>
      </text>
    </comment>
    <comment ref="AV105" authorId="0" shapeId="0" xr:uid="{6DA3710F-5107-465F-8BFB-55B031E8F2F6}">
      <text>
        <r>
          <rPr>
            <sz val="8"/>
            <color indexed="81"/>
            <rFont val="Tahoma"/>
            <family val="2"/>
          </rPr>
          <t>revised</t>
        </r>
      </text>
    </comment>
    <comment ref="AW105" authorId="0" shapeId="0" xr:uid="{FDB82BC4-A2CA-4AA4-BA12-E300E9122C1F}">
      <text>
        <r>
          <rPr>
            <sz val="8"/>
            <color indexed="81"/>
            <rFont val="Tahoma"/>
            <family val="2"/>
          </rPr>
          <t>revised</t>
        </r>
      </text>
    </comment>
    <comment ref="AX105" authorId="0" shapeId="0" xr:uid="{CC2285E4-0BB3-45C4-B3D7-079638DA640E}">
      <text>
        <r>
          <rPr>
            <sz val="8"/>
            <color indexed="81"/>
            <rFont val="Tahoma"/>
            <family val="2"/>
          </rPr>
          <t>revised</t>
        </r>
      </text>
    </comment>
    <comment ref="AY105" authorId="0" shapeId="0" xr:uid="{C6822D38-DF8F-4692-9A70-307B6A986261}">
      <text>
        <r>
          <rPr>
            <sz val="8"/>
            <color indexed="81"/>
            <rFont val="Tahoma"/>
            <family val="2"/>
          </rPr>
          <t>revised</t>
        </r>
      </text>
    </comment>
    <comment ref="AZ105" authorId="0" shapeId="0" xr:uid="{DECC71DB-D884-42A3-B05F-D9144FFDFAEE}">
      <text>
        <r>
          <rPr>
            <sz val="8"/>
            <color indexed="81"/>
            <rFont val="Tahoma"/>
            <family val="2"/>
          </rPr>
          <t>revised</t>
        </r>
      </text>
    </comment>
    <comment ref="BA105" authorId="0" shapeId="0" xr:uid="{A5267F4C-47FC-425E-A0E3-D503FA791876}">
      <text>
        <r>
          <rPr>
            <sz val="8"/>
            <color indexed="81"/>
            <rFont val="Tahoma"/>
            <family val="2"/>
          </rPr>
          <t>revised</t>
        </r>
      </text>
    </comment>
    <comment ref="BB105" authorId="0" shapeId="0" xr:uid="{300D9418-DED7-4B70-BB11-DDA59E9042AE}">
      <text>
        <r>
          <rPr>
            <sz val="8"/>
            <color indexed="81"/>
            <rFont val="Tahoma"/>
            <family val="2"/>
          </rPr>
          <t>revised</t>
        </r>
      </text>
    </comment>
    <comment ref="BC105" authorId="0" shapeId="0" xr:uid="{638D2939-5178-4B84-981D-34EEED3F7FB3}">
      <text>
        <r>
          <rPr>
            <sz val="8"/>
            <color indexed="81"/>
            <rFont val="Tahoma"/>
            <family val="2"/>
          </rPr>
          <t>revised</t>
        </r>
      </text>
    </comment>
    <comment ref="BD105" authorId="0" shapeId="0" xr:uid="{DFCD8CAC-0910-4F1F-B4E3-5F9DB1E48830}">
      <text>
        <r>
          <rPr>
            <sz val="8"/>
            <color indexed="81"/>
            <rFont val="Tahoma"/>
            <family val="2"/>
          </rPr>
          <t>revised</t>
        </r>
      </text>
    </comment>
    <comment ref="BE105" authorId="0" shapeId="0" xr:uid="{85790363-A279-474B-988B-F0444918608D}">
      <text>
        <r>
          <rPr>
            <sz val="8"/>
            <color indexed="81"/>
            <rFont val="Tahoma"/>
            <family val="2"/>
          </rPr>
          <t>revised</t>
        </r>
      </text>
    </comment>
    <comment ref="BF105" authorId="0" shapeId="0" xr:uid="{93919E58-8E0D-4138-9E6C-80AFF0627E87}">
      <text>
        <r>
          <rPr>
            <sz val="8"/>
            <color indexed="81"/>
            <rFont val="Tahoma"/>
            <family val="2"/>
          </rPr>
          <t>revised</t>
        </r>
      </text>
    </comment>
    <comment ref="BG105" authorId="0" shapeId="0" xr:uid="{356FFDA1-E689-46A2-BD21-AFCF663A0C30}">
      <text>
        <r>
          <rPr>
            <sz val="8"/>
            <color indexed="81"/>
            <rFont val="Tahoma"/>
            <family val="2"/>
          </rPr>
          <t>revised</t>
        </r>
      </text>
    </comment>
    <comment ref="BH105" authorId="0" shapeId="0" xr:uid="{5B943147-AE04-478C-A87C-24B03D3C7E02}">
      <text>
        <r>
          <rPr>
            <sz val="8"/>
            <color indexed="81"/>
            <rFont val="Tahoma"/>
            <family val="2"/>
          </rPr>
          <t>revised</t>
        </r>
      </text>
    </comment>
    <comment ref="BI105" authorId="0" shapeId="0" xr:uid="{8FDBA5BE-003B-4E7B-99D1-AC8F0E81C2F0}">
      <text>
        <r>
          <rPr>
            <sz val="8"/>
            <color indexed="81"/>
            <rFont val="Tahoma"/>
            <family val="2"/>
          </rPr>
          <t>revised</t>
        </r>
      </text>
    </comment>
    <comment ref="B106" authorId="0" shapeId="0" xr:uid="{3F3D8630-C69C-4A84-9442-AF0212964EFF}">
      <text>
        <r>
          <rPr>
            <sz val="8"/>
            <color indexed="81"/>
            <rFont val="Tahoma"/>
            <family val="2"/>
          </rPr>
          <t>preliminary figure or series subject to revision</t>
        </r>
      </text>
    </comment>
    <comment ref="C106" authorId="0" shapeId="0" xr:uid="{D1A38C0E-3EA4-44CC-8E2E-9A5D9B61D135}">
      <text>
        <r>
          <rPr>
            <sz val="8"/>
            <color indexed="81"/>
            <rFont val="Tahoma"/>
            <family val="2"/>
          </rPr>
          <t>preliminary figure or series subject to revision</t>
        </r>
      </text>
    </comment>
    <comment ref="D106" authorId="0" shapeId="0" xr:uid="{2E9D4516-B64C-4841-9C55-D142646DADAC}">
      <text>
        <r>
          <rPr>
            <sz val="8"/>
            <color indexed="81"/>
            <rFont val="Tahoma"/>
            <family val="2"/>
          </rPr>
          <t>preliminary figure or series subject to revision</t>
        </r>
      </text>
    </comment>
    <comment ref="E106" authorId="0" shapeId="0" xr:uid="{9D10B043-B5B4-407E-AEFE-892DA5B14ED1}">
      <text>
        <r>
          <rPr>
            <sz val="8"/>
            <color indexed="81"/>
            <rFont val="Tahoma"/>
            <family val="2"/>
          </rPr>
          <t>preliminary figure or series subject to revision</t>
        </r>
      </text>
    </comment>
    <comment ref="F106" authorId="0" shapeId="0" xr:uid="{12111B65-7D0C-4F58-9C5D-B7173B51E6CA}">
      <text>
        <r>
          <rPr>
            <sz val="8"/>
            <color indexed="81"/>
            <rFont val="Tahoma"/>
            <family val="2"/>
          </rPr>
          <t>preliminary figure or series subject to revision</t>
        </r>
      </text>
    </comment>
    <comment ref="G106" authorId="0" shapeId="0" xr:uid="{8E594400-1D0D-4215-8C96-DE0E233D619C}">
      <text>
        <r>
          <rPr>
            <sz val="8"/>
            <color indexed="81"/>
            <rFont val="Tahoma"/>
            <family val="2"/>
          </rPr>
          <t>preliminary figure or series subject to revision</t>
        </r>
      </text>
    </comment>
    <comment ref="H106" authorId="0" shapeId="0" xr:uid="{F9B83753-4CF5-4B34-B8A0-0514752571F5}">
      <text>
        <r>
          <rPr>
            <sz val="8"/>
            <color indexed="81"/>
            <rFont val="Tahoma"/>
            <family val="2"/>
          </rPr>
          <t>preliminary figure or series subject to revision</t>
        </r>
      </text>
    </comment>
    <comment ref="I106" authorId="0" shapeId="0" xr:uid="{53778956-B8B1-4181-8A9E-9D7B37E8DECA}">
      <text>
        <r>
          <rPr>
            <sz val="8"/>
            <color indexed="81"/>
            <rFont val="Tahoma"/>
            <family val="2"/>
          </rPr>
          <t>preliminary figure or series subject to revision</t>
        </r>
      </text>
    </comment>
    <comment ref="J106" authorId="0" shapeId="0" xr:uid="{BF4578C1-75B8-4344-A006-82A57F6E8892}">
      <text>
        <r>
          <rPr>
            <sz val="8"/>
            <color indexed="81"/>
            <rFont val="Tahoma"/>
            <family val="2"/>
          </rPr>
          <t>preliminary figure or series subject to revision</t>
        </r>
      </text>
    </comment>
    <comment ref="K106" authorId="0" shapeId="0" xr:uid="{DA82A293-9A8C-4A6D-85FD-C630D48E6208}">
      <text>
        <r>
          <rPr>
            <sz val="8"/>
            <color indexed="81"/>
            <rFont val="Tahoma"/>
            <family val="2"/>
          </rPr>
          <t>preliminary figure or series subject to revision</t>
        </r>
      </text>
    </comment>
    <comment ref="L106" authorId="0" shapeId="0" xr:uid="{E1C49917-0E00-48CD-95DA-C9407730B4C2}">
      <text>
        <r>
          <rPr>
            <sz val="8"/>
            <color indexed="81"/>
            <rFont val="Tahoma"/>
            <family val="2"/>
          </rPr>
          <t>preliminary figure or series subject to revision</t>
        </r>
      </text>
    </comment>
    <comment ref="M106" authorId="0" shapeId="0" xr:uid="{0BA1005A-5DE9-4B77-AA0D-64CC30828D06}">
      <text>
        <r>
          <rPr>
            <sz val="8"/>
            <color indexed="81"/>
            <rFont val="Tahoma"/>
            <family val="2"/>
          </rPr>
          <t>preliminary figure or series subject to revision</t>
        </r>
      </text>
    </comment>
    <comment ref="N106" authorId="0" shapeId="0" xr:uid="{889A815D-0DE2-4564-BFD0-4F94C9231915}">
      <text>
        <r>
          <rPr>
            <sz val="8"/>
            <color indexed="81"/>
            <rFont val="Tahoma"/>
            <family val="2"/>
          </rPr>
          <t>preliminary figure or series subject to revision</t>
        </r>
      </text>
    </comment>
    <comment ref="O106" authorId="0" shapeId="0" xr:uid="{043A3CA2-65AD-48B0-A6E9-129327B61F59}">
      <text>
        <r>
          <rPr>
            <sz val="8"/>
            <color indexed="81"/>
            <rFont val="Tahoma"/>
            <family val="2"/>
          </rPr>
          <t>preliminary figure or series subject to revision</t>
        </r>
      </text>
    </comment>
    <comment ref="P106" authorId="0" shapeId="0" xr:uid="{8B74B655-2DAE-4A8E-9ACC-417CAC170776}">
      <text>
        <r>
          <rPr>
            <sz val="8"/>
            <color indexed="81"/>
            <rFont val="Tahoma"/>
            <family val="2"/>
          </rPr>
          <t>preliminary figure or series subject to revision</t>
        </r>
      </text>
    </comment>
    <comment ref="Q106" authorId="0" shapeId="0" xr:uid="{8BB05AF9-1E1E-456F-9705-AA5089DDB8B3}">
      <text>
        <r>
          <rPr>
            <sz val="8"/>
            <color indexed="81"/>
            <rFont val="Tahoma"/>
            <family val="2"/>
          </rPr>
          <t>preliminary figure or series subject to revision</t>
        </r>
      </text>
    </comment>
    <comment ref="R106" authorId="0" shapeId="0" xr:uid="{B578C3BB-3A4B-4CE5-9D58-2F446FA9174A}">
      <text>
        <r>
          <rPr>
            <sz val="8"/>
            <color indexed="81"/>
            <rFont val="Tahoma"/>
            <family val="2"/>
          </rPr>
          <t>preliminary figure or series subject to revision</t>
        </r>
      </text>
    </comment>
    <comment ref="S106" authorId="0" shapeId="0" xr:uid="{63E6BE14-5D53-45F8-B17B-AF5270128DB6}">
      <text>
        <r>
          <rPr>
            <sz val="8"/>
            <color indexed="81"/>
            <rFont val="Tahoma"/>
            <family val="2"/>
          </rPr>
          <t>preliminary figure or series subject to revision</t>
        </r>
      </text>
    </comment>
    <comment ref="T106" authorId="0" shapeId="0" xr:uid="{F041B6F9-34DE-46FE-AA34-F61DC478AC09}">
      <text>
        <r>
          <rPr>
            <sz val="8"/>
            <color indexed="81"/>
            <rFont val="Tahoma"/>
            <family val="2"/>
          </rPr>
          <t>preliminary figure or series subject to revision</t>
        </r>
      </text>
    </comment>
    <comment ref="U106" authorId="0" shapeId="0" xr:uid="{84314837-D51C-4E52-8D70-ADD9FBC79C4B}">
      <text>
        <r>
          <rPr>
            <sz val="8"/>
            <color indexed="81"/>
            <rFont val="Tahoma"/>
            <family val="2"/>
          </rPr>
          <t>preliminary figure or series subject to revision</t>
        </r>
      </text>
    </comment>
    <comment ref="V106" authorId="0" shapeId="0" xr:uid="{F860D84A-8CEB-498D-BF73-0240B412ED1A}">
      <text>
        <r>
          <rPr>
            <sz val="8"/>
            <color indexed="81"/>
            <rFont val="Tahoma"/>
            <family val="2"/>
          </rPr>
          <t>preliminary figure or series subject to revision</t>
        </r>
      </text>
    </comment>
    <comment ref="W106" authorId="0" shapeId="0" xr:uid="{42BA62AE-AC5A-48C3-855B-6C72F04E18C5}">
      <text>
        <r>
          <rPr>
            <sz val="8"/>
            <color indexed="81"/>
            <rFont val="Tahoma"/>
            <family val="2"/>
          </rPr>
          <t>preliminary figure or series subject to revision</t>
        </r>
      </text>
    </comment>
    <comment ref="X106" authorId="0" shapeId="0" xr:uid="{1015E1E7-B08C-4304-B279-DA74C16E4170}">
      <text>
        <r>
          <rPr>
            <sz val="8"/>
            <color indexed="81"/>
            <rFont val="Tahoma"/>
            <family val="2"/>
          </rPr>
          <t>preliminary figure or series subject to revision</t>
        </r>
      </text>
    </comment>
    <comment ref="Y106" authorId="0" shapeId="0" xr:uid="{01BB0AAF-3F11-43F2-94E3-2683F640D55E}">
      <text>
        <r>
          <rPr>
            <sz val="8"/>
            <color indexed="81"/>
            <rFont val="Tahoma"/>
            <family val="2"/>
          </rPr>
          <t>preliminary figure or series subject to revision</t>
        </r>
      </text>
    </comment>
    <comment ref="Z106" authorId="0" shapeId="0" xr:uid="{62D042EC-8189-47C6-9937-E5D439538C2A}">
      <text>
        <r>
          <rPr>
            <sz val="8"/>
            <color indexed="81"/>
            <rFont val="Tahoma"/>
            <family val="2"/>
          </rPr>
          <t>preliminary figure or series subject to revision</t>
        </r>
      </text>
    </comment>
    <comment ref="AA106" authorId="0" shapeId="0" xr:uid="{74688CC7-CC5D-4D0B-B5CB-39F0338B453B}">
      <text>
        <r>
          <rPr>
            <sz val="8"/>
            <color indexed="81"/>
            <rFont val="Tahoma"/>
            <family val="2"/>
          </rPr>
          <t>preliminary figure or series subject to revision</t>
        </r>
      </text>
    </comment>
    <comment ref="AB106" authorId="0" shapeId="0" xr:uid="{DA04FDA2-AF80-4479-ADE3-7731690EC1EA}">
      <text>
        <r>
          <rPr>
            <sz val="8"/>
            <color indexed="81"/>
            <rFont val="Tahoma"/>
            <family val="2"/>
          </rPr>
          <t>preliminary figure or series subject to revision</t>
        </r>
      </text>
    </comment>
    <comment ref="AC106" authorId="0" shapeId="0" xr:uid="{C7FF2066-4D8F-4687-987F-60C193BC77AD}">
      <text>
        <r>
          <rPr>
            <sz val="8"/>
            <color indexed="81"/>
            <rFont val="Tahoma"/>
            <family val="2"/>
          </rPr>
          <t>preliminary figure or series subject to revision</t>
        </r>
      </text>
    </comment>
    <comment ref="AD106" authorId="0" shapeId="0" xr:uid="{362AC543-00F2-41B7-B2AD-12953A407BCF}">
      <text>
        <r>
          <rPr>
            <sz val="8"/>
            <color indexed="81"/>
            <rFont val="Tahoma"/>
            <family val="2"/>
          </rPr>
          <t>preliminary figure or series subject to revision</t>
        </r>
      </text>
    </comment>
    <comment ref="AE106" authorId="0" shapeId="0" xr:uid="{A07D216E-9FEE-4D48-BFBF-246DA40624DA}">
      <text>
        <r>
          <rPr>
            <sz val="8"/>
            <color indexed="81"/>
            <rFont val="Tahoma"/>
            <family val="2"/>
          </rPr>
          <t>preliminary figure or series subject to revision</t>
        </r>
      </text>
    </comment>
    <comment ref="AF106" authorId="0" shapeId="0" xr:uid="{66ADDB7D-10DF-4531-B351-4FBF339F88DC}">
      <text>
        <r>
          <rPr>
            <sz val="8"/>
            <color indexed="81"/>
            <rFont val="Tahoma"/>
            <family val="2"/>
          </rPr>
          <t>preliminary figure or series subject to revision</t>
        </r>
      </text>
    </comment>
    <comment ref="AG106" authorId="0" shapeId="0" xr:uid="{4E0ED770-805A-4318-9C5A-16415305A3CB}">
      <text>
        <r>
          <rPr>
            <sz val="8"/>
            <color indexed="81"/>
            <rFont val="Tahoma"/>
            <family val="2"/>
          </rPr>
          <t>preliminary figure or series subject to revision</t>
        </r>
      </text>
    </comment>
    <comment ref="AH106" authorId="0" shapeId="0" xr:uid="{240BC15D-CCDC-4C97-ACB8-FA1ACAEAE000}">
      <text>
        <r>
          <rPr>
            <sz val="8"/>
            <color indexed="81"/>
            <rFont val="Tahoma"/>
            <family val="2"/>
          </rPr>
          <t>preliminary figure or series subject to revision</t>
        </r>
      </text>
    </comment>
    <comment ref="AI106" authorId="0" shapeId="0" xr:uid="{8AEE5C35-02C2-45FF-88AC-0C637B243963}">
      <text>
        <r>
          <rPr>
            <sz val="8"/>
            <color indexed="81"/>
            <rFont val="Tahoma"/>
            <family val="2"/>
          </rPr>
          <t>preliminary figure or series subject to revision</t>
        </r>
      </text>
    </comment>
    <comment ref="AJ106" authorId="0" shapeId="0" xr:uid="{3E51333D-54FE-44CB-89F8-CC7B6CF5A732}">
      <text>
        <r>
          <rPr>
            <sz val="8"/>
            <color indexed="81"/>
            <rFont val="Tahoma"/>
            <family val="2"/>
          </rPr>
          <t>preliminary figure or series subject to revision</t>
        </r>
      </text>
    </comment>
    <comment ref="AK106" authorId="0" shapeId="0" xr:uid="{3C8427D6-D4B7-4B53-9A5D-1EC3D9945751}">
      <text>
        <r>
          <rPr>
            <sz val="8"/>
            <color indexed="81"/>
            <rFont val="Tahoma"/>
            <family val="2"/>
          </rPr>
          <t>preliminary figure or series subject to revision</t>
        </r>
      </text>
    </comment>
    <comment ref="AL106" authorId="0" shapeId="0" xr:uid="{6B0AB6D8-5013-44F7-8AA7-440943BA08FA}">
      <text>
        <r>
          <rPr>
            <sz val="8"/>
            <color indexed="81"/>
            <rFont val="Tahoma"/>
            <family val="2"/>
          </rPr>
          <t>preliminary figure or series subject to revision</t>
        </r>
      </text>
    </comment>
    <comment ref="AM106" authorId="0" shapeId="0" xr:uid="{E01377E4-A7E0-41B9-98FE-5EBCFA090032}">
      <text>
        <r>
          <rPr>
            <sz val="8"/>
            <color indexed="81"/>
            <rFont val="Tahoma"/>
            <family val="2"/>
          </rPr>
          <t>preliminary figure or series subject to revision</t>
        </r>
      </text>
    </comment>
    <comment ref="AN106" authorId="0" shapeId="0" xr:uid="{4997123F-E50E-4DA7-9294-9C583CB00F95}">
      <text>
        <r>
          <rPr>
            <sz val="8"/>
            <color indexed="81"/>
            <rFont val="Tahoma"/>
            <family val="2"/>
          </rPr>
          <t>preliminary figure or series subject to revision</t>
        </r>
      </text>
    </comment>
    <comment ref="AO106" authorId="0" shapeId="0" xr:uid="{ED855E42-CC36-4E3B-A49D-8E4663059BF6}">
      <text>
        <r>
          <rPr>
            <sz val="8"/>
            <color indexed="81"/>
            <rFont val="Tahoma"/>
            <family val="2"/>
          </rPr>
          <t>preliminary figure or series subject to revision</t>
        </r>
      </text>
    </comment>
    <comment ref="AP106" authorId="0" shapeId="0" xr:uid="{48AA030D-99A0-4374-80C3-6BAB1704A57E}">
      <text>
        <r>
          <rPr>
            <sz val="8"/>
            <color indexed="81"/>
            <rFont val="Tahoma"/>
            <family val="2"/>
          </rPr>
          <t>preliminary figure or series subject to revision</t>
        </r>
      </text>
    </comment>
    <comment ref="AQ106" authorId="0" shapeId="0" xr:uid="{4BB1BE6D-7D34-45DA-BE0A-646A7365E2DF}">
      <text>
        <r>
          <rPr>
            <sz val="8"/>
            <color indexed="81"/>
            <rFont val="Tahoma"/>
            <family val="2"/>
          </rPr>
          <t>preliminary figure or series subject to revision</t>
        </r>
      </text>
    </comment>
    <comment ref="AR106" authorId="0" shapeId="0" xr:uid="{9FBB6F05-325A-4A62-A014-0B653518D75B}">
      <text>
        <r>
          <rPr>
            <sz val="8"/>
            <color indexed="81"/>
            <rFont val="Tahoma"/>
            <family val="2"/>
          </rPr>
          <t>preliminary figure or series subject to revision</t>
        </r>
      </text>
    </comment>
    <comment ref="AS106" authorId="0" shapeId="0" xr:uid="{D82E68A4-6F8D-4D4A-9939-FA73EFD8973E}">
      <text>
        <r>
          <rPr>
            <sz val="8"/>
            <color indexed="81"/>
            <rFont val="Tahoma"/>
            <family val="2"/>
          </rPr>
          <t>preliminary figure or series subject to revision</t>
        </r>
      </text>
    </comment>
    <comment ref="AT106" authorId="0" shapeId="0" xr:uid="{C70D13D9-77EB-40E3-9E48-31C190333913}">
      <text>
        <r>
          <rPr>
            <sz val="8"/>
            <color indexed="81"/>
            <rFont val="Tahoma"/>
            <family val="2"/>
          </rPr>
          <t>preliminary figure or series subject to revision</t>
        </r>
      </text>
    </comment>
    <comment ref="AU106" authorId="0" shapeId="0" xr:uid="{1101DB15-97BD-4750-A024-817E9198C368}">
      <text>
        <r>
          <rPr>
            <sz val="8"/>
            <color indexed="81"/>
            <rFont val="Tahoma"/>
            <family val="2"/>
          </rPr>
          <t>preliminary figure or series subject to revision</t>
        </r>
      </text>
    </comment>
    <comment ref="AV106" authorId="0" shapeId="0" xr:uid="{5B36D53C-17E9-4285-8084-FFEBC034A340}">
      <text>
        <r>
          <rPr>
            <sz val="8"/>
            <color indexed="81"/>
            <rFont val="Tahoma"/>
            <family val="2"/>
          </rPr>
          <t>preliminary figure or series subject to revision</t>
        </r>
      </text>
    </comment>
    <comment ref="AW106" authorId="0" shapeId="0" xr:uid="{FB3108C3-D44D-4BD3-B5E6-75596073E5EC}">
      <text>
        <r>
          <rPr>
            <sz val="8"/>
            <color indexed="81"/>
            <rFont val="Tahoma"/>
            <family val="2"/>
          </rPr>
          <t>preliminary figure or series subject to revision</t>
        </r>
      </text>
    </comment>
    <comment ref="AX106" authorId="0" shapeId="0" xr:uid="{FFDEC9BF-D61E-4918-B86F-2A55346E1007}">
      <text>
        <r>
          <rPr>
            <sz val="8"/>
            <color indexed="81"/>
            <rFont val="Tahoma"/>
            <family val="2"/>
          </rPr>
          <t>preliminary figure or series subject to revision</t>
        </r>
      </text>
    </comment>
    <comment ref="AY106" authorId="0" shapeId="0" xr:uid="{5433C090-ACBA-4FC2-AAC5-1F25794A4946}">
      <text>
        <r>
          <rPr>
            <sz val="8"/>
            <color indexed="81"/>
            <rFont val="Tahoma"/>
            <family val="2"/>
          </rPr>
          <t>preliminary figure or series subject to revision</t>
        </r>
      </text>
    </comment>
    <comment ref="AZ106" authorId="0" shapeId="0" xr:uid="{3C5AEEDE-5322-49DE-90F7-71068ED9238A}">
      <text>
        <r>
          <rPr>
            <sz val="8"/>
            <color indexed="81"/>
            <rFont val="Tahoma"/>
            <family val="2"/>
          </rPr>
          <t>preliminary figure or series subject to revision</t>
        </r>
      </text>
    </comment>
    <comment ref="BA106" authorId="0" shapeId="0" xr:uid="{9AA12423-61E9-423D-A888-DE24F58FB942}">
      <text>
        <r>
          <rPr>
            <sz val="8"/>
            <color indexed="81"/>
            <rFont val="Tahoma"/>
            <family val="2"/>
          </rPr>
          <t>preliminary figure or series subject to revision</t>
        </r>
      </text>
    </comment>
    <comment ref="BB106" authorId="0" shapeId="0" xr:uid="{305D689D-36DA-4061-803E-3658321613BF}">
      <text>
        <r>
          <rPr>
            <sz val="8"/>
            <color indexed="81"/>
            <rFont val="Tahoma"/>
            <family val="2"/>
          </rPr>
          <t>preliminary figure or series subject to revision</t>
        </r>
      </text>
    </comment>
    <comment ref="BC106" authorId="0" shapeId="0" xr:uid="{36B7C380-CABD-405E-BA0D-FA7CD3179F13}">
      <text>
        <r>
          <rPr>
            <sz val="8"/>
            <color indexed="81"/>
            <rFont val="Tahoma"/>
            <family val="2"/>
          </rPr>
          <t>preliminary figure or series subject to revision</t>
        </r>
      </text>
    </comment>
    <comment ref="BD106" authorId="0" shapeId="0" xr:uid="{38D2DEC4-88E7-44AD-9F60-FD9924F581C4}">
      <text>
        <r>
          <rPr>
            <sz val="8"/>
            <color indexed="81"/>
            <rFont val="Tahoma"/>
            <family val="2"/>
          </rPr>
          <t>preliminary figure or series subject to revision</t>
        </r>
      </text>
    </comment>
    <comment ref="BE106" authorId="0" shapeId="0" xr:uid="{52A56234-7F6B-4B67-A2F1-D39C542B1B69}">
      <text>
        <r>
          <rPr>
            <sz val="8"/>
            <color indexed="81"/>
            <rFont val="Tahoma"/>
            <family val="2"/>
          </rPr>
          <t>preliminary figure or series subject to revision</t>
        </r>
      </text>
    </comment>
    <comment ref="BF106" authorId="0" shapeId="0" xr:uid="{8A8E2CE2-BFE4-437B-89D1-F14B9154C426}">
      <text>
        <r>
          <rPr>
            <sz val="8"/>
            <color indexed="81"/>
            <rFont val="Tahoma"/>
            <family val="2"/>
          </rPr>
          <t>preliminary figure or series subject to revision</t>
        </r>
      </text>
    </comment>
    <comment ref="BG106" authorId="0" shapeId="0" xr:uid="{4082FB4C-E68E-43BE-B027-9D8D68BFC45C}">
      <text>
        <r>
          <rPr>
            <sz val="8"/>
            <color indexed="81"/>
            <rFont val="Tahoma"/>
            <family val="2"/>
          </rPr>
          <t>preliminary figure or series subject to revision</t>
        </r>
      </text>
    </comment>
    <comment ref="BH106" authorId="0" shapeId="0" xr:uid="{053D434A-05B6-475E-B71E-CA1484A4E4C4}">
      <text>
        <r>
          <rPr>
            <sz val="8"/>
            <color indexed="81"/>
            <rFont val="Tahoma"/>
            <family val="2"/>
          </rPr>
          <t>preliminary figure or series subject to revision</t>
        </r>
      </text>
    </comment>
    <comment ref="BI106" authorId="0" shapeId="0" xr:uid="{04C8C38D-3885-473E-8505-2000D11A0D79}">
      <text>
        <r>
          <rPr>
            <sz val="8"/>
            <color indexed="81"/>
            <rFont val="Tahoma"/>
            <family val="2"/>
          </rPr>
          <t>preliminary figure or series subject to revision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<sst xmlns="http://schemas.openxmlformats.org/spreadsheetml/2006/main" count="4671" uniqueCount="840">
  <si>
    <t>Median Rent ($ per Week) by Quarter</t>
  </si>
  <si>
    <t>LGA/Ring/SD NAME</t>
  </si>
  <si>
    <t>-</t>
  </si>
  <si>
    <t>Quarter</t>
  </si>
  <si>
    <t>2 Bedrooms</t>
  </si>
  <si>
    <t>3 Bedrooms</t>
  </si>
  <si>
    <t>House</t>
  </si>
  <si>
    <t>Flat/Unit</t>
  </si>
  <si>
    <t>Bayside</t>
  </si>
  <si>
    <t>Analysis start quarter</t>
  </si>
  <si>
    <t>Analysis end quarter</t>
  </si>
  <si>
    <t>Council/Area</t>
  </si>
  <si>
    <t>Quarterly rent</t>
  </si>
  <si>
    <t>Non Strata</t>
  </si>
  <si>
    <t>Strata</t>
  </si>
  <si>
    <t>Median Sales Price $'000s</t>
  </si>
  <si>
    <t>Renter calcs &gt;&gt;</t>
  </si>
  <si>
    <t>Council rates</t>
  </si>
  <si>
    <t>Plant depreciation</t>
  </si>
  <si>
    <t>Maintenance incl. body corporate fees</t>
  </si>
  <si>
    <t>Other expenses</t>
  </si>
  <si>
    <t>Total home ownership running costs</t>
  </si>
  <si>
    <t>Home ownership running costs (% of gross rents)</t>
  </si>
  <si>
    <t>Buyer calcs &gt;&gt;</t>
  </si>
  <si>
    <t>Median home price</t>
  </si>
  <si>
    <t>Dwellings</t>
  </si>
  <si>
    <t>Mortgage interest</t>
  </si>
  <si>
    <t>Mortgage - principal component</t>
  </si>
  <si>
    <t>Home purchase costs</t>
  </si>
  <si>
    <t>Title</t>
  </si>
  <si>
    <t>Lending rates; Small business; Variable; Term</t>
  </si>
  <si>
    <t>Lending rates; Small business; Variable; Overdraft</t>
  </si>
  <si>
    <t>Lending rates; Housing loans; Banks; Variable; Standard; Owner-occupier</t>
  </si>
  <si>
    <t>Lending rates; Housing loans; Banks; Variable; Discounted; Owner-occupier</t>
  </si>
  <si>
    <t>Lending rates; Housing loans; Banks; Variable; Standard interest-only; Owner-occupier</t>
  </si>
  <si>
    <t>Lending rates; Housing loans; Banks; 3-year fixed; Owner-occupier</t>
  </si>
  <si>
    <t>Description</t>
  </si>
  <si>
    <t>Frequency</t>
  </si>
  <si>
    <t>Monthly</t>
  </si>
  <si>
    <t>Type</t>
  </si>
  <si>
    <t>Original</t>
  </si>
  <si>
    <t>Units</t>
  </si>
  <si>
    <t>Per cent per annum</t>
  </si>
  <si>
    <t>Source</t>
  </si>
  <si>
    <t>RBA</t>
  </si>
  <si>
    <t>Publication date</t>
  </si>
  <si>
    <t>Series ID</t>
  </si>
  <si>
    <t>FILRSBVRT</t>
  </si>
  <si>
    <t>FILRSBVOO</t>
  </si>
  <si>
    <t>FILRHLBVS</t>
  </si>
  <si>
    <t>FILRHLBVD</t>
  </si>
  <si>
    <t>FILRHLBVO</t>
  </si>
  <si>
    <t>FILRHL3YF</t>
  </si>
  <si>
    <t>Mortgage rates</t>
  </si>
  <si>
    <t>Depreciation</t>
  </si>
  <si>
    <t>Days in quarter</t>
  </si>
  <si>
    <t>Quarter ending</t>
  </si>
  <si>
    <t>Loan term (years)</t>
  </si>
  <si>
    <t>Mortgage payment</t>
  </si>
  <si>
    <t>Loan balance</t>
  </si>
  <si>
    <t>Quarter of analysis</t>
  </si>
  <si>
    <t>Owner's cashflow costs</t>
  </si>
  <si>
    <t>Renter's cashflow costs</t>
  </si>
  <si>
    <t>Owner's home equity</t>
  </si>
  <si>
    <t>Renter's portfolio</t>
  </si>
  <si>
    <t>Date</t>
  </si>
  <si>
    <t>2006-01-31</t>
  </si>
  <si>
    <t>2006-02-28</t>
  </si>
  <si>
    <t>2006-03-31</t>
  </si>
  <si>
    <t>2006-04-28</t>
  </si>
  <si>
    <t>2006-05-31</t>
  </si>
  <si>
    <t>2006-06-30</t>
  </si>
  <si>
    <t>2006-07-31</t>
  </si>
  <si>
    <t>2006-08-31</t>
  </si>
  <si>
    <t>2006-09-29</t>
  </si>
  <si>
    <t>2006-10-31</t>
  </si>
  <si>
    <t>2006-11-30</t>
  </si>
  <si>
    <t>2006-12-29</t>
  </si>
  <si>
    <t>2007-01-31</t>
  </si>
  <si>
    <t>2007-02-28</t>
  </si>
  <si>
    <t>2007-03-30</t>
  </si>
  <si>
    <t>2007-04-30</t>
  </si>
  <si>
    <t>2007-05-31</t>
  </si>
  <si>
    <t>2007-06-29</t>
  </si>
  <si>
    <t>2007-07-31</t>
  </si>
  <si>
    <t>2007-08-31</t>
  </si>
  <si>
    <t>2007-09-28</t>
  </si>
  <si>
    <t>2007-10-31</t>
  </si>
  <si>
    <t>2007-11-30</t>
  </si>
  <si>
    <t>2007-12-31</t>
  </si>
  <si>
    <t>2008-01-31</t>
  </si>
  <si>
    <t>2008-02-29</t>
  </si>
  <si>
    <t>2008-03-31</t>
  </si>
  <si>
    <t>2008-04-30</t>
  </si>
  <si>
    <t>2008-05-30</t>
  </si>
  <si>
    <t>2008-06-30</t>
  </si>
  <si>
    <t>2008-07-31</t>
  </si>
  <si>
    <t>2008-08-29</t>
  </si>
  <si>
    <t>2008-09-30</t>
  </si>
  <si>
    <t>2008-10-31</t>
  </si>
  <si>
    <t>2008-11-28</t>
  </si>
  <si>
    <t>2008-12-31</t>
  </si>
  <si>
    <t>2009-01-30</t>
  </si>
  <si>
    <t>2009-02-27</t>
  </si>
  <si>
    <t>2009-03-31</t>
  </si>
  <si>
    <t>2009-04-30</t>
  </si>
  <si>
    <t>2009-05-29</t>
  </si>
  <si>
    <t>2009-06-30</t>
  </si>
  <si>
    <t>2009-07-31</t>
  </si>
  <si>
    <t>2009-08-31</t>
  </si>
  <si>
    <t>2009-09-30</t>
  </si>
  <si>
    <t>2009-10-30</t>
  </si>
  <si>
    <t>2009-11-30</t>
  </si>
  <si>
    <t>2009-12-31</t>
  </si>
  <si>
    <t>2010-01-29</t>
  </si>
  <si>
    <t>2010-02-26</t>
  </si>
  <si>
    <t>2010-03-31</t>
  </si>
  <si>
    <t>2010-04-30</t>
  </si>
  <si>
    <t>2010-05-31</t>
  </si>
  <si>
    <t>2010-06-30</t>
  </si>
  <si>
    <t>2010-07-30</t>
  </si>
  <si>
    <t>2010-08-31</t>
  </si>
  <si>
    <t>2010-09-30</t>
  </si>
  <si>
    <t>2010-10-29</t>
  </si>
  <si>
    <t>2010-11-30</t>
  </si>
  <si>
    <t>2010-12-31</t>
  </si>
  <si>
    <t>2011-01-31</t>
  </si>
  <si>
    <t>2011-02-28</t>
  </si>
  <si>
    <t>2011-03-31</t>
  </si>
  <si>
    <t>2011-04-29</t>
  </si>
  <si>
    <t>2011-05-31</t>
  </si>
  <si>
    <t>2011-06-30</t>
  </si>
  <si>
    <t>2011-07-29</t>
  </si>
  <si>
    <t>2011-08-31</t>
  </si>
  <si>
    <t>2011-09-30</t>
  </si>
  <si>
    <t>2011-10-31</t>
  </si>
  <si>
    <t>2011-11-30</t>
  </si>
  <si>
    <t>2011-12-30</t>
  </si>
  <si>
    <t>2012-01-31</t>
  </si>
  <si>
    <t>2012-02-29</t>
  </si>
  <si>
    <t>2012-03-30</t>
  </si>
  <si>
    <t>2012-04-30</t>
  </si>
  <si>
    <t>2012-05-31</t>
  </si>
  <si>
    <t>2012-06-29</t>
  </si>
  <si>
    <t>2012-07-31</t>
  </si>
  <si>
    <t>2012-08-31</t>
  </si>
  <si>
    <t>2012-09-28</t>
  </si>
  <si>
    <t>2012-10-31</t>
  </si>
  <si>
    <t>2012-11-30</t>
  </si>
  <si>
    <t>2012-12-31</t>
  </si>
  <si>
    <t>2013-01-31</t>
  </si>
  <si>
    <t>2013-02-28</t>
  </si>
  <si>
    <t>2013-03-29</t>
  </si>
  <si>
    <t>2013-04-30</t>
  </si>
  <si>
    <t>2013-05-31</t>
  </si>
  <si>
    <t>2013-06-28</t>
  </si>
  <si>
    <t>2013-07-31</t>
  </si>
  <si>
    <t>2013-08-30</t>
  </si>
  <si>
    <t>2013-09-30</t>
  </si>
  <si>
    <t>2013-10-31</t>
  </si>
  <si>
    <t>2013-11-29</t>
  </si>
  <si>
    <t>2013-12-31</t>
  </si>
  <si>
    <t>2014-01-31</t>
  </si>
  <si>
    <t>2014-02-28</t>
  </si>
  <si>
    <t>2014-03-31</t>
  </si>
  <si>
    <t>2014-04-30</t>
  </si>
  <si>
    <t>2014-05-30</t>
  </si>
  <si>
    <t>2014-06-30</t>
  </si>
  <si>
    <t>2014-07-31</t>
  </si>
  <si>
    <t>2014-08-29</t>
  </si>
  <si>
    <t>2014-09-30</t>
  </si>
  <si>
    <t>2014-10-31</t>
  </si>
  <si>
    <t>2014-11-28</t>
  </si>
  <si>
    <t>2014-12-31</t>
  </si>
  <si>
    <t>2015-01-30</t>
  </si>
  <si>
    <t>2015-02-27</t>
  </si>
  <si>
    <t>2015-03-31</t>
  </si>
  <si>
    <t>2015-04-30</t>
  </si>
  <si>
    <t>2015-05-29</t>
  </si>
  <si>
    <t>2015-06-30</t>
  </si>
  <si>
    <t>2015-07-31</t>
  </si>
  <si>
    <t>2015-08-31</t>
  </si>
  <si>
    <t>2015-09-30</t>
  </si>
  <si>
    <t>2015-10-30</t>
  </si>
  <si>
    <t>2015-11-30</t>
  </si>
  <si>
    <t>2015-12-31</t>
  </si>
  <si>
    <t>2016-01-29</t>
  </si>
  <si>
    <t>2016-02-29</t>
  </si>
  <si>
    <t>2016-03-31</t>
  </si>
  <si>
    <t>2016-04-29</t>
  </si>
  <si>
    <t>2016-05-31</t>
  </si>
  <si>
    <t>2016-06-30</t>
  </si>
  <si>
    <t>2016-07-29</t>
  </si>
  <si>
    <t>2016-08-31</t>
  </si>
  <si>
    <t>2016-09-30</t>
  </si>
  <si>
    <t>2016-10-31</t>
  </si>
  <si>
    <t>2016-11-30</t>
  </si>
  <si>
    <t>2016-12-30</t>
  </si>
  <si>
    <t>2017-01-31</t>
  </si>
  <si>
    <t>2017-02-28</t>
  </si>
  <si>
    <t>2017-03-31</t>
  </si>
  <si>
    <t>2017-04-28</t>
  </si>
  <si>
    <t>2017-05-31</t>
  </si>
  <si>
    <t>2017-06-30</t>
  </si>
  <si>
    <t>2017-07-31</t>
  </si>
  <si>
    <t>2017-08-31</t>
  </si>
  <si>
    <t>2017-09-29</t>
  </si>
  <si>
    <t>2017-10-31</t>
  </si>
  <si>
    <t>2017-11-30</t>
  </si>
  <si>
    <t>2017-12-29</t>
  </si>
  <si>
    <t>2018-01-31</t>
  </si>
  <si>
    <t>2018-02-28</t>
  </si>
  <si>
    <t>2018-03-30</t>
  </si>
  <si>
    <t>2018-04-30</t>
  </si>
  <si>
    <t>2018-05-31</t>
  </si>
  <si>
    <t>2018-06-29</t>
  </si>
  <si>
    <t>2018-07-31</t>
  </si>
  <si>
    <t>2018-08-31</t>
  </si>
  <si>
    <t>2018-09-28</t>
  </si>
  <si>
    <t>2018-10-31</t>
  </si>
  <si>
    <t>2018-11-30</t>
  </si>
  <si>
    <t>2018-12-31</t>
  </si>
  <si>
    <t>2019-01-31</t>
  </si>
  <si>
    <t>2019-02-28</t>
  </si>
  <si>
    <t>2019-03-29</t>
  </si>
  <si>
    <t>2019-04-30</t>
  </si>
  <si>
    <t>2019-05-31</t>
  </si>
  <si>
    <t>2019-06-28</t>
  </si>
  <si>
    <t>2019-07-31</t>
  </si>
  <si>
    <t>2019-08-30</t>
  </si>
  <si>
    <t>2019-09-30</t>
  </si>
  <si>
    <t>2019-10-31</t>
  </si>
  <si>
    <t>2019-11-29</t>
  </si>
  <si>
    <t>2019-12-31</t>
  </si>
  <si>
    <t>2020-01-31</t>
  </si>
  <si>
    <t>2020-02-28</t>
  </si>
  <si>
    <t>2020-03-31</t>
  </si>
  <si>
    <t>2020-04-30</t>
  </si>
  <si>
    <t>2020-05-29</t>
  </si>
  <si>
    <t>2020-06-30</t>
  </si>
  <si>
    <t>2020-07-31</t>
  </si>
  <si>
    <t>2020-08-31</t>
  </si>
  <si>
    <t>2020-09-30</t>
  </si>
  <si>
    <t>2020-10-30</t>
  </si>
  <si>
    <t>2020-11-30</t>
  </si>
  <si>
    <t>2020-12-31</t>
  </si>
  <si>
    <t>2021-01-29</t>
  </si>
  <si>
    <t>2021-02-26</t>
  </si>
  <si>
    <t>2021-03-31</t>
  </si>
  <si>
    <t>2021-04-30</t>
  </si>
  <si>
    <t>2021-05-31</t>
  </si>
  <si>
    <t>2021-06-30</t>
  </si>
  <si>
    <t>2021-07-30</t>
  </si>
  <si>
    <t>2021-08-31</t>
  </si>
  <si>
    <t>2021-09-30</t>
  </si>
  <si>
    <t>2021-10-29</t>
  </si>
  <si>
    <t>2021-11-30</t>
  </si>
  <si>
    <t>2021-12-31</t>
  </si>
  <si>
    <t>2022-01-31</t>
  </si>
  <si>
    <t>2022-02-28</t>
  </si>
  <si>
    <t>2022-03-31</t>
  </si>
  <si>
    <t>2022-04-29</t>
  </si>
  <si>
    <t>2022-05-31</t>
  </si>
  <si>
    <t>2022-06-30</t>
  </si>
  <si>
    <t>2022-07-29</t>
  </si>
  <si>
    <t>2022-08-31</t>
  </si>
  <si>
    <t>2022-09-30</t>
  </si>
  <si>
    <t>2022-10-31</t>
  </si>
  <si>
    <t>2022-11-30</t>
  </si>
  <si>
    <t>2022-12-30</t>
  </si>
  <si>
    <t>2023-01-31</t>
  </si>
  <si>
    <t>2023-02-28</t>
  </si>
  <si>
    <t>2023-03-31</t>
  </si>
  <si>
    <t>2023-04-28</t>
  </si>
  <si>
    <t>2023-05-31</t>
  </si>
  <si>
    <t>2023-06-30</t>
  </si>
  <si>
    <t>2023-07-31</t>
  </si>
  <si>
    <t>2023-08-31</t>
  </si>
  <si>
    <t>2023-09-29</t>
  </si>
  <si>
    <t>2023-10-31</t>
  </si>
  <si>
    <t>2023-11-30</t>
  </si>
  <si>
    <t>2023-12-29</t>
  </si>
  <si>
    <t>2024-01-31</t>
  </si>
  <si>
    <t>2024-02-29</t>
  </si>
  <si>
    <t>2024-03-29</t>
  </si>
  <si>
    <t>2024-04-30</t>
  </si>
  <si>
    <t>2024-05-31</t>
  </si>
  <si>
    <t>2024-06-28</t>
  </si>
  <si>
    <t>2024-07-31</t>
  </si>
  <si>
    <t>2024-08-30</t>
  </si>
  <si>
    <t>2024-09-30</t>
  </si>
  <si>
    <t>2024-10-31</t>
  </si>
  <si>
    <t>2024-11-29</t>
  </si>
  <si>
    <t>2024-12-31</t>
  </si>
  <si>
    <t>2025-01-31</t>
  </si>
  <si>
    <t>2025-02-28</t>
  </si>
  <si>
    <t>2025-03-31</t>
  </si>
  <si>
    <t>2025-04-30</t>
  </si>
  <si>
    <t>2025-05-30</t>
  </si>
  <si>
    <t>2025-06-30</t>
  </si>
  <si>
    <t>2025-07-31</t>
  </si>
  <si>
    <t>2025-08-29</t>
  </si>
  <si>
    <t>2025-09-30</t>
  </si>
  <si>
    <t>2025-10-31</t>
  </si>
  <si>
    <t>2025-11-28</t>
  </si>
  <si>
    <t>2025-12-31</t>
  </si>
  <si>
    <t>Year-month</t>
  </si>
  <si>
    <t>Median weekly rents, new bonds</t>
  </si>
  <si>
    <t>Renter's rents</t>
  </si>
  <si>
    <t>Renter additional cashflow</t>
  </si>
  <si>
    <t>MSCI Aus index, end Q</t>
  </si>
  <si>
    <t>MSCI World index, end Q</t>
  </si>
  <si>
    <t>% of portfolio in global equities</t>
  </si>
  <si>
    <t>% of portfolio in Australian equities</t>
  </si>
  <si>
    <t>MSCI World index, start Q</t>
  </si>
  <si>
    <t>MSCI Aus index, start Q</t>
  </si>
  <si>
    <t>Portfolio, start Q</t>
  </si>
  <si>
    <t>Portfolio, end Q</t>
  </si>
  <si>
    <t>Renter-to-owner wealth ratio</t>
  </si>
  <si>
    <t>Investment fees</t>
  </si>
  <si>
    <t>Renter-to-owner cash needs</t>
  </si>
  <si>
    <t>Renovation</t>
  </si>
  <si>
    <t>Adjusted home price</t>
  </si>
  <si>
    <t>Maintenance</t>
  </si>
  <si>
    <t>Total p.a. as % of home value</t>
  </si>
  <si>
    <t>Mortgage</t>
  </si>
  <si>
    <t>Mortgage rates (Standard/Discounted)</t>
  </si>
  <si>
    <t>Total p.a. as % of rent</t>
  </si>
  <si>
    <t>Maintenance and renovation</t>
  </si>
  <si>
    <t>Dwelling type (3br house, 3BR_H; or 2br flat, 2BR_F)</t>
  </si>
  <si>
    <t>Ending renter-to-owner wealth ratio</t>
  </si>
  <si>
    <t>Discounted</t>
  </si>
  <si>
    <t>Investment fees (% of investment value per year)</t>
  </si>
  <si>
    <t>Average maint + reno spending (% home value)</t>
  </si>
  <si>
    <t>Average maint + reno spending (% rents)</t>
  </si>
  <si>
    <t>Depreciation (% of initial home value per year)</t>
  </si>
  <si>
    <t>Lenders' mortgage insurance (% of home purchase price)</t>
  </si>
  <si>
    <t>Deposit (% of home purchase price)</t>
  </si>
  <si>
    <t>Real estate agent commissions (purchase)</t>
  </si>
  <si>
    <t>Stamp duty (purchase)</t>
  </si>
  <si>
    <t>Real estate agent commissions (sale)</t>
  </si>
  <si>
    <t>Home transaction costs (% of home value)</t>
  </si>
  <si>
    <t>Home sale costs</t>
  </si>
  <si>
    <t>No</t>
  </si>
  <si>
    <t>Tax concessions</t>
  </si>
  <si>
    <t>Concessional super contributions tax rate</t>
  </si>
  <si>
    <t>Marginal income tax rate (including Medicare levy)</t>
  </si>
  <si>
    <t>Other selling costs</t>
  </si>
  <si>
    <t>Renter investment contributions</t>
  </si>
  <si>
    <t>Renter investment parameters</t>
  </si>
  <si>
    <t>Other renter parameters</t>
  </si>
  <si>
    <t>1997-01-31</t>
  </si>
  <si>
    <t>1997-02-28</t>
  </si>
  <si>
    <t>1997-03-31</t>
  </si>
  <si>
    <t>1997-04-30</t>
  </si>
  <si>
    <t>1997-05-30</t>
  </si>
  <si>
    <t>1997-06-30</t>
  </si>
  <si>
    <t>1997-07-31</t>
  </si>
  <si>
    <t>1997-08-29</t>
  </si>
  <si>
    <t>1997-09-30</t>
  </si>
  <si>
    <t>1997-10-31</t>
  </si>
  <si>
    <t>1997-11-28</t>
  </si>
  <si>
    <t>1997-12-31</t>
  </si>
  <si>
    <t>1998-01-30</t>
  </si>
  <si>
    <t>1998-02-27</t>
  </si>
  <si>
    <t>1998-03-31</t>
  </si>
  <si>
    <t>1998-04-30</t>
  </si>
  <si>
    <t>1998-05-29</t>
  </si>
  <si>
    <t>1998-06-30</t>
  </si>
  <si>
    <t>1998-07-31</t>
  </si>
  <si>
    <t>1998-08-31</t>
  </si>
  <si>
    <t>1998-09-30</t>
  </si>
  <si>
    <t>1998-10-30</t>
  </si>
  <si>
    <t>1998-11-30</t>
  </si>
  <si>
    <t>1998-12-31</t>
  </si>
  <si>
    <t>1999-01-29</t>
  </si>
  <si>
    <t>1999-02-26</t>
  </si>
  <si>
    <t>1999-03-31</t>
  </si>
  <si>
    <t>1999-04-30</t>
  </si>
  <si>
    <t>1999-05-31</t>
  </si>
  <si>
    <t>1999-06-30</t>
  </si>
  <si>
    <t>1999-07-30</t>
  </si>
  <si>
    <t>1999-08-31</t>
  </si>
  <si>
    <t>1999-09-30</t>
  </si>
  <si>
    <t>1999-10-29</t>
  </si>
  <si>
    <t>1999-11-30</t>
  </si>
  <si>
    <t>1999-12-31</t>
  </si>
  <si>
    <t>2000-01-31</t>
  </si>
  <si>
    <t>2000-02-29</t>
  </si>
  <si>
    <t>2000-03-31</t>
  </si>
  <si>
    <t>2000-04-28</t>
  </si>
  <si>
    <t>2000-05-31</t>
  </si>
  <si>
    <t>2000-06-30</t>
  </si>
  <si>
    <t>2000-07-31</t>
  </si>
  <si>
    <t>2000-08-31</t>
  </si>
  <si>
    <t>2000-09-29</t>
  </si>
  <si>
    <t>2000-10-31</t>
  </si>
  <si>
    <t>2000-11-30</t>
  </si>
  <si>
    <t>2000-12-29</t>
  </si>
  <si>
    <t>2001-01-31</t>
  </si>
  <si>
    <t>2001-02-28</t>
  </si>
  <si>
    <t>2001-03-30</t>
  </si>
  <si>
    <t>2001-04-30</t>
  </si>
  <si>
    <t>2001-05-31</t>
  </si>
  <si>
    <t>2001-06-29</t>
  </si>
  <si>
    <t>2001-07-31</t>
  </si>
  <si>
    <t>2001-08-31</t>
  </si>
  <si>
    <t>2001-09-28</t>
  </si>
  <si>
    <t>2001-10-31</t>
  </si>
  <si>
    <t>2001-11-30</t>
  </si>
  <si>
    <t>2001-12-31</t>
  </si>
  <si>
    <t>2002-01-31</t>
  </si>
  <si>
    <t>2002-02-28</t>
  </si>
  <si>
    <t>2002-03-29</t>
  </si>
  <si>
    <t>2002-04-30</t>
  </si>
  <si>
    <t>2002-05-31</t>
  </si>
  <si>
    <t>2002-06-28</t>
  </si>
  <si>
    <t>2002-07-31</t>
  </si>
  <si>
    <t>2002-08-30</t>
  </si>
  <si>
    <t>2002-09-30</t>
  </si>
  <si>
    <t>2002-10-31</t>
  </si>
  <si>
    <t>2002-11-29</t>
  </si>
  <si>
    <t>2002-12-31</t>
  </si>
  <si>
    <t>2003-01-31</t>
  </si>
  <si>
    <t>2003-02-28</t>
  </si>
  <si>
    <t>2003-03-31</t>
  </si>
  <si>
    <t>2003-04-30</t>
  </si>
  <si>
    <t>2003-05-30</t>
  </si>
  <si>
    <t>2003-06-30</t>
  </si>
  <si>
    <t>2003-07-31</t>
  </si>
  <si>
    <t>2003-08-29</t>
  </si>
  <si>
    <t>2003-09-30</t>
  </si>
  <si>
    <t>2003-10-31</t>
  </si>
  <si>
    <t>2003-11-28</t>
  </si>
  <si>
    <t>2003-12-31</t>
  </si>
  <si>
    <t>2004-01-30</t>
  </si>
  <si>
    <t>2004-02-27</t>
  </si>
  <si>
    <t>2004-03-31</t>
  </si>
  <si>
    <t>2004-04-30</t>
  </si>
  <si>
    <t>2004-05-31</t>
  </si>
  <si>
    <t>2004-06-30</t>
  </si>
  <si>
    <t>2004-07-30</t>
  </si>
  <si>
    <t>2004-08-31</t>
  </si>
  <si>
    <t>2004-09-30</t>
  </si>
  <si>
    <t>2004-10-29</t>
  </si>
  <si>
    <t>2004-11-30</t>
  </si>
  <si>
    <t>2004-12-31</t>
  </si>
  <si>
    <t>2005-01-31</t>
  </si>
  <si>
    <t>2005-02-28</t>
  </si>
  <si>
    <t>2005-03-31</t>
  </si>
  <si>
    <t>2005-04-29</t>
  </si>
  <si>
    <t>2005-05-31</t>
  </si>
  <si>
    <t>2005-06-30</t>
  </si>
  <si>
    <t>2005-07-29</t>
  </si>
  <si>
    <t>2005-08-31</t>
  </si>
  <si>
    <t>2005-09-30</t>
  </si>
  <si>
    <t>2005-10-31</t>
  </si>
  <si>
    <t>2005-11-30</t>
  </si>
  <si>
    <t>2005-12-30</t>
  </si>
  <si>
    <t>2026-01-30</t>
  </si>
  <si>
    <t>2026-02-27</t>
  </si>
  <si>
    <t>2026-03-31</t>
  </si>
  <si>
    <t>MSCI World IMI Index (total returns, net of tax, USD)</t>
  </si>
  <si>
    <t>MSCI Australia IMI Index (total returns, gross of tax, AUD)</t>
  </si>
  <si>
    <t>Rent growth p.a.</t>
  </si>
  <si>
    <t>Investing through superannuation?</t>
  </si>
  <si>
    <t>3BR_H</t>
  </si>
  <si>
    <t>CPI</t>
  </si>
  <si>
    <t>Index Numbers ;  All groups CPI, seasonally adjusted ;  Australia ;</t>
  </si>
  <si>
    <t>Real gains ($)</t>
  </si>
  <si>
    <t>Nominal gains ($)</t>
  </si>
  <si>
    <t>CGT calcs</t>
  </si>
  <si>
    <t>CGT on withdrawals</t>
  </si>
  <si>
    <r>
      <t xml:space="preserve">Tax concessions on contributions (0% if </t>
    </r>
    <r>
      <rPr>
        <b/>
        <sz val="11"/>
        <color theme="1"/>
        <rFont val="Aptos Narrow"/>
        <family val="2"/>
        <scheme val="minor"/>
      </rPr>
      <t>not</t>
    </r>
    <r>
      <rPr>
        <sz val="11"/>
        <color theme="1"/>
        <rFont val="Aptos Narrow"/>
        <family val="2"/>
        <scheme val="minor"/>
      </rPr>
      <t xml:space="preserve"> investing through super)</t>
    </r>
  </si>
  <si>
    <t>Cost base (nominal)</t>
  </si>
  <si>
    <t>Portfolio, end Q, before CGT</t>
  </si>
  <si>
    <t>Cost base (CPI-adjusted to Q_end)</t>
  </si>
  <si>
    <t>Contributions (CPI-adjusted to Q_end)</t>
  </si>
  <si>
    <t>Cost base + CPI to current quarter</t>
  </si>
  <si>
    <t>Comparison vs inflation</t>
  </si>
  <si>
    <t>Marginal income tax rate on withdrawal</t>
  </si>
  <si>
    <t>CPI (Q_st art = 100)</t>
  </si>
  <si>
    <t>MSCI World (Q_start=100)</t>
  </si>
  <si>
    <t>MSCI Aus (Q_start=100)</t>
  </si>
  <si>
    <t>Portfolio (Q_start=100)</t>
  </si>
  <si>
    <t>Adjusted home price (Q_start = 100)</t>
  </si>
  <si>
    <t>Median home price (Q_start = 100)</t>
  </si>
  <si>
    <t>Median home price growth p.a.</t>
  </si>
  <si>
    <t>Investment index (country-weighted) growth p.a.</t>
  </si>
  <si>
    <t>CPI growth p.a.</t>
  </si>
  <si>
    <t>Marginal CGT &amp; dividend income tax rate (0% if investing through super)</t>
  </si>
  <si>
    <t>Renovations, alterations, and additions (% of current home value per year)</t>
  </si>
  <si>
    <t>Default values</t>
  </si>
  <si>
    <t>Set values</t>
  </si>
  <si>
    <t>Renovation, cumulative</t>
  </si>
  <si>
    <t>Consider CGT? Note: Unlikely  to reflect realistic tax liabilities</t>
  </si>
  <si>
    <t>When buying the house (cashflow costs)</t>
  </si>
  <si>
    <t>When selling the house (derating of home value)</t>
  </si>
  <si>
    <t>Adjusted home price growth p.a.</t>
  </si>
  <si>
    <t>Average renter-to-owner cashflow needs excl. home purchase costs</t>
  </si>
  <si>
    <t>Median Price of Established House Transfers (Unstratified) ;  Sydney ;</t>
  </si>
  <si>
    <t>Median Price of Established House Transfers (Unstratified) ;  Rest of NSW ;</t>
  </si>
  <si>
    <t>Median Price of Established House Transfers (Unstratified) ;  Melbourne ;</t>
  </si>
  <si>
    <t>Median Price of Established House Transfers (Unstratified) ;  Rest of Vic. ;</t>
  </si>
  <si>
    <t>Median Price of Established House Transfers (Unstratified) ;  Brisbane ;</t>
  </si>
  <si>
    <t>Median Price of Established House Transfers (Unstratified) ;  Rest of Qld. ;</t>
  </si>
  <si>
    <t>Median Price of Established House Transfers (Unstratified) ;  Adelaide ;</t>
  </si>
  <si>
    <t>Median Price of Established House Transfers (Unstratified) ;  Rest of SA ;</t>
  </si>
  <si>
    <t>Median Price of Established House Transfers (Unstratified) ;  Perth ;</t>
  </si>
  <si>
    <t>Median Price of Established House Transfers (Unstratified) ;  Rest of WA ;</t>
  </si>
  <si>
    <t>Median Price of Established House Transfers (Unstratified) ;  Hobart ;</t>
  </si>
  <si>
    <t>Median Price of Established House Transfers (Unstratified) ;  Rest of Tas. ;</t>
  </si>
  <si>
    <t>Median Price of Established House Transfers (Unstratified) ;  Darwin ;</t>
  </si>
  <si>
    <t>Median Price of Established House Transfers (Unstratified) ;  Rest of NT ;</t>
  </si>
  <si>
    <t>Median Price of Established House Transfers (Unstratified) ;  Canberra ;</t>
  </si>
  <si>
    <t>Median Price of Attached Dwelling Transfers (Unstratified) ;  Sydney ;</t>
  </si>
  <si>
    <t>Median Price of Attached Dwelling Transfers (Unstratified) ;  Rest of NSW ;</t>
  </si>
  <si>
    <t>Median Price of Attached Dwelling Transfers (Unstratified) ;  Melbourne ;</t>
  </si>
  <si>
    <t>Median Price of Attached Dwelling Transfers (Unstratified) ;  Rest of Vic. ;</t>
  </si>
  <si>
    <t>Median Price of Attached Dwelling Transfers (Unstratified) ;  Brisbane ;</t>
  </si>
  <si>
    <t>Median Price of Attached Dwelling Transfers (Unstratified) ;  Rest of Qld. ;</t>
  </si>
  <si>
    <t>Median Price of Attached Dwelling Transfers (Unstratified) ;  Adelaide ;</t>
  </si>
  <si>
    <t>Median Price of Attached Dwelling Transfers (Unstratified) ;  Rest of SA ;</t>
  </si>
  <si>
    <t>Median Price of Attached Dwelling Transfers (Unstratified) ;  Perth ;</t>
  </si>
  <si>
    <t>Median Price of Attached Dwelling Transfers (Unstratified) ;  Rest of WA ;</t>
  </si>
  <si>
    <t>Median Price of Attached Dwelling Transfers (Unstratified) ;  Hobart ;</t>
  </si>
  <si>
    <t>Median Price of Attached Dwelling Transfers (Unstratified) ;  Rest of Tas. ;</t>
  </si>
  <si>
    <t>Median Price of Attached Dwelling Transfers (Unstratified) ;  Darwin ;</t>
  </si>
  <si>
    <t>Median Price of Attached Dwelling Transfers (Unstratified) ;  Rest of NT ;</t>
  </si>
  <si>
    <t>Median Price of Attached Dwelling Transfers (Unstratified) ;  Canberra ;</t>
  </si>
  <si>
    <t>Number of Established House Transfers ;  Sydney ;</t>
  </si>
  <si>
    <t>Number of Established House Transfers ;  Rest of NSW ;</t>
  </si>
  <si>
    <t>Number of Established House Transfers ;  Melbourne ;</t>
  </si>
  <si>
    <t>Number of Established House Transfers ;  Rest of Vic. ;</t>
  </si>
  <si>
    <t>Number of Established House Transfers ;  Brisbane ;</t>
  </si>
  <si>
    <t>Number of Established House Transfers ;  Rest of Qld. ;</t>
  </si>
  <si>
    <t>Number of Established House Transfers ;  Adelaide ;</t>
  </si>
  <si>
    <t>Number of Established House Transfers ;  Rest of SA ;</t>
  </si>
  <si>
    <t>Number of Established House Transfers ;  Perth ;</t>
  </si>
  <si>
    <t>Number of Established House Transfers ;  Rest of WA ;</t>
  </si>
  <si>
    <t>Number of Established House Transfers ;  Hobart ;</t>
  </si>
  <si>
    <t>Number of Established House Transfers ;  Rest of Tas. ;</t>
  </si>
  <si>
    <t>Number of Established House Transfers ;  Darwin ;</t>
  </si>
  <si>
    <t>Number of Established House Transfers ;  Rest of NT ;</t>
  </si>
  <si>
    <t>Number of Established House Transfers ;  Canberra ;</t>
  </si>
  <si>
    <t>Number of Attached Dwelling Transfers ;  Sydney ;</t>
  </si>
  <si>
    <t>Number of Attached Dwelling Transfers ;  Rest of NSW ;</t>
  </si>
  <si>
    <t>Number of Attached Dwelling Transfers ;  Melbourne ;</t>
  </si>
  <si>
    <t>Number of Attached Dwelling Transfers ;  Rest of Vic. ;</t>
  </si>
  <si>
    <t>Number of Attached Dwelling Transfers ;  Brisbane ;</t>
  </si>
  <si>
    <t>Number of Attached Dwelling Transfers ;  Rest of Qld. ;</t>
  </si>
  <si>
    <t>Number of Attached Dwelling Transfers ;  Adelaide ;</t>
  </si>
  <si>
    <t>Number of Attached Dwelling Transfers ;  Rest of SA ;</t>
  </si>
  <si>
    <t>Number of Attached Dwelling Transfers ;  Perth ;</t>
  </si>
  <si>
    <t>Number of Attached Dwelling Transfers ;  Rest of WA ;</t>
  </si>
  <si>
    <t>Number of Attached Dwelling Transfers ;  Hobart ;</t>
  </si>
  <si>
    <t>Number of Attached Dwelling Transfers ;  Rest of Tas. ;</t>
  </si>
  <si>
    <t>Number of Attached Dwelling Transfers ;  Darwin ;</t>
  </si>
  <si>
    <t>Number of Attached Dwelling Transfers ;  Rest of NT ;</t>
  </si>
  <si>
    <t>Number of Attached Dwelling Transfers ;  Canberra ;</t>
  </si>
  <si>
    <t>Unit</t>
  </si>
  <si>
    <t>$'000</t>
  </si>
  <si>
    <t>Number</t>
  </si>
  <si>
    <t>Series Type</t>
  </si>
  <si>
    <t>Data Type</t>
  </si>
  <si>
    <t>FLOW</t>
  </si>
  <si>
    <t>Collection Month</t>
  </si>
  <si>
    <t>Series Start</t>
  </si>
  <si>
    <t>Series End</t>
  </si>
  <si>
    <t>No. Obs</t>
  </si>
  <si>
    <t>A83728545T</t>
  </si>
  <si>
    <t>A83728577K</t>
  </si>
  <si>
    <t>A83728549A</t>
  </si>
  <si>
    <t>A83728581A</t>
  </si>
  <si>
    <t>A83728553T</t>
  </si>
  <si>
    <t>A83728585K</t>
  </si>
  <si>
    <t>A83728557A</t>
  </si>
  <si>
    <t>A83728589V</t>
  </si>
  <si>
    <t>A83728561T</t>
  </si>
  <si>
    <t>A83728593K</t>
  </si>
  <si>
    <t>A83728565A</t>
  </si>
  <si>
    <t>A83728597V</t>
  </si>
  <si>
    <t>A83728569K</t>
  </si>
  <si>
    <t>A83728601X</t>
  </si>
  <si>
    <t>A83728573A</t>
  </si>
  <si>
    <t>A83728546V</t>
  </si>
  <si>
    <t>A83728578L</t>
  </si>
  <si>
    <t>A83728550K</t>
  </si>
  <si>
    <t>A83728582C</t>
  </si>
  <si>
    <t>A83728554V</t>
  </si>
  <si>
    <t>A83728586L</t>
  </si>
  <si>
    <t>A83728558C</t>
  </si>
  <si>
    <t>A83728590C</t>
  </si>
  <si>
    <t>A83728562V</t>
  </si>
  <si>
    <t>A83728594L</t>
  </si>
  <si>
    <t>A83728566C</t>
  </si>
  <si>
    <t>A83728598W</t>
  </si>
  <si>
    <t>A83728570V</t>
  </si>
  <si>
    <t>A83728602A</t>
  </si>
  <si>
    <t>A83728574C</t>
  </si>
  <si>
    <t>A83728543L</t>
  </si>
  <si>
    <t>A83728575F</t>
  </si>
  <si>
    <t>A83728547W</t>
  </si>
  <si>
    <t>A83728579R</t>
  </si>
  <si>
    <t>A83728551L</t>
  </si>
  <si>
    <t>A83728583F</t>
  </si>
  <si>
    <t>A83728555W</t>
  </si>
  <si>
    <t>A83728587R</t>
  </si>
  <si>
    <t>A83728559F</t>
  </si>
  <si>
    <t>A83728591F</t>
  </si>
  <si>
    <t>A83728563W</t>
  </si>
  <si>
    <t>A83728595R</t>
  </si>
  <si>
    <t>A83728567F</t>
  </si>
  <si>
    <t>A83728599X</t>
  </si>
  <si>
    <t>A83728571W</t>
  </si>
  <si>
    <t>A83728544R</t>
  </si>
  <si>
    <t>A83728576J</t>
  </si>
  <si>
    <t>A83728548X</t>
  </si>
  <si>
    <t>A83728580X</t>
  </si>
  <si>
    <t>A83728552R</t>
  </si>
  <si>
    <t>A83728584J</t>
  </si>
  <si>
    <t>A83728556X</t>
  </si>
  <si>
    <t>A83728588T</t>
  </si>
  <si>
    <t>A83728560R</t>
  </si>
  <si>
    <t>A83728592J</t>
  </si>
  <si>
    <t>A83728564X</t>
  </si>
  <si>
    <t>A83728596T</t>
  </si>
  <si>
    <t>A83728568J</t>
  </si>
  <si>
    <t>A83728600W</t>
  </si>
  <si>
    <t>A83728572X</t>
  </si>
  <si>
    <t>Melbourne</t>
  </si>
  <si>
    <t>Rest of Vic</t>
  </si>
  <si>
    <t>Quarterly median rents by Local Government Area</t>
  </si>
  <si>
    <t>2 bedroom flats</t>
  </si>
  <si>
    <t>Jun 1999</t>
  </si>
  <si>
    <t>Sep 1999</t>
  </si>
  <si>
    <t>Dec 1999</t>
  </si>
  <si>
    <t>Mar 2000</t>
  </si>
  <si>
    <t>Jun 2000</t>
  </si>
  <si>
    <t>Sep 2000</t>
  </si>
  <si>
    <t>Dec 2000</t>
  </si>
  <si>
    <t>Mar 2001</t>
  </si>
  <si>
    <t>Jun 2001</t>
  </si>
  <si>
    <t>Sep 2001</t>
  </si>
  <si>
    <t>Dec 2001</t>
  </si>
  <si>
    <t>Mar 2002</t>
  </si>
  <si>
    <t>Jun 2002</t>
  </si>
  <si>
    <t>Sep 2002</t>
  </si>
  <si>
    <t>Dec 2002</t>
  </si>
  <si>
    <t>Mar 2003</t>
  </si>
  <si>
    <t>Jun 2003</t>
  </si>
  <si>
    <t>Sep 2003</t>
  </si>
  <si>
    <t>Dec 2003</t>
  </si>
  <si>
    <t>Mar 2004</t>
  </si>
  <si>
    <t>Jun 2004</t>
  </si>
  <si>
    <t>Sep 2004</t>
  </si>
  <si>
    <t>Dec 2004</t>
  </si>
  <si>
    <t>Mar 2005</t>
  </si>
  <si>
    <t>Jun 2005</t>
  </si>
  <si>
    <t>Sep 2005</t>
  </si>
  <si>
    <t>Dec 2005</t>
  </si>
  <si>
    <t>Mar 2006</t>
  </si>
  <si>
    <t>Jun 2006</t>
  </si>
  <si>
    <t>Sep 2006</t>
  </si>
  <si>
    <t>Dec 2006</t>
  </si>
  <si>
    <t>Mar 2007</t>
  </si>
  <si>
    <t>Jun 2007</t>
  </si>
  <si>
    <t>Sep 2007</t>
  </si>
  <si>
    <t>Dec 2007</t>
  </si>
  <si>
    <t>Mar 2008</t>
  </si>
  <si>
    <t>Jun 2008</t>
  </si>
  <si>
    <t>Sep 2008</t>
  </si>
  <si>
    <t>Dec 2008</t>
  </si>
  <si>
    <t>Mar 2009</t>
  </si>
  <si>
    <t>Jun 2009</t>
  </si>
  <si>
    <t>Sep 2009</t>
  </si>
  <si>
    <t>Dec 2009</t>
  </si>
  <si>
    <t>Mar 2010</t>
  </si>
  <si>
    <t>Jun 2010</t>
  </si>
  <si>
    <t>Sep 2010</t>
  </si>
  <si>
    <t>Dec 2010</t>
  </si>
  <si>
    <t>Mar 2011</t>
  </si>
  <si>
    <t>Jun 2011</t>
  </si>
  <si>
    <t>Sep 2011</t>
  </si>
  <si>
    <t>Dec 2011</t>
  </si>
  <si>
    <t>Mar 2012</t>
  </si>
  <si>
    <t>Jun 2012</t>
  </si>
  <si>
    <t>Sep 2012</t>
  </si>
  <si>
    <t>Dec 2012</t>
  </si>
  <si>
    <t>Mar 2013</t>
  </si>
  <si>
    <t>Jun 2013</t>
  </si>
  <si>
    <t>Sep 2013</t>
  </si>
  <si>
    <t>Dec 2013</t>
  </si>
  <si>
    <t>Mar 2014</t>
  </si>
  <si>
    <t>Jun 2014</t>
  </si>
  <si>
    <t>Sep 2014</t>
  </si>
  <si>
    <t>Dec 2014</t>
  </si>
  <si>
    <t>Mar 2015</t>
  </si>
  <si>
    <t>Jun 2015</t>
  </si>
  <si>
    <t>Sep 2015</t>
  </si>
  <si>
    <t>Dec 2015</t>
  </si>
  <si>
    <t>Mar 2016</t>
  </si>
  <si>
    <t>Jun 2016</t>
  </si>
  <si>
    <t>Sep 2016</t>
  </si>
  <si>
    <t>Dec 2016</t>
  </si>
  <si>
    <t>Mar 2017</t>
  </si>
  <si>
    <t>Jun 2017</t>
  </si>
  <si>
    <t>Sep 2017</t>
  </si>
  <si>
    <t>Dec 2017</t>
  </si>
  <si>
    <t>Mar 2018</t>
  </si>
  <si>
    <t>Jun 2018</t>
  </si>
  <si>
    <t>Sep 2018</t>
  </si>
  <si>
    <t>Dec 2018</t>
  </si>
  <si>
    <t>Mar 2019</t>
  </si>
  <si>
    <t>Jun 2019</t>
  </si>
  <si>
    <t>Sep 2019</t>
  </si>
  <si>
    <t>Dec 2019</t>
  </si>
  <si>
    <t>Mar 2020</t>
  </si>
  <si>
    <t>Jun 2020</t>
  </si>
  <si>
    <t>Sep 2020</t>
  </si>
  <si>
    <t>Dec 2020</t>
  </si>
  <si>
    <t>Mar 2021</t>
  </si>
  <si>
    <t>Jun 2021</t>
  </si>
  <si>
    <t>Sep 2021</t>
  </si>
  <si>
    <t>Dec 2021</t>
  </si>
  <si>
    <t>Mar 2022</t>
  </si>
  <si>
    <t>Jun 2022</t>
  </si>
  <si>
    <t>Sep 2022</t>
  </si>
  <si>
    <t>Dec 2022</t>
  </si>
  <si>
    <t>Mar 2023</t>
  </si>
  <si>
    <t>Jun 2023</t>
  </si>
  <si>
    <t>Sep 2023</t>
  </si>
  <si>
    <t>Dec 2023</t>
  </si>
  <si>
    <t>Mar 2024</t>
  </si>
  <si>
    <t>Jun 2024</t>
  </si>
  <si>
    <t>Sep 2024</t>
  </si>
  <si>
    <t>Dec 2024</t>
  </si>
  <si>
    <t>Mar 2025</t>
  </si>
  <si>
    <t>Jun 2025</t>
  </si>
  <si>
    <t>Sep 2025</t>
  </si>
  <si>
    <t>Count</t>
  </si>
  <si>
    <t>Median</t>
  </si>
  <si>
    <t>Barwon South West</t>
  </si>
  <si>
    <t>Colac-Otway</t>
  </si>
  <si>
    <t>Corangamite</t>
  </si>
  <si>
    <t>Glenelg</t>
  </si>
  <si>
    <t>Greater Geelong</t>
  </si>
  <si>
    <t>Moyne</t>
  </si>
  <si>
    <t>Queenscliffe</t>
  </si>
  <si>
    <t>Southern Grampians</t>
  </si>
  <si>
    <t>Surf Coast</t>
  </si>
  <si>
    <t>Warrnambool</t>
  </si>
  <si>
    <t>Group Total</t>
  </si>
  <si>
    <t>Grampians</t>
  </si>
  <si>
    <t>Ararat</t>
  </si>
  <si>
    <t>Ballarat</t>
  </si>
  <si>
    <t>Golden Plains</t>
  </si>
  <si>
    <t>Hepburn</t>
  </si>
  <si>
    <t>Hindmarsh</t>
  </si>
  <si>
    <t>Horsham</t>
  </si>
  <si>
    <t>Moorabool</t>
  </si>
  <si>
    <t>Northern Grampians</t>
  </si>
  <si>
    <t>Pyrenees</t>
  </si>
  <si>
    <t>West Wimmera</t>
  </si>
  <si>
    <t>Yarriambiack</t>
  </si>
  <si>
    <t>Loddon Mallee</t>
  </si>
  <si>
    <t>Buloke</t>
  </si>
  <si>
    <t>Campaspe</t>
  </si>
  <si>
    <t>Central Goldfields</t>
  </si>
  <si>
    <t>Gannawarra</t>
  </si>
  <si>
    <t>Greater Bendigo</t>
  </si>
  <si>
    <t>Loddon</t>
  </si>
  <si>
    <t>Macedon Ranges</t>
  </si>
  <si>
    <t>Mildura</t>
  </si>
  <si>
    <t>Mount Alexander</t>
  </si>
  <si>
    <t>Swan Hill</t>
  </si>
  <si>
    <t>Hume</t>
  </si>
  <si>
    <t>Alpine</t>
  </si>
  <si>
    <t>Benalla</t>
  </si>
  <si>
    <t>Greater Shepparton</t>
  </si>
  <si>
    <t>Indigo</t>
  </si>
  <si>
    <t>Mansfield</t>
  </si>
  <si>
    <t>Mitchell</t>
  </si>
  <si>
    <t>Moira</t>
  </si>
  <si>
    <t>Murrindindi</t>
  </si>
  <si>
    <t>Strathbogie</t>
  </si>
  <si>
    <t>Towong</t>
  </si>
  <si>
    <t>Wangaratta</t>
  </si>
  <si>
    <t>Wodonga</t>
  </si>
  <si>
    <t>Gippsland</t>
  </si>
  <si>
    <t>Bass Coast</t>
  </si>
  <si>
    <t>Baw Baw</t>
  </si>
  <si>
    <t>East Gippsland</t>
  </si>
  <si>
    <t>Latrobe</t>
  </si>
  <si>
    <t>South Gippsland</t>
  </si>
  <si>
    <t>Wellington</t>
  </si>
  <si>
    <t>North and West Metro</t>
  </si>
  <si>
    <t>Banyule</t>
  </si>
  <si>
    <t>Brimbank</t>
  </si>
  <si>
    <t>Darebin</t>
  </si>
  <si>
    <t>Hobsons Bay</t>
  </si>
  <si>
    <t>Maribyrnong</t>
  </si>
  <si>
    <t>Melton</t>
  </si>
  <si>
    <t>Merri-bek</t>
  </si>
  <si>
    <t>Moonee Valley</t>
  </si>
  <si>
    <t>Nillumbik</t>
  </si>
  <si>
    <t>Whittlesea</t>
  </si>
  <si>
    <t>Wyndham</t>
  </si>
  <si>
    <t>Yarra</t>
  </si>
  <si>
    <t>Eastern Metro</t>
  </si>
  <si>
    <t>Boroondara</t>
  </si>
  <si>
    <t>Knox</t>
  </si>
  <si>
    <t>Manningham</t>
  </si>
  <si>
    <t>Maroondah</t>
  </si>
  <si>
    <t>Monash</t>
  </si>
  <si>
    <t>Whitehorse</t>
  </si>
  <si>
    <t>Yarra Ranges</t>
  </si>
  <si>
    <t>Southern Metro</t>
  </si>
  <si>
    <t>Cardinia</t>
  </si>
  <si>
    <t>Casey</t>
  </si>
  <si>
    <t>Frankston</t>
  </si>
  <si>
    <t>Glen Eira</t>
  </si>
  <si>
    <t>Greater Dandenong</t>
  </si>
  <si>
    <t>Kingston</t>
  </si>
  <si>
    <t>Mornington Penin'a</t>
  </si>
  <si>
    <t>Port Phillip</t>
  </si>
  <si>
    <t>Stonnington</t>
  </si>
  <si>
    <t>Table Total</t>
  </si>
  <si>
    <t>Victoria</t>
  </si>
  <si>
    <t>METRO NON-METRO</t>
  </si>
  <si>
    <t>Metro</t>
  </si>
  <si>
    <t>Non-Metro</t>
  </si>
  <si>
    <t>3 bedroom house</t>
  </si>
  <si>
    <t>3br  Bedroom House 7/05/2012</t>
  </si>
  <si>
    <t>Year/quarter tenancy starts</t>
  </si>
  <si>
    <t>Rent vs buy analysis - Melbourne</t>
  </si>
  <si>
    <t>Portfolio index (Q_start=100)</t>
  </si>
  <si>
    <t>Renter's insurance and other costs ($ per year, end-quarter dollars)</t>
  </si>
  <si>
    <t>Investment efficiency</t>
  </si>
  <si>
    <t>Other renter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</si>
</sst>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8" formatCode="&quot;$&quot;#,##0.00;[Red]\-&quot;$&quot;#,##0.00"/>
    <numFmt numFmtId="43" formatCode="_-* #,##0.00_-;\-* #,##0.00_-;_-* &quot;-&quot;??_-;_-@_-"/>
    <numFmt numFmtId="164" formatCode="_-* #,##0_-;\-* #,##0_-;_-* &quot;-&quot;??_-;_-@_-"/>
    <numFmt numFmtId="165" formatCode="dd\-mmm\-yyyy"/>
    <numFmt numFmtId="166" formatCode="mmm\-yyyy"/>
    <numFmt numFmtId="167" formatCode="0.0%"/>
    <numFmt numFmtId="168" formatCode="0.000"/>
    <numFmt numFmtId="169" formatCode="0.0;\-0.0;0.0;@"/>
    <numFmt numFmtId="170" formatCode="0;\-0;0;@"/>
  </numFmts>
  <fonts count="28" x14ac:knownFonts="1">
    <font>
      <sz val="11"/>
      <color theme="1"/>
      <name val="Aptos Narrow"/>
      <family val="2"/>
      <scheme val="minor"/>
    </font>
    <font>
      <sz val="10"/>
      <name val="Arial"/>
      <family val="2"/>
    </font>
    <font>
      <b/>
      <sz val="11"/>
      <color theme="1"/>
      <name val="Aptos Narrow"/>
      <family val="2"/>
      <scheme val="minor"/>
    </font>
    <font>
      <i/>
      <sz val="11"/>
      <color theme="1"/>
      <name val="Aptos Narrow"/>
      <family val="2"/>
      <scheme val="minor"/>
    </font>
    <font>
      <sz val="11"/>
      <color theme="1"/>
      <name val="Aptos Narrow"/>
      <family val="2"/>
      <scheme val="minor"/>
    </font>
    <font>
      <b/>
      <i/>
      <sz val="11"/>
      <color theme="1"/>
      <name val="Aptos Narrow"/>
      <family val="2"/>
      <scheme val="minor"/>
    </font>
    <font>
      <sz val="9"/>
      <color indexed="81"/>
      <name val="Tahoma"/>
      <family val="2"/>
    </font>
    <font>
      <b/>
      <sz val="9"/>
      <color indexed="81"/>
      <name val="Tahoma"/>
      <family val="2"/>
    </font>
    <font>
      <sz val="9"/>
      <color rgb="FF000000"/>
      <name val="Arial"/>
      <family val="2"/>
    </font>
    <font>
      <sz val="8"/>
      <color rgb="FF000000"/>
      <name val="Arial"/>
      <family val="2"/>
    </font>
    <font>
      <sz val="10"/>
      <color rgb="FF000000"/>
      <name val="Arial"/>
      <family val="2"/>
    </font>
    <font>
      <b/>
      <sz val="11"/>
      <name val="Calibri"/>
      <family val="2"/>
    </font>
    <font>
      <sz val="8"/>
      <color theme="1"/>
      <name val="Arial"/>
      <family val="2"/>
    </font>
    <font>
      <b/>
      <sz val="8"/>
      <color theme="1"/>
      <name val="Arial"/>
      <family val="2"/>
    </font>
    <font>
      <sz val="8"/>
      <color indexed="81"/>
      <name val="Tahoma"/>
      <family val="2"/>
    </font>
    <font>
      <b/>
      <sz val="14"/>
      <color indexed="8"/>
      <name val="Arial"/>
      <family val="2"/>
    </font>
    <font>
      <b/>
      <i/>
      <sz val="11"/>
      <color rgb="FF000000"/>
      <name val="Arial"/>
      <family val="2"/>
    </font>
    <font>
      <b/>
      <i/>
      <sz val="10"/>
      <color theme="1"/>
      <name val="Arial"/>
      <family val="2"/>
    </font>
    <font>
      <i/>
      <sz val="10"/>
      <color indexed="8"/>
      <name val="Arial"/>
      <family val="2"/>
    </font>
    <font>
      <i/>
      <sz val="11"/>
      <color indexed="8"/>
      <name val="Aptos Narrow"/>
      <family val="2"/>
      <scheme val="minor"/>
    </font>
    <font>
      <b/>
      <sz val="11"/>
      <color theme="1"/>
      <name val="Arial"/>
      <family val="2"/>
    </font>
    <font>
      <sz val="11"/>
      <color theme="1"/>
      <name val="Arial"/>
      <family val="2"/>
    </font>
    <font>
      <sz val="11"/>
      <color indexed="8"/>
      <name val="Calibri"/>
      <family val="2"/>
    </font>
    <font>
      <sz val="10"/>
      <color indexed="8"/>
      <name val="Arial"/>
      <family val="2"/>
    </font>
    <font>
      <b/>
      <i/>
      <sz val="11"/>
      <color theme="1"/>
      <name val="Arial"/>
      <family val="2"/>
    </font>
    <font>
      <b/>
      <i/>
      <sz val="10"/>
      <color indexed="8"/>
      <name val="Arial"/>
      <family val="2"/>
    </font>
    <font>
      <b/>
      <sz val="10"/>
      <color indexed="8"/>
      <name val="Arial"/>
      <family val="2"/>
    </font>
    <font>
      <sz val="10"/>
      <color theme="1"/>
      <name val="Arial"/>
      <family val="2"/>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5">
    <xf numFmtId="0" fontId="0" fillId="0" borderId="0"/>
    <xf numFmtId="0" fontId="1" fillId="0" borderId="0"/>
    <xf numFmtId="43" fontId="4" fillId="0" borderId="0" applyFont="0" applyFill="0" applyBorder="0" applyAlignment="0" applyProtection="0"/>
    <xf numFmtId="9" fontId="4" fillId="0" borderId="0" applyFont="0" applyFill="0" applyBorder="0" applyAlignment="0" applyProtection="0"/>
    <xf numFmtId="43" fontId="22" fillId="0" borderId="0" applyFont="0" applyFill="0" applyBorder="0" applyAlignment="0" applyProtection="0"/>
  </cellStyleXfs>
  <cellXfs count="70">
    <xf numFmtId="0" fontId="0" fillId="0" borderId="0" xfId="0"/>
    <xf numFmtId="17" fontId="0" fillId="0" borderId="0" xfId="0" applyNumberFormat="1"/>
    <xf numFmtId="17" fontId="0" fillId="0" borderId="0" xfId="0" quotePrefix="1" applyNumberFormat="1"/>
    <xf numFmtId="14" fontId="0" fillId="0" borderId="0" xfId="0" applyNumberFormat="1"/>
    <xf numFmtId="10" fontId="0" fillId="0" borderId="0" xfId="0" applyNumberFormat="1"/>
    <xf numFmtId="0" fontId="0" fillId="2" borderId="0" xfId="0" applyFill="1"/>
    <xf numFmtId="0" fontId="2" fillId="0" borderId="0" xfId="0" applyFont="1"/>
    <xf numFmtId="0" fontId="3" fillId="0" borderId="0" xfId="0" applyFont="1"/>
    <xf numFmtId="2" fontId="0" fillId="0" borderId="0" xfId="0" applyNumberFormat="1"/>
    <xf numFmtId="9" fontId="0" fillId="0" borderId="0" xfId="0" applyNumberFormat="1"/>
    <xf numFmtId="0" fontId="5" fillId="0" borderId="0" xfId="0" applyFont="1"/>
    <xf numFmtId="164" fontId="0" fillId="0" borderId="0" xfId="2" applyNumberFormat="1" applyFont="1"/>
    <xf numFmtId="43" fontId="0" fillId="0" borderId="0" xfId="0" applyNumberFormat="1"/>
    <xf numFmtId="164" fontId="0" fillId="0" borderId="0" xfId="0" applyNumberFormat="1"/>
    <xf numFmtId="164" fontId="0" fillId="3" borderId="0" xfId="2" applyNumberFormat="1" applyFont="1" applyFill="1"/>
    <xf numFmtId="0" fontId="8" fillId="0" borderId="0" xfId="0" applyFont="1" applyAlignment="1">
      <alignment vertical="top" wrapText="1"/>
    </xf>
    <xf numFmtId="0" fontId="8" fillId="0" borderId="0" xfId="0" applyFont="1"/>
    <xf numFmtId="0" fontId="8" fillId="0" borderId="0" xfId="0" applyFont="1" applyAlignment="1">
      <alignment vertical="top"/>
    </xf>
    <xf numFmtId="0" fontId="8" fillId="0" borderId="0" xfId="0" applyFont="1" applyAlignment="1">
      <alignment wrapText="1"/>
    </xf>
    <xf numFmtId="0" fontId="9" fillId="0" borderId="0" xfId="0" applyFont="1" applyAlignment="1">
      <alignment horizontal="center"/>
    </xf>
    <xf numFmtId="165" fontId="8" fillId="0" borderId="0" xfId="0" applyNumberFormat="1" applyFont="1" applyAlignment="1">
      <alignment horizontal="left"/>
    </xf>
    <xf numFmtId="166" fontId="10" fillId="0" borderId="0" xfId="0" applyNumberFormat="1" applyFont="1"/>
    <xf numFmtId="2" fontId="10" fillId="0" borderId="0" xfId="0" applyNumberFormat="1" applyFont="1"/>
    <xf numFmtId="43" fontId="0" fillId="0" borderId="0" xfId="2" applyFont="1"/>
    <xf numFmtId="1" fontId="0" fillId="0" borderId="0" xfId="0" applyNumberFormat="1"/>
    <xf numFmtId="167" fontId="0" fillId="0" borderId="0" xfId="3" applyNumberFormat="1" applyFont="1"/>
    <xf numFmtId="10" fontId="0" fillId="0" borderId="0" xfId="3" applyNumberFormat="1" applyFont="1"/>
    <xf numFmtId="8" fontId="0" fillId="0" borderId="0" xfId="2" applyNumberFormat="1" applyFont="1"/>
    <xf numFmtId="164" fontId="0" fillId="0" borderId="0" xfId="2" applyNumberFormat="1" applyFont="1" applyFill="1"/>
    <xf numFmtId="0" fontId="11" fillId="0" borderId="0" xfId="0" applyFont="1"/>
    <xf numFmtId="43" fontId="0" fillId="3" borderId="0" xfId="2" applyFont="1" applyFill="1"/>
    <xf numFmtId="168" fontId="0" fillId="0" borderId="0" xfId="0" applyNumberFormat="1"/>
    <xf numFmtId="167" fontId="0" fillId="0" borderId="0" xfId="0" applyNumberFormat="1"/>
    <xf numFmtId="2" fontId="2" fillId="0" borderId="0" xfId="0" applyNumberFormat="1" applyFont="1"/>
    <xf numFmtId="43" fontId="0" fillId="0" borderId="0" xfId="0" quotePrefix="1" applyNumberFormat="1"/>
    <xf numFmtId="0" fontId="0" fillId="0" borderId="0" xfId="0" quotePrefix="1"/>
    <xf numFmtId="0" fontId="12" fillId="0" borderId="0" xfId="0" applyFont="1" applyAlignment="1">
      <alignment wrapText="1"/>
    </xf>
    <xf numFmtId="0" fontId="12" fillId="0" borderId="0" xfId="0" applyFont="1" applyAlignment="1">
      <alignment horizontal="right" wrapText="1"/>
    </xf>
    <xf numFmtId="0" fontId="13" fillId="0" borderId="0" xfId="0" applyFont="1"/>
    <xf numFmtId="0" fontId="12" fillId="0" borderId="0" xfId="0" applyFont="1" applyAlignment="1">
      <alignment horizontal="right"/>
    </xf>
    <xf numFmtId="0" fontId="12" fillId="0" borderId="0" xfId="0" applyFont="1"/>
    <xf numFmtId="166" fontId="13" fillId="0" borderId="0" xfId="0" applyNumberFormat="1" applyFont="1"/>
    <xf numFmtId="166" fontId="12" fillId="0" borderId="0" xfId="0" applyNumberFormat="1" applyFont="1"/>
    <xf numFmtId="166" fontId="12" fillId="0" borderId="0" xfId="0" applyNumberFormat="1" applyFont="1" applyAlignment="1">
      <alignment horizontal="left"/>
    </xf>
    <xf numFmtId="169" fontId="12" fillId="0" borderId="0" xfId="0" applyNumberFormat="1" applyFont="1"/>
    <xf numFmtId="170" fontId="12" fillId="0" borderId="0" xfId="0" applyNumberFormat="1" applyFont="1"/>
    <xf numFmtId="0" fontId="15" fillId="0" borderId="0" xfId="0" applyFont="1" applyAlignment="1">
      <alignment vertical="center"/>
    </xf>
    <xf numFmtId="0" fontId="17" fillId="0" borderId="0" xfId="0" quotePrefix="1" applyFont="1" applyAlignment="1">
      <alignment horizontal="center"/>
    </xf>
    <xf numFmtId="0" fontId="17" fillId="0" borderId="0" xfId="0" applyFont="1" applyAlignment="1">
      <alignment horizontal="center"/>
    </xf>
    <xf numFmtId="17" fontId="17" fillId="0" borderId="0" xfId="0" quotePrefix="1" applyNumberFormat="1" applyFont="1" applyAlignment="1">
      <alignment horizontal="center"/>
    </xf>
    <xf numFmtId="0" fontId="5" fillId="0" borderId="0" xfId="0" applyFont="1" applyAlignment="1">
      <alignment horizontal="center"/>
    </xf>
    <xf numFmtId="0" fontId="18" fillId="0" borderId="0" xfId="0" applyFont="1" applyAlignment="1">
      <alignment horizontal="center"/>
    </xf>
    <xf numFmtId="0" fontId="19" fillId="0" borderId="0" xfId="0" applyFont="1" applyAlignment="1">
      <alignment horizontal="center"/>
    </xf>
    <xf numFmtId="0" fontId="20" fillId="0" borderId="0" xfId="0" applyFont="1"/>
    <xf numFmtId="0" fontId="21" fillId="0" borderId="0" xfId="0" applyFont="1"/>
    <xf numFmtId="164" fontId="23" fillId="0" borderId="0" xfId="4" applyNumberFormat="1" applyFont="1" applyAlignment="1">
      <alignment horizontal="right"/>
    </xf>
    <xf numFmtId="5" fontId="23" fillId="0" borderId="0" xfId="4" applyNumberFormat="1" applyFont="1" applyAlignment="1">
      <alignment horizontal="right"/>
    </xf>
    <xf numFmtId="0" fontId="24" fillId="0" borderId="0" xfId="0" applyFont="1"/>
    <xf numFmtId="164" fontId="25" fillId="0" borderId="0" xfId="4" applyNumberFormat="1" applyFont="1" applyAlignment="1">
      <alignment horizontal="right"/>
    </xf>
    <xf numFmtId="5" fontId="25" fillId="0" borderId="0" xfId="4" applyNumberFormat="1" applyFont="1" applyAlignment="1">
      <alignment horizontal="right"/>
    </xf>
    <xf numFmtId="164" fontId="26" fillId="0" borderId="0" xfId="4" applyNumberFormat="1" applyFont="1" applyAlignment="1">
      <alignment horizontal="right"/>
    </xf>
    <xf numFmtId="5" fontId="26" fillId="0" borderId="0" xfId="4" applyNumberFormat="1" applyFont="1" applyAlignment="1">
      <alignment horizontal="right"/>
    </xf>
    <xf numFmtId="164" fontId="23" fillId="0" borderId="0" xfId="4" applyNumberFormat="1" applyFont="1"/>
    <xf numFmtId="0" fontId="27" fillId="0" borderId="0" xfId="0" applyFont="1"/>
    <xf numFmtId="0" fontId="17" fillId="0" borderId="0" xfId="0" applyFont="1"/>
    <xf numFmtId="9" fontId="0" fillId="0" borderId="0" xfId="3" applyFont="1"/>
    <xf numFmtId="43" fontId="0" fillId="0" borderId="0" xfId="2" applyFont="1" applyFill="1"/>
    <xf numFmtId="167" fontId="0" fillId="0" borderId="0" xfId="3" applyNumberFormat="1" applyFont="1" applyFill="1"/>
    <xf numFmtId="10" fontId="0" fillId="0" borderId="0" xfId="3" applyNumberFormat="1" applyFont="1" applyFill="1"/>
    <xf numFmtId="0" fontId="16" fillId="0" borderId="0" xfId="0" applyFont="1" applyAlignment="1">
      <alignment horizontal="left" vertical="center"/>
    </xf>
  </cellXfs>
  <cellStyles count="5">
    <cellStyle name="Comma" xfId="2" builtinId="3"/>
    <cellStyle name="Comma 2" xfId="4" xr:uid="{08858974-E26C-4C8C-A06B-AA9505693D98}"/>
    <cellStyle name="Normal" xfId="0" builtinId="0"/>
    <cellStyle name="Normal 2" xfId="1" xr:uid="{EA054D48-7445-4D79-A4CC-930395C15F80}"/>
    <cellStyle name="Per cent" xfId="3" builtinId="5"/>
  </cellStyles>
  <dxfs count="2">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2.xml"/><Relationship Id="rId5" Type="http://schemas.openxmlformats.org/officeDocument/2006/relationships/worksheet" Target="worksheets/sheet5.xml"/><Relationship Id="rId15" Type="http://schemas.openxmlformats.org/officeDocument/2006/relationships/worksheet" Target="worksheets/sheet13.xml"/><Relationship Id="rId10" Type="http://schemas.openxmlformats.org/officeDocument/2006/relationships/chartsheet" Target="chartsheets/sheet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analysis!$O$2</c:f>
              <c:strCache>
                <c:ptCount val="1"/>
                <c:pt idx="0">
                  <c:v>Renter-to-owner wealth ratio</c:v>
                </c:pt>
              </c:strCache>
            </c:strRef>
          </c:tx>
          <c:spPr>
            <a:ln w="28575" cap="rnd">
              <a:solidFill>
                <a:schemeClr val="accent3"/>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analysis!$O$3:$O$82</c:f>
              <c:numCache>
                <c:formatCode>0.00</c:formatCode>
                <c:ptCount val="80"/>
                <c:pt idx="0">
                  <c:v>1.6801275083191516</c:v>
                </c:pt>
                <c:pt idx="1">
                  <c:v>1.3930435496861078</c:v>
                </c:pt>
                <c:pt idx="2">
                  <c:v>1.4919067015012852</c:v>
                </c:pt>
                <c:pt idx="3">
                  <c:v>1.4285376293848069</c:v>
                </c:pt>
                <c:pt idx="4">
                  <c:v>1.874380098553208</c:v>
                </c:pt>
                <c:pt idx="5">
                  <c:v>1.6646826708015534</c:v>
                </c:pt>
                <c:pt idx="6">
                  <c:v>1.6265857052286814</c:v>
                </c:pt>
                <c:pt idx="7">
                  <c:v>1.1455974695244437</c:v>
                </c:pt>
                <c:pt idx="8">
                  <c:v>1.3061811087645185</c:v>
                </c:pt>
                <c:pt idx="9">
                  <c:v>1.1711750864845347</c:v>
                </c:pt>
                <c:pt idx="10">
                  <c:v>1.1970481385494109</c:v>
                </c:pt>
                <c:pt idx="11">
                  <c:v>0.97421566950903749</c:v>
                </c:pt>
                <c:pt idx="12">
                  <c:v>1.0114924858671974</c:v>
                </c:pt>
                <c:pt idx="13">
                  <c:v>0.96941060450011729</c:v>
                </c:pt>
                <c:pt idx="14">
                  <c:v>0.99455224407704546</c:v>
                </c:pt>
                <c:pt idx="15">
                  <c:v>0.75239038585176954</c:v>
                </c:pt>
                <c:pt idx="16">
                  <c:v>0.83258332859756301</c:v>
                </c:pt>
                <c:pt idx="17">
                  <c:v>0.63482111188294921</c:v>
                </c:pt>
                <c:pt idx="18">
                  <c:v>0.77161714596920172</c:v>
                </c:pt>
                <c:pt idx="19">
                  <c:v>0.73656444606260585</c:v>
                </c:pt>
                <c:pt idx="20">
                  <c:v>0.92374497430745017</c:v>
                </c:pt>
                <c:pt idx="21">
                  <c:v>0.85455462556199091</c:v>
                </c:pt>
                <c:pt idx="22">
                  <c:v>0.79094607351080415</c:v>
                </c:pt>
                <c:pt idx="23">
                  <c:v>0.82040874714671319</c:v>
                </c:pt>
                <c:pt idx="24">
                  <c:v>1.009841124818007</c:v>
                </c:pt>
                <c:pt idx="25">
                  <c:v>0.93612060258559859</c:v>
                </c:pt>
                <c:pt idx="26">
                  <c:v>1.0461126121705691</c:v>
                </c:pt>
                <c:pt idx="27">
                  <c:v>0.95764603457152353</c:v>
                </c:pt>
                <c:pt idx="28">
                  <c:v>1.1667073661732734</c:v>
                </c:pt>
                <c:pt idx="29">
                  <c:v>1.0920438724303336</c:v>
                </c:pt>
                <c:pt idx="30">
                  <c:v>1.0956767564095611</c:v>
                </c:pt>
                <c:pt idx="31">
                  <c:v>0.99611547207356321</c:v>
                </c:pt>
                <c:pt idx="32">
                  <c:v>1.2983459548028489</c:v>
                </c:pt>
                <c:pt idx="33">
                  <c:v>1.2092955059754107</c:v>
                </c:pt>
                <c:pt idx="34">
                  <c:v>1.3267211651172215</c:v>
                </c:pt>
                <c:pt idx="35">
                  <c:v>1.1071924998106688</c:v>
                </c:pt>
                <c:pt idx="36">
                  <c:v>1.3083810992393374</c:v>
                </c:pt>
                <c:pt idx="37">
                  <c:v>1.1177812404799332</c:v>
                </c:pt>
                <c:pt idx="38">
                  <c:v>0.96342711296050298</c:v>
                </c:pt>
                <c:pt idx="39">
                  <c:v>0.91947858478343236</c:v>
                </c:pt>
                <c:pt idx="40">
                  <c:v>1.0643966625664982</c:v>
                </c:pt>
                <c:pt idx="41">
                  <c:v>0.94446507439341909</c:v>
                </c:pt>
                <c:pt idx="42">
                  <c:v>1.0146260283345059</c:v>
                </c:pt>
                <c:pt idx="43">
                  <c:v>0.85568475095342378</c:v>
                </c:pt>
                <c:pt idx="44">
                  <c:v>0.95370457265828334</c:v>
                </c:pt>
                <c:pt idx="45">
                  <c:v>0.83420317983062875</c:v>
                </c:pt>
                <c:pt idx="46">
                  <c:v>0.93098490777794862</c:v>
                </c:pt>
                <c:pt idx="47">
                  <c:v>0.86463812354773062</c:v>
                </c:pt>
                <c:pt idx="48">
                  <c:v>0.88728956396252878</c:v>
                </c:pt>
                <c:pt idx="49">
                  <c:v>0.8869720897421346</c:v>
                </c:pt>
                <c:pt idx="50">
                  <c:v>0.98696651259110935</c:v>
                </c:pt>
                <c:pt idx="51">
                  <c:v>0.8383858971077085</c:v>
                </c:pt>
                <c:pt idx="52">
                  <c:v>1.0651806470463336</c:v>
                </c:pt>
                <c:pt idx="53">
                  <c:v>1.079469311818182</c:v>
                </c:pt>
                <c:pt idx="54">
                  <c:v>1.0798002604361685</c:v>
                </c:pt>
                <c:pt idx="55">
                  <c:v>1.010871480080779</c:v>
                </c:pt>
                <c:pt idx="56">
                  <c:v>0.83720173032736278</c:v>
                </c:pt>
                <c:pt idx="57">
                  <c:v>1.0226092044676176</c:v>
                </c:pt>
                <c:pt idx="58">
                  <c:v>1.10624455802281</c:v>
                </c:pt>
                <c:pt idx="59">
                  <c:v>1.1330048234598005</c:v>
                </c:pt>
                <c:pt idx="60">
                  <c:v>1.0972817099953069</c:v>
                </c:pt>
                <c:pt idx="61">
                  <c:v>1.1162991646770524</c:v>
                </c:pt>
                <c:pt idx="62">
                  <c:v>1.0997948030086853</c:v>
                </c:pt>
                <c:pt idx="63">
                  <c:v>0.98105732747944596</c:v>
                </c:pt>
                <c:pt idx="64">
                  <c:v>1.0371912009762925</c:v>
                </c:pt>
                <c:pt idx="65">
                  <c:v>0.86424709603257821</c:v>
                </c:pt>
                <c:pt idx="66">
                  <c:v>0.90555009054851632</c:v>
                </c:pt>
                <c:pt idx="67">
                  <c:v>0.95203575388243722</c:v>
                </c:pt>
                <c:pt idx="68">
                  <c:v>1.087995804209331</c:v>
                </c:pt>
                <c:pt idx="69">
                  <c:v>1.1309981688466562</c:v>
                </c:pt>
                <c:pt idx="70">
                  <c:v>1.1201372995409624</c:v>
                </c:pt>
                <c:pt idx="71">
                  <c:v>1.1685334266309761</c:v>
                </c:pt>
                <c:pt idx="72">
                  <c:v>1.3040579540973021</c:v>
                </c:pt>
                <c:pt idx="73">
                  <c:v>1.318839161781012</c:v>
                </c:pt>
                <c:pt idx="74">
                  <c:v>1.46473671955284</c:v>
                </c:pt>
                <c:pt idx="75">
                  <c:v>1.3889777672496237</c:v>
                </c:pt>
                <c:pt idx="76">
                  <c:v>1.3823759754711153</c:v>
                </c:pt>
                <c:pt idx="77">
                  <c:v>1.517342124356545</c:v>
                </c:pt>
                <c:pt idx="78">
                  <c:v>1.6100325011918051</c:v>
                </c:pt>
                <c:pt idx="79">
                  <c:v>1.5572554896303625</c:v>
                </c:pt>
              </c:numCache>
            </c:numRef>
          </c:val>
          <c:smooth val="0"/>
          <c:extLst>
            <c:ext xmlns:c16="http://schemas.microsoft.com/office/drawing/2014/chart" uri="{C3380CC4-5D6E-409C-BE32-E72D297353CC}">
              <c16:uniqueId val="{00000000-C441-4E8B-A226-8220FE377C02}"/>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ajorTimeUnit val="months"/>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Growth of indices, Melbourne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analysis!$BI$2</c:f>
              <c:strCache>
                <c:ptCount val="1"/>
                <c:pt idx="0">
                  <c:v>CPI (Q_st art = 100)</c:v>
                </c:pt>
              </c:strCache>
            </c:strRef>
          </c:tx>
          <c:spPr>
            <a:ln w="19050" cap="rnd">
              <a:solidFill>
                <a:schemeClr val="accent1"/>
              </a:solidFill>
              <a:prstDash val="sysDot"/>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analysis!$BI$3:$BI$82</c:f>
              <c:numCache>
                <c:formatCode>_(* #,##0.00_);_(* \(#,##0.00\);_(* "-"??_);_(@_)</c:formatCode>
                <c:ptCount val="80"/>
                <c:pt idx="0">
                  <c:v>100</c:v>
                </c:pt>
                <c:pt idx="1">
                  <c:v>101.53664302600474</c:v>
                </c:pt>
                <c:pt idx="2">
                  <c:v>102.36406619385343</c:v>
                </c:pt>
                <c:pt idx="3">
                  <c:v>102.48226950354611</c:v>
                </c:pt>
                <c:pt idx="4">
                  <c:v>102.48226950354611</c:v>
                </c:pt>
                <c:pt idx="5">
                  <c:v>103.66430260047282</c:v>
                </c:pt>
                <c:pt idx="6">
                  <c:v>104.25531914893618</c:v>
                </c:pt>
                <c:pt idx="7">
                  <c:v>105.55555555555556</c:v>
                </c:pt>
                <c:pt idx="8">
                  <c:v>106.85579196217495</c:v>
                </c:pt>
                <c:pt idx="9">
                  <c:v>108.274231678487</c:v>
                </c:pt>
                <c:pt idx="10">
                  <c:v>109.45626477541371</c:v>
                </c:pt>
                <c:pt idx="11">
                  <c:v>109.45626477541371</c:v>
                </c:pt>
                <c:pt idx="12">
                  <c:v>109.33806146572105</c:v>
                </c:pt>
                <c:pt idx="13">
                  <c:v>109.9290780141844</c:v>
                </c:pt>
                <c:pt idx="14">
                  <c:v>110.75650118203311</c:v>
                </c:pt>
                <c:pt idx="15">
                  <c:v>111.70212765957447</c:v>
                </c:pt>
                <c:pt idx="16">
                  <c:v>112.52955082742318</c:v>
                </c:pt>
                <c:pt idx="17">
                  <c:v>113.2387706855792</c:v>
                </c:pt>
                <c:pt idx="18">
                  <c:v>113.94799054373523</c:v>
                </c:pt>
                <c:pt idx="19">
                  <c:v>114.65721040189126</c:v>
                </c:pt>
                <c:pt idx="20">
                  <c:v>116.31205673758866</c:v>
                </c:pt>
                <c:pt idx="21">
                  <c:v>117.3758865248227</c:v>
                </c:pt>
                <c:pt idx="22">
                  <c:v>117.84869976359339</c:v>
                </c:pt>
                <c:pt idx="23">
                  <c:v>118.08510638297874</c:v>
                </c:pt>
                <c:pt idx="24">
                  <c:v>118.08510638297874</c:v>
                </c:pt>
                <c:pt idx="25">
                  <c:v>118.79432624113475</c:v>
                </c:pt>
                <c:pt idx="26">
                  <c:v>120.09456264775415</c:v>
                </c:pt>
                <c:pt idx="27">
                  <c:v>120.56737588652483</c:v>
                </c:pt>
                <c:pt idx="28">
                  <c:v>121.04018912529551</c:v>
                </c:pt>
                <c:pt idx="29">
                  <c:v>121.63120567375887</c:v>
                </c:pt>
                <c:pt idx="30">
                  <c:v>122.81323877068559</c:v>
                </c:pt>
                <c:pt idx="31">
                  <c:v>123.75886524822695</c:v>
                </c:pt>
                <c:pt idx="32">
                  <c:v>124.58628841607566</c:v>
                </c:pt>
                <c:pt idx="33">
                  <c:v>125.41371158392435</c:v>
                </c:pt>
                <c:pt idx="34">
                  <c:v>125.6501182033097</c:v>
                </c:pt>
                <c:pt idx="35">
                  <c:v>125.88652482269504</c:v>
                </c:pt>
                <c:pt idx="36">
                  <c:v>126.24113475177306</c:v>
                </c:pt>
                <c:pt idx="37">
                  <c:v>127.3049645390071</c:v>
                </c:pt>
                <c:pt idx="38">
                  <c:v>127.42316784869978</c:v>
                </c:pt>
                <c:pt idx="39">
                  <c:v>128.01418439716312</c:v>
                </c:pt>
                <c:pt idx="40">
                  <c:v>127.89598108747046</c:v>
                </c:pt>
                <c:pt idx="41">
                  <c:v>128.60520094562648</c:v>
                </c:pt>
                <c:pt idx="42">
                  <c:v>129.19621749408984</c:v>
                </c:pt>
                <c:pt idx="43">
                  <c:v>129.78723404255319</c:v>
                </c:pt>
                <c:pt idx="44">
                  <c:v>130.6146572104019</c:v>
                </c:pt>
                <c:pt idx="45">
                  <c:v>131.0874704491726</c:v>
                </c:pt>
                <c:pt idx="46">
                  <c:v>131.56028368794327</c:v>
                </c:pt>
                <c:pt idx="47">
                  <c:v>132.50591016548464</c:v>
                </c:pt>
                <c:pt idx="48">
                  <c:v>133.21513002364068</c:v>
                </c:pt>
                <c:pt idx="49">
                  <c:v>133.80614657210404</c:v>
                </c:pt>
                <c:pt idx="50">
                  <c:v>134.16075650118205</c:v>
                </c:pt>
                <c:pt idx="51">
                  <c:v>134.75177304964541</c:v>
                </c:pt>
                <c:pt idx="52">
                  <c:v>134.86997635933807</c:v>
                </c:pt>
                <c:pt idx="53">
                  <c:v>135.81560283687944</c:v>
                </c:pt>
                <c:pt idx="54">
                  <c:v>136.40661938534279</c:v>
                </c:pt>
                <c:pt idx="55">
                  <c:v>137.2340425531915</c:v>
                </c:pt>
                <c:pt idx="56">
                  <c:v>137.94326241134752</c:v>
                </c:pt>
                <c:pt idx="57">
                  <c:v>135.34278959810877</c:v>
                </c:pt>
                <c:pt idx="58">
                  <c:v>137.35224586288416</c:v>
                </c:pt>
                <c:pt idx="59">
                  <c:v>138.53427895981088</c:v>
                </c:pt>
                <c:pt idx="60">
                  <c:v>139.24349881796692</c:v>
                </c:pt>
                <c:pt idx="61">
                  <c:v>140.42553191489364</c:v>
                </c:pt>
                <c:pt idx="62">
                  <c:v>141.60756501182033</c:v>
                </c:pt>
                <c:pt idx="63">
                  <c:v>143.49881796690309</c:v>
                </c:pt>
                <c:pt idx="64">
                  <c:v>146.45390070921988</c:v>
                </c:pt>
                <c:pt idx="65">
                  <c:v>149.05437352245863</c:v>
                </c:pt>
                <c:pt idx="66">
                  <c:v>151.77304964539007</c:v>
                </c:pt>
                <c:pt idx="67">
                  <c:v>154.84633569739952</c:v>
                </c:pt>
                <c:pt idx="68">
                  <c:v>156.85579196217492</c:v>
                </c:pt>
                <c:pt idx="69">
                  <c:v>158.15602836879435</c:v>
                </c:pt>
                <c:pt idx="70">
                  <c:v>159.81087470449171</c:v>
                </c:pt>
                <c:pt idx="71">
                  <c:v>161.11111111111114</c:v>
                </c:pt>
                <c:pt idx="72">
                  <c:v>162.52955082742318</c:v>
                </c:pt>
                <c:pt idx="73">
                  <c:v>164.18439716312056</c:v>
                </c:pt>
                <c:pt idx="74">
                  <c:v>164.42080378250591</c:v>
                </c:pt>
                <c:pt idx="75">
                  <c:v>164.89361702127661</c:v>
                </c:pt>
                <c:pt idx="76">
                  <c:v>166.43026004728137</c:v>
                </c:pt>
                <c:pt idx="77">
                  <c:v>167.61229314420808</c:v>
                </c:pt>
                <c:pt idx="78">
                  <c:v>169.73995271867614</c:v>
                </c:pt>
                <c:pt idx="79">
                  <c:v>171.04018912529551</c:v>
                </c:pt>
              </c:numCache>
            </c:numRef>
          </c:val>
          <c:smooth val="0"/>
          <c:extLst>
            <c:ext xmlns:c16="http://schemas.microsoft.com/office/drawing/2014/chart" uri="{C3380CC4-5D6E-409C-BE32-E72D297353CC}">
              <c16:uniqueId val="{00000000-A50B-42C3-8714-611302F37D5D}"/>
            </c:ext>
          </c:extLst>
        </c:ser>
        <c:ser>
          <c:idx val="1"/>
          <c:order val="1"/>
          <c:tx>
            <c:strRef>
              <c:f>analysis!$BJ$2</c:f>
              <c:strCache>
                <c:ptCount val="1"/>
                <c:pt idx="0">
                  <c:v>MSCI World (Q_start=100)</c:v>
                </c:pt>
              </c:strCache>
            </c:strRef>
          </c:tx>
          <c:spPr>
            <a:ln w="19050" cap="rnd">
              <a:solidFill>
                <a:srgbClr val="FF0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analysis!$BJ$3:$BJ$82</c:f>
              <c:numCache>
                <c:formatCode>_(* #,##0.00_);_(* \(#,##0.00\);_(* "-"??_);_(@_)</c:formatCode>
                <c:ptCount val="80"/>
                <c:pt idx="0">
                  <c:v>100</c:v>
                </c:pt>
                <c:pt idx="1">
                  <c:v>107.21181327548136</c:v>
                </c:pt>
                <c:pt idx="2">
                  <c:v>106.3276473895915</c:v>
                </c:pt>
                <c:pt idx="3">
                  <c:v>110.63141762349176</c:v>
                </c:pt>
                <c:pt idx="4">
                  <c:v>120.09600057935597</c:v>
                </c:pt>
                <c:pt idx="5">
                  <c:v>123.47632396180853</c:v>
                </c:pt>
                <c:pt idx="6">
                  <c:v>131.37271275432553</c:v>
                </c:pt>
                <c:pt idx="7">
                  <c:v>133.77896505407139</c:v>
                </c:pt>
                <c:pt idx="8">
                  <c:v>130.28618334215415</c:v>
                </c:pt>
                <c:pt idx="9">
                  <c:v>118.56173473997831</c:v>
                </c:pt>
                <c:pt idx="10">
                  <c:v>116.8122339179194</c:v>
                </c:pt>
                <c:pt idx="11">
                  <c:v>99.043604583459881</c:v>
                </c:pt>
                <c:pt idx="12">
                  <c:v>77.099819298205958</c:v>
                </c:pt>
                <c:pt idx="13">
                  <c:v>68.031276049393796</c:v>
                </c:pt>
                <c:pt idx="14">
                  <c:v>82.709344629523997</c:v>
                </c:pt>
                <c:pt idx="15">
                  <c:v>97.613356787298372</c:v>
                </c:pt>
                <c:pt idx="16">
                  <c:v>101.43884545849789</c:v>
                </c:pt>
                <c:pt idx="17">
                  <c:v>105.26674246073921</c:v>
                </c:pt>
                <c:pt idx="18">
                  <c:v>92.224001000339641</c:v>
                </c:pt>
                <c:pt idx="19">
                  <c:v>105.03262314234105</c:v>
                </c:pt>
                <c:pt idx="20">
                  <c:v>115.17381902105713</c:v>
                </c:pt>
                <c:pt idx="21">
                  <c:v>120.92498256652478</c:v>
                </c:pt>
                <c:pt idx="22">
                  <c:v>121.31801238966038</c:v>
                </c:pt>
                <c:pt idx="23">
                  <c:v>100.5125194724593</c:v>
                </c:pt>
                <c:pt idx="24">
                  <c:v>108.22592001362189</c:v>
                </c:pt>
                <c:pt idx="25">
                  <c:v>121.02422951783765</c:v>
                </c:pt>
                <c:pt idx="26">
                  <c:v>114.69456564776658</c:v>
                </c:pt>
                <c:pt idx="27">
                  <c:v>122.39031092336657</c:v>
                </c:pt>
                <c:pt idx="28">
                  <c:v>125.60295617786929</c:v>
                </c:pt>
                <c:pt idx="29">
                  <c:v>135.74420080608061</c:v>
                </c:pt>
                <c:pt idx="30">
                  <c:v>136.51427048544301</c:v>
                </c:pt>
                <c:pt idx="31">
                  <c:v>148.29345801472445</c:v>
                </c:pt>
                <c:pt idx="32">
                  <c:v>160.03975049738099</c:v>
                </c:pt>
                <c:pt idx="33">
                  <c:v>162.39941126188398</c:v>
                </c:pt>
                <c:pt idx="34">
                  <c:v>169.95333591014156</c:v>
                </c:pt>
                <c:pt idx="35">
                  <c:v>165.23061688574342</c:v>
                </c:pt>
                <c:pt idx="36">
                  <c:v>167.2707301403058</c:v>
                </c:pt>
                <c:pt idx="37">
                  <c:v>171.61773071123525</c:v>
                </c:pt>
                <c:pt idx="38">
                  <c:v>172.41252168354035</c:v>
                </c:pt>
                <c:pt idx="39">
                  <c:v>157.54637874303378</c:v>
                </c:pt>
                <c:pt idx="40">
                  <c:v>165.94025216028786</c:v>
                </c:pt>
                <c:pt idx="41">
                  <c:v>165.57963108106787</c:v>
                </c:pt>
                <c:pt idx="42">
                  <c:v>167.38026720925703</c:v>
                </c:pt>
                <c:pt idx="43">
                  <c:v>176.05798840419337</c:v>
                </c:pt>
                <c:pt idx="44">
                  <c:v>179.53868222836397</c:v>
                </c:pt>
                <c:pt idx="45">
                  <c:v>190.70829189477206</c:v>
                </c:pt>
                <c:pt idx="46">
                  <c:v>198.44440095759853</c:v>
                </c:pt>
                <c:pt idx="47">
                  <c:v>208.42381461538773</c:v>
                </c:pt>
                <c:pt idx="48">
                  <c:v>219.81871331798365</c:v>
                </c:pt>
                <c:pt idx="49">
                  <c:v>217.22097697509543</c:v>
                </c:pt>
                <c:pt idx="50">
                  <c:v>221.43994838933332</c:v>
                </c:pt>
                <c:pt idx="51">
                  <c:v>231.53855125118753</c:v>
                </c:pt>
                <c:pt idx="52">
                  <c:v>199.12536689244348</c:v>
                </c:pt>
                <c:pt idx="53">
                  <c:v>224.29400441178427</c:v>
                </c:pt>
                <c:pt idx="54">
                  <c:v>232.67927539772964</c:v>
                </c:pt>
                <c:pt idx="55">
                  <c:v>233.51467999842427</c:v>
                </c:pt>
                <c:pt idx="56">
                  <c:v>253.84774076246714</c:v>
                </c:pt>
                <c:pt idx="57">
                  <c:v>197.57431493271579</c:v>
                </c:pt>
                <c:pt idx="58">
                  <c:v>236.96380335804304</c:v>
                </c:pt>
                <c:pt idx="59">
                  <c:v>255.62200142666194</c:v>
                </c:pt>
                <c:pt idx="60">
                  <c:v>294.21119204132276</c:v>
                </c:pt>
                <c:pt idx="61">
                  <c:v>310.32570304776715</c:v>
                </c:pt>
                <c:pt idx="62">
                  <c:v>333.24601225717834</c:v>
                </c:pt>
                <c:pt idx="63">
                  <c:v>332.61139848165806</c:v>
                </c:pt>
                <c:pt idx="64">
                  <c:v>356.10864207060962</c:v>
                </c:pt>
                <c:pt idx="65">
                  <c:v>337.17844659073722</c:v>
                </c:pt>
                <c:pt idx="66">
                  <c:v>282.19695630380454</c:v>
                </c:pt>
                <c:pt idx="67">
                  <c:v>265.04184479821646</c:v>
                </c:pt>
                <c:pt idx="68">
                  <c:v>291.23097351744474</c:v>
                </c:pt>
                <c:pt idx="69">
                  <c:v>312.59977188601005</c:v>
                </c:pt>
                <c:pt idx="70">
                  <c:v>332.68981469417383</c:v>
                </c:pt>
                <c:pt idx="71">
                  <c:v>320.84385519322234</c:v>
                </c:pt>
                <c:pt idx="72">
                  <c:v>357.853121032302</c:v>
                </c:pt>
                <c:pt idx="73">
                  <c:v>387.88856492244037</c:v>
                </c:pt>
                <c:pt idx="74">
                  <c:v>395.87730618942362</c:v>
                </c:pt>
                <c:pt idx="75">
                  <c:v>422.28036080842037</c:v>
                </c:pt>
                <c:pt idx="76">
                  <c:v>420.53742778860141</c:v>
                </c:pt>
                <c:pt idx="77">
                  <c:v>412.17488625480973</c:v>
                </c:pt>
                <c:pt idx="78">
                  <c:v>459.51259359156273</c:v>
                </c:pt>
                <c:pt idx="79">
                  <c:v>493.52641662486235</c:v>
                </c:pt>
              </c:numCache>
            </c:numRef>
          </c:val>
          <c:smooth val="0"/>
          <c:extLst>
            <c:ext xmlns:c16="http://schemas.microsoft.com/office/drawing/2014/chart" uri="{C3380CC4-5D6E-409C-BE32-E72D297353CC}">
              <c16:uniqueId val="{00000001-A50B-42C3-8714-611302F37D5D}"/>
            </c:ext>
          </c:extLst>
        </c:ser>
        <c:ser>
          <c:idx val="2"/>
          <c:order val="2"/>
          <c:tx>
            <c:strRef>
              <c:f>analysis!$BK$2</c:f>
              <c:strCache>
                <c:ptCount val="1"/>
                <c:pt idx="0">
                  <c:v>MSCI Aus (Q_start=100)</c:v>
                </c:pt>
              </c:strCache>
            </c:strRef>
          </c:tx>
          <c:spPr>
            <a:ln w="19050" cap="rnd">
              <a:solidFill>
                <a:srgbClr val="FFC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analysis!$BK$3:$BK$82</c:f>
              <c:numCache>
                <c:formatCode>_(* #,##0.00_);_(* \(#,##0.00\);_(* "-"??_);_(@_)</c:formatCode>
                <c:ptCount val="80"/>
                <c:pt idx="0">
                  <c:v>100</c:v>
                </c:pt>
                <c:pt idx="1">
                  <c:v>109.43777704215839</c:v>
                </c:pt>
                <c:pt idx="2">
                  <c:v>109.40737896360702</c:v>
                </c:pt>
                <c:pt idx="3">
                  <c:v>112.38286632194978</c:v>
                </c:pt>
                <c:pt idx="4">
                  <c:v>124.17613208738743</c:v>
                </c:pt>
                <c:pt idx="5">
                  <c:v>132.69921485097811</c:v>
                </c:pt>
                <c:pt idx="6">
                  <c:v>140.39895396273877</c:v>
                </c:pt>
                <c:pt idx="7">
                  <c:v>148.82638625649071</c:v>
                </c:pt>
                <c:pt idx="8">
                  <c:v>144.48567514971225</c:v>
                </c:pt>
                <c:pt idx="9">
                  <c:v>123.59997274839783</c:v>
                </c:pt>
                <c:pt idx="10">
                  <c:v>121.6640528293176</c:v>
                </c:pt>
                <c:pt idx="11">
                  <c:v>108.80667337781247</c:v>
                </c:pt>
                <c:pt idx="12">
                  <c:v>88.457223238272576</c:v>
                </c:pt>
                <c:pt idx="13">
                  <c:v>87.193141601016094</c:v>
                </c:pt>
                <c:pt idx="14">
                  <c:v>97.403235040312381</c:v>
                </c:pt>
                <c:pt idx="15">
                  <c:v>119.1353557212046</c:v>
                </c:pt>
                <c:pt idx="16">
                  <c:v>123.19736332992677</c:v>
                </c:pt>
                <c:pt idx="17">
                  <c:v>125.3374922739123</c:v>
                </c:pt>
                <c:pt idx="18">
                  <c:v>110.35324724491825</c:v>
                </c:pt>
                <c:pt idx="19">
                  <c:v>120.0536367556367</c:v>
                </c:pt>
                <c:pt idx="20">
                  <c:v>125.49815500810108</c:v>
                </c:pt>
                <c:pt idx="21">
                  <c:v>129.68345419378869</c:v>
                </c:pt>
                <c:pt idx="22">
                  <c:v>124.0087645939373</c:v>
                </c:pt>
                <c:pt idx="23">
                  <c:v>108.87999919579919</c:v>
                </c:pt>
                <c:pt idx="24">
                  <c:v>110.87585715480799</c:v>
                </c:pt>
                <c:pt idx="25">
                  <c:v>120.41856784515979</c:v>
                </c:pt>
                <c:pt idx="26">
                  <c:v>114.04557676875227</c:v>
                </c:pt>
                <c:pt idx="27">
                  <c:v>123.89771163615318</c:v>
                </c:pt>
                <c:pt idx="28">
                  <c:v>132.36398333992017</c:v>
                </c:pt>
                <c:pt idx="29">
                  <c:v>143.28610714873224</c:v>
                </c:pt>
                <c:pt idx="30">
                  <c:v>138.62721424474736</c:v>
                </c:pt>
                <c:pt idx="31">
                  <c:v>152.66830069587706</c:v>
                </c:pt>
                <c:pt idx="32">
                  <c:v>157.76103200341271</c:v>
                </c:pt>
                <c:pt idx="33">
                  <c:v>161.2354750851913</c:v>
                </c:pt>
                <c:pt idx="34">
                  <c:v>162.46513216960426</c:v>
                </c:pt>
                <c:pt idx="35">
                  <c:v>161.38782945540277</c:v>
                </c:pt>
                <c:pt idx="36">
                  <c:v>165.69455180045574</c:v>
                </c:pt>
                <c:pt idx="37">
                  <c:v>182.61005769685053</c:v>
                </c:pt>
                <c:pt idx="38">
                  <c:v>170.44045986176764</c:v>
                </c:pt>
                <c:pt idx="39">
                  <c:v>158.66764710457753</c:v>
                </c:pt>
                <c:pt idx="40">
                  <c:v>168.89654464308245</c:v>
                </c:pt>
                <c:pt idx="41">
                  <c:v>164.2694131551666</c:v>
                </c:pt>
                <c:pt idx="42">
                  <c:v>170.90526341934137</c:v>
                </c:pt>
                <c:pt idx="43">
                  <c:v>180.16224914289867</c:v>
                </c:pt>
                <c:pt idx="44">
                  <c:v>190.24428072652827</c:v>
                </c:pt>
                <c:pt idx="45">
                  <c:v>199.74135734026328</c:v>
                </c:pt>
                <c:pt idx="46">
                  <c:v>195.91744470681382</c:v>
                </c:pt>
                <c:pt idx="47">
                  <c:v>197.90470802901882</c:v>
                </c:pt>
                <c:pt idx="48">
                  <c:v>213.4075008673008</c:v>
                </c:pt>
                <c:pt idx="49">
                  <c:v>204.91246989522486</c:v>
                </c:pt>
                <c:pt idx="50">
                  <c:v>223.12344546999952</c:v>
                </c:pt>
                <c:pt idx="51">
                  <c:v>225.85612452035926</c:v>
                </c:pt>
                <c:pt idx="52">
                  <c:v>207.31821485814123</c:v>
                </c:pt>
                <c:pt idx="53">
                  <c:v>229.67176750188432</c:v>
                </c:pt>
                <c:pt idx="54">
                  <c:v>248.12447403942869</c:v>
                </c:pt>
                <c:pt idx="55">
                  <c:v>254.96097743007783</c:v>
                </c:pt>
                <c:pt idx="56">
                  <c:v>255.20796804239237</c:v>
                </c:pt>
                <c:pt idx="57">
                  <c:v>194.19317115542438</c:v>
                </c:pt>
                <c:pt idx="58">
                  <c:v>227.4505971191806</c:v>
                </c:pt>
                <c:pt idx="59">
                  <c:v>227.36090830549944</c:v>
                </c:pt>
                <c:pt idx="60">
                  <c:v>259.41837017103796</c:v>
                </c:pt>
                <c:pt idx="61">
                  <c:v>270.82530227131878</c:v>
                </c:pt>
                <c:pt idx="62">
                  <c:v>293.85946989254734</c:v>
                </c:pt>
                <c:pt idx="63">
                  <c:v>298.0712046415382</c:v>
                </c:pt>
                <c:pt idx="64">
                  <c:v>304.79207204421903</c:v>
                </c:pt>
                <c:pt idx="65">
                  <c:v>312.58655539910018</c:v>
                </c:pt>
                <c:pt idx="66">
                  <c:v>274.82320356188706</c:v>
                </c:pt>
                <c:pt idx="67">
                  <c:v>276.05705641569335</c:v>
                </c:pt>
                <c:pt idx="68">
                  <c:v>301.55345339164973</c:v>
                </c:pt>
                <c:pt idx="69">
                  <c:v>311.62364652090639</c:v>
                </c:pt>
                <c:pt idx="70">
                  <c:v>314.94298415201342</c:v>
                </c:pt>
                <c:pt idx="71">
                  <c:v>313.52753796685647</c:v>
                </c:pt>
                <c:pt idx="72">
                  <c:v>340.36923194250375</c:v>
                </c:pt>
                <c:pt idx="73">
                  <c:v>359.54771555567845</c:v>
                </c:pt>
                <c:pt idx="74">
                  <c:v>355.47322120595709</c:v>
                </c:pt>
                <c:pt idx="75">
                  <c:v>382.61865149208802</c:v>
                </c:pt>
                <c:pt idx="76">
                  <c:v>378.39451205481896</c:v>
                </c:pt>
                <c:pt idx="77">
                  <c:v>367.43945130198153</c:v>
                </c:pt>
                <c:pt idx="78">
                  <c:v>401.88211128753886</c:v>
                </c:pt>
                <c:pt idx="79">
                  <c:v>420.35884917353138</c:v>
                </c:pt>
              </c:numCache>
            </c:numRef>
          </c:val>
          <c:smooth val="0"/>
          <c:extLst>
            <c:ext xmlns:c16="http://schemas.microsoft.com/office/drawing/2014/chart" uri="{C3380CC4-5D6E-409C-BE32-E72D297353CC}">
              <c16:uniqueId val="{00000002-A50B-42C3-8714-611302F37D5D}"/>
            </c:ext>
          </c:extLst>
        </c:ser>
        <c:ser>
          <c:idx val="3"/>
          <c:order val="3"/>
          <c:tx>
            <c:strRef>
              <c:f>analysis!$BL$2</c:f>
              <c:strCache>
                <c:ptCount val="1"/>
                <c:pt idx="0">
                  <c:v>Portfolio index (Q_start=100)</c:v>
                </c:pt>
              </c:strCache>
            </c:strRef>
          </c:tx>
          <c:spPr>
            <a:ln w="19050" cap="rnd">
              <a:solidFill>
                <a:schemeClr val="accent4"/>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analysis!$BL$3:$BL$82</c:f>
              <c:numCache>
                <c:formatCode>_(* #,##0.00_);_(* \(#,##0.00\);_(* "-"??_);_(@_)</c:formatCode>
                <c:ptCount val="80"/>
                <c:pt idx="0">
                  <c:v>100</c:v>
                </c:pt>
                <c:pt idx="1">
                  <c:v>107.87960240548446</c:v>
                </c:pt>
                <c:pt idx="2">
                  <c:v>107.25156686179616</c:v>
                </c:pt>
                <c:pt idx="3">
                  <c:v>111.15685223302917</c:v>
                </c:pt>
                <c:pt idx="4">
                  <c:v>121.32004003176542</c:v>
                </c:pt>
                <c:pt idx="5">
                  <c:v>126.2431912285594</c:v>
                </c:pt>
                <c:pt idx="6">
                  <c:v>134.08058511684951</c:v>
                </c:pt>
                <c:pt idx="7">
                  <c:v>138.29319141479718</c:v>
                </c:pt>
                <c:pt idx="8">
                  <c:v>134.54603088442158</c:v>
                </c:pt>
                <c:pt idx="9">
                  <c:v>120.07320614250416</c:v>
                </c:pt>
                <c:pt idx="10">
                  <c:v>118.26777959133886</c:v>
                </c:pt>
                <c:pt idx="11">
                  <c:v>101.97252522176566</c:v>
                </c:pt>
                <c:pt idx="12">
                  <c:v>80.507040480225939</c:v>
                </c:pt>
                <c:pt idx="13">
                  <c:v>73.779835714880477</c:v>
                </c:pt>
                <c:pt idx="14">
                  <c:v>87.117511752760507</c:v>
                </c:pt>
                <c:pt idx="15">
                  <c:v>104.06995646747023</c:v>
                </c:pt>
                <c:pt idx="16">
                  <c:v>107.96640081992655</c:v>
                </c:pt>
                <c:pt idx="17">
                  <c:v>111.28796740469113</c:v>
                </c:pt>
                <c:pt idx="18">
                  <c:v>97.662774873713232</c:v>
                </c:pt>
                <c:pt idx="19">
                  <c:v>109.53892722632975</c:v>
                </c:pt>
                <c:pt idx="20">
                  <c:v>118.2711198171703</c:v>
                </c:pt>
                <c:pt idx="21">
                  <c:v>123.55252405470395</c:v>
                </c:pt>
                <c:pt idx="22">
                  <c:v>122.12523805094347</c:v>
                </c:pt>
                <c:pt idx="23">
                  <c:v>103.02276338946128</c:v>
                </c:pt>
                <c:pt idx="24">
                  <c:v>109.02090115597773</c:v>
                </c:pt>
                <c:pt idx="25">
                  <c:v>120.8425310160343</c:v>
                </c:pt>
                <c:pt idx="26">
                  <c:v>114.49986898406229</c:v>
                </c:pt>
                <c:pt idx="27">
                  <c:v>122.84253113720254</c:v>
                </c:pt>
                <c:pt idx="28">
                  <c:v>127.63126432648455</c:v>
                </c:pt>
                <c:pt idx="29">
                  <c:v>138.0067727088761</c:v>
                </c:pt>
                <c:pt idx="30">
                  <c:v>137.14815361323431</c:v>
                </c:pt>
                <c:pt idx="31">
                  <c:v>149.60591081907023</c:v>
                </c:pt>
                <c:pt idx="32">
                  <c:v>159.3561349491905</c:v>
                </c:pt>
                <c:pt idx="33">
                  <c:v>162.05023040887616</c:v>
                </c:pt>
                <c:pt idx="34">
                  <c:v>167.70687478798038</c:v>
                </c:pt>
                <c:pt idx="35">
                  <c:v>164.07778065664121</c:v>
                </c:pt>
                <c:pt idx="36">
                  <c:v>166.79787663835077</c:v>
                </c:pt>
                <c:pt idx="37">
                  <c:v>174.91542880691983</c:v>
                </c:pt>
                <c:pt idx="38">
                  <c:v>171.82090313700854</c:v>
                </c:pt>
                <c:pt idx="39">
                  <c:v>157.88275925149691</c:v>
                </c:pt>
                <c:pt idx="40">
                  <c:v>166.82713990512624</c:v>
                </c:pt>
                <c:pt idx="41">
                  <c:v>165.1865657032975</c:v>
                </c:pt>
                <c:pt idx="42">
                  <c:v>168.43776607228233</c:v>
                </c:pt>
                <c:pt idx="43">
                  <c:v>177.28926662580494</c:v>
                </c:pt>
                <c:pt idx="44">
                  <c:v>182.75036177781325</c:v>
                </c:pt>
                <c:pt idx="45">
                  <c:v>193.41821152841945</c:v>
                </c:pt>
                <c:pt idx="46">
                  <c:v>197.68631408236314</c:v>
                </c:pt>
                <c:pt idx="47">
                  <c:v>205.26808263947706</c:v>
                </c:pt>
                <c:pt idx="48">
                  <c:v>217.89534958277881</c:v>
                </c:pt>
                <c:pt idx="49">
                  <c:v>213.52842485113428</c:v>
                </c:pt>
                <c:pt idx="50">
                  <c:v>221.94499751353317</c:v>
                </c:pt>
                <c:pt idx="51">
                  <c:v>229.83382323193905</c:v>
                </c:pt>
                <c:pt idx="52">
                  <c:v>201.58322128215281</c:v>
                </c:pt>
                <c:pt idx="53">
                  <c:v>225.90733333881428</c:v>
                </c:pt>
                <c:pt idx="54">
                  <c:v>237.31283499023937</c:v>
                </c:pt>
                <c:pt idx="55">
                  <c:v>239.94856922792033</c:v>
                </c:pt>
                <c:pt idx="56">
                  <c:v>254.25580894644472</c:v>
                </c:pt>
                <c:pt idx="57">
                  <c:v>196.55997179952837</c:v>
                </c:pt>
                <c:pt idx="58">
                  <c:v>234.10984148638431</c:v>
                </c:pt>
                <c:pt idx="59">
                  <c:v>247.14367349031318</c:v>
                </c:pt>
                <c:pt idx="60">
                  <c:v>283.77334548023731</c:v>
                </c:pt>
                <c:pt idx="61">
                  <c:v>298.47558281483265</c:v>
                </c:pt>
                <c:pt idx="62">
                  <c:v>321.43004954778905</c:v>
                </c:pt>
                <c:pt idx="63">
                  <c:v>322.2493403296221</c:v>
                </c:pt>
                <c:pt idx="64">
                  <c:v>340.71367106269247</c:v>
                </c:pt>
                <c:pt idx="65">
                  <c:v>329.80087923324612</c:v>
                </c:pt>
                <c:pt idx="66">
                  <c:v>279.98483048122927</c:v>
                </c:pt>
                <c:pt idx="67">
                  <c:v>268.34640828345954</c:v>
                </c:pt>
                <c:pt idx="68">
                  <c:v>294.32771747970622</c:v>
                </c:pt>
                <c:pt idx="69">
                  <c:v>312.30693427647896</c:v>
                </c:pt>
                <c:pt idx="70">
                  <c:v>327.36576553152571</c:v>
                </c:pt>
                <c:pt idx="71">
                  <c:v>318.64896002531259</c:v>
                </c:pt>
                <c:pt idx="72">
                  <c:v>352.60795430536251</c:v>
                </c:pt>
                <c:pt idx="73">
                  <c:v>379.38631011241176</c:v>
                </c:pt>
                <c:pt idx="74">
                  <c:v>383.75608069438363</c:v>
                </c:pt>
                <c:pt idx="75">
                  <c:v>410.38184801352065</c:v>
                </c:pt>
                <c:pt idx="76">
                  <c:v>407.89455306846668</c:v>
                </c:pt>
                <c:pt idx="77">
                  <c:v>398.75425576896129</c:v>
                </c:pt>
                <c:pt idx="78">
                  <c:v>442.22344890035555</c:v>
                </c:pt>
                <c:pt idx="79">
                  <c:v>471.57614638946308</c:v>
                </c:pt>
              </c:numCache>
            </c:numRef>
          </c:val>
          <c:smooth val="0"/>
          <c:extLst>
            <c:ext xmlns:c16="http://schemas.microsoft.com/office/drawing/2014/chart" uri="{C3380CC4-5D6E-409C-BE32-E72D297353CC}">
              <c16:uniqueId val="{00000003-A50B-42C3-8714-611302F37D5D}"/>
            </c:ext>
          </c:extLst>
        </c:ser>
        <c:ser>
          <c:idx val="5"/>
          <c:order val="4"/>
          <c:tx>
            <c:strRef>
              <c:f>analysis!$BN$2</c:f>
              <c:strCache>
                <c:ptCount val="1"/>
                <c:pt idx="0">
                  <c:v>Median home price (Q_start = 100)</c:v>
                </c:pt>
              </c:strCache>
            </c:strRef>
          </c:tx>
          <c:spPr>
            <a:ln w="19050" cap="rnd">
              <a:solidFill>
                <a:schemeClr val="accent6"/>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analysis!$BN$3:$BN$82</c:f>
              <c:numCache>
                <c:formatCode>_(* #,##0.00_);_(* \(#,##0.00\);_(* "-"??_);_(@_)</c:formatCode>
                <c:ptCount val="80"/>
                <c:pt idx="0">
                  <c:v>100</c:v>
                </c:pt>
                <c:pt idx="1">
                  <c:v>104.54545454545455</c:v>
                </c:pt>
                <c:pt idx="2">
                  <c:v>104.84848484848484</c:v>
                </c:pt>
                <c:pt idx="3">
                  <c:v>109.09090909090909</c:v>
                </c:pt>
                <c:pt idx="4">
                  <c:v>104.54545454545455</c:v>
                </c:pt>
                <c:pt idx="5">
                  <c:v>109.6969696969697</c:v>
                </c:pt>
                <c:pt idx="6">
                  <c:v>112.12121212121212</c:v>
                </c:pt>
                <c:pt idx="7">
                  <c:v>124.24242424242425</c:v>
                </c:pt>
                <c:pt idx="8">
                  <c:v>116.66666666666667</c:v>
                </c:pt>
                <c:pt idx="9">
                  <c:v>121.21212121212122</c:v>
                </c:pt>
                <c:pt idx="10">
                  <c:v>116.66666666666667</c:v>
                </c:pt>
                <c:pt idx="11">
                  <c:v>116.66666666666667</c:v>
                </c:pt>
                <c:pt idx="12">
                  <c:v>113.63636363636364</c:v>
                </c:pt>
                <c:pt idx="13">
                  <c:v>121.21212121212122</c:v>
                </c:pt>
                <c:pt idx="14">
                  <c:v>127.87878787878788</c:v>
                </c:pt>
                <c:pt idx="15">
                  <c:v>144.69696969696969</c:v>
                </c:pt>
                <c:pt idx="16">
                  <c:v>141.81818181818181</c:v>
                </c:pt>
                <c:pt idx="17">
                  <c:v>151.5151515151515</c:v>
                </c:pt>
                <c:pt idx="18">
                  <c:v>147.96969696969697</c:v>
                </c:pt>
                <c:pt idx="19">
                  <c:v>157.57575757575756</c:v>
                </c:pt>
                <c:pt idx="20">
                  <c:v>146.96969696969697</c:v>
                </c:pt>
                <c:pt idx="21">
                  <c:v>152.27272727272728</c:v>
                </c:pt>
                <c:pt idx="22">
                  <c:v>147.57575757575756</c:v>
                </c:pt>
                <c:pt idx="23">
                  <c:v>150</c:v>
                </c:pt>
                <c:pt idx="24">
                  <c:v>144.84848484848484</c:v>
                </c:pt>
                <c:pt idx="25">
                  <c:v>146.96969696969697</c:v>
                </c:pt>
                <c:pt idx="26">
                  <c:v>145.45454545454547</c:v>
                </c:pt>
                <c:pt idx="27">
                  <c:v>153.93939393939394</c:v>
                </c:pt>
                <c:pt idx="28">
                  <c:v>147.27272727272728</c:v>
                </c:pt>
                <c:pt idx="29">
                  <c:v>151.5151515151515</c:v>
                </c:pt>
                <c:pt idx="30">
                  <c:v>157.57575757575756</c:v>
                </c:pt>
                <c:pt idx="31">
                  <c:v>170</c:v>
                </c:pt>
                <c:pt idx="32">
                  <c:v>152.72727272727272</c:v>
                </c:pt>
                <c:pt idx="33">
                  <c:v>160.27272727272728</c:v>
                </c:pt>
                <c:pt idx="34">
                  <c:v>153.03030303030303</c:v>
                </c:pt>
                <c:pt idx="35">
                  <c:v>167.42424242424244</c:v>
                </c:pt>
                <c:pt idx="36">
                  <c:v>159.09090909090909</c:v>
                </c:pt>
                <c:pt idx="37">
                  <c:v>170</c:v>
                </c:pt>
                <c:pt idx="38">
                  <c:v>175.75757575757575</c:v>
                </c:pt>
                <c:pt idx="39">
                  <c:v>185.54545454545453</c:v>
                </c:pt>
                <c:pt idx="40">
                  <c:v>172.12121212121212</c:v>
                </c:pt>
                <c:pt idx="41">
                  <c:v>184.84848484848484</c:v>
                </c:pt>
                <c:pt idx="42">
                  <c:v>183.33333333333334</c:v>
                </c:pt>
                <c:pt idx="43">
                  <c:v>204.54545454545453</c:v>
                </c:pt>
                <c:pt idx="44">
                  <c:v>199.24242424242425</c:v>
                </c:pt>
                <c:pt idx="45">
                  <c:v>218.18181818181819</c:v>
                </c:pt>
                <c:pt idx="46">
                  <c:v>209.69696969696969</c:v>
                </c:pt>
                <c:pt idx="47">
                  <c:v>227.27272727272728</c:v>
                </c:pt>
                <c:pt idx="48">
                  <c:v>221.5151515151515</c:v>
                </c:pt>
                <c:pt idx="49">
                  <c:v>227.27272727272728</c:v>
                </c:pt>
                <c:pt idx="50">
                  <c:v>218.18181818181819</c:v>
                </c:pt>
                <c:pt idx="51">
                  <c:v>222.72727272727272</c:v>
                </c:pt>
                <c:pt idx="52">
                  <c:v>207.57575757575756</c:v>
                </c:pt>
                <c:pt idx="53">
                  <c:v>212.12121212121212</c:v>
                </c:pt>
                <c:pt idx="54">
                  <c:v>213.63636363636363</c:v>
                </c:pt>
                <c:pt idx="55">
                  <c:v>230.30303030303031</c:v>
                </c:pt>
                <c:pt idx="56">
                  <c:v>221.21212121212122</c:v>
                </c:pt>
                <c:pt idx="57">
                  <c:v>218.18181818181819</c:v>
                </c:pt>
                <c:pt idx="58">
                  <c:v>215.15151515151516</c:v>
                </c:pt>
                <c:pt idx="59">
                  <c:v>230.30303030303031</c:v>
                </c:pt>
                <c:pt idx="60">
                  <c:v>242.42424242424244</c:v>
                </c:pt>
                <c:pt idx="61">
                  <c:v>251.5151515151515</c:v>
                </c:pt>
                <c:pt idx="62">
                  <c:v>254.54545454545453</c:v>
                </c:pt>
                <c:pt idx="63">
                  <c:v>284.84848484848487</c:v>
                </c:pt>
                <c:pt idx="64">
                  <c:v>269.09090909090907</c:v>
                </c:pt>
                <c:pt idx="65">
                  <c:v>272.72727272727275</c:v>
                </c:pt>
                <c:pt idx="66">
                  <c:v>257.57575757575756</c:v>
                </c:pt>
                <c:pt idx="67">
                  <c:v>265.15151515151513</c:v>
                </c:pt>
                <c:pt idx="68">
                  <c:v>253.03030303030303</c:v>
                </c:pt>
                <c:pt idx="69">
                  <c:v>254.63636363636363</c:v>
                </c:pt>
                <c:pt idx="70">
                  <c:v>252.12121212121212</c:v>
                </c:pt>
                <c:pt idx="71">
                  <c:v>262.12121212121212</c:v>
                </c:pt>
                <c:pt idx="72">
                  <c:v>256.06060606060606</c:v>
                </c:pt>
                <c:pt idx="73">
                  <c:v>256.06060606060606</c:v>
                </c:pt>
                <c:pt idx="74">
                  <c:v>250</c:v>
                </c:pt>
                <c:pt idx="75">
                  <c:v>257.57575757575756</c:v>
                </c:pt>
                <c:pt idx="76">
                  <c:v>254.54545454545453</c:v>
                </c:pt>
                <c:pt idx="77">
                  <c:v>256.06060606060606</c:v>
                </c:pt>
                <c:pt idx="78">
                  <c:v>256.60606060606062</c:v>
                </c:pt>
                <c:pt idx="79">
                  <c:v>265.15151515151513</c:v>
                </c:pt>
              </c:numCache>
            </c:numRef>
          </c:val>
          <c:smooth val="0"/>
          <c:extLst>
            <c:ext xmlns:c16="http://schemas.microsoft.com/office/drawing/2014/chart" uri="{C3380CC4-5D6E-409C-BE32-E72D297353CC}">
              <c16:uniqueId val="{00000007-A50B-42C3-8714-611302F37D5D}"/>
            </c:ext>
          </c:extLst>
        </c:ser>
        <c:ser>
          <c:idx val="6"/>
          <c:order val="5"/>
          <c:tx>
            <c:strRef>
              <c:f>analysis!$BO$2</c:f>
              <c:strCache>
                <c:ptCount val="1"/>
                <c:pt idx="0">
                  <c:v>Adjusted home price (Q_start = 100)</c:v>
                </c:pt>
              </c:strCache>
            </c:strRef>
          </c:tx>
          <c:spPr>
            <a:ln w="19050" cap="rnd">
              <a:solidFill>
                <a:schemeClr val="accent1">
                  <a:lumMod val="60000"/>
                </a:schemeClr>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analysis!$BO$3:$BO$82</c:f>
              <c:numCache>
                <c:formatCode>General</c:formatCode>
                <c:ptCount val="80"/>
                <c:pt idx="0">
                  <c:v>100</c:v>
                </c:pt>
                <c:pt idx="1">
                  <c:v>104.00561987710891</c:v>
                </c:pt>
                <c:pt idx="2">
                  <c:v>103.74452489496737</c:v>
                </c:pt>
                <c:pt idx="3">
                  <c:v>107.43203485412027</c:v>
                </c:pt>
                <c:pt idx="4">
                  <c:v>102.2966098071908</c:v>
                </c:pt>
                <c:pt idx="5">
                  <c:v>106.89643646934913</c:v>
                </c:pt>
                <c:pt idx="6">
                  <c:v>108.74679849670231</c:v>
                </c:pt>
                <c:pt idx="7">
                  <c:v>120.31185265506159</c:v>
                </c:pt>
                <c:pt idx="8">
                  <c:v>112.09365684548447</c:v>
                </c:pt>
                <c:pt idx="9">
                  <c:v>116.05011251413714</c:v>
                </c:pt>
                <c:pt idx="10">
                  <c:v>110.87893167923949</c:v>
                </c:pt>
                <c:pt idx="11">
                  <c:v>110.27827330636103</c:v>
                </c:pt>
                <c:pt idx="12">
                  <c:v>106.63953890579516</c:v>
                </c:pt>
                <c:pt idx="13">
                  <c:v>113.64300954912729</c:v>
                </c:pt>
                <c:pt idx="14">
                  <c:v>119.71271001667309</c:v>
                </c:pt>
                <c:pt idx="15">
                  <c:v>135.94029949358921</c:v>
                </c:pt>
                <c:pt idx="16">
                  <c:v>132.37078363473131</c:v>
                </c:pt>
                <c:pt idx="17">
                  <c:v>141.4177752904186</c:v>
                </c:pt>
                <c:pt idx="18">
                  <c:v>137.15977007473737</c:v>
                </c:pt>
                <c:pt idx="19">
                  <c:v>146.09747338720021</c:v>
                </c:pt>
                <c:pt idx="20">
                  <c:v>134.74287313302318</c:v>
                </c:pt>
                <c:pt idx="21">
                  <c:v>139.36945833867728</c:v>
                </c:pt>
                <c:pt idx="22">
                  <c:v>133.95474949572679</c:v>
                </c:pt>
                <c:pt idx="23">
                  <c:v>135.69337468567943</c:v>
                </c:pt>
                <c:pt idx="24">
                  <c:v>129.82965864881987</c:v>
                </c:pt>
                <c:pt idx="25">
                  <c:v>131.27252128829659</c:v>
                </c:pt>
                <c:pt idx="26">
                  <c:v>129.06343543165397</c:v>
                </c:pt>
                <c:pt idx="27">
                  <c:v>136.88446993987586</c:v>
                </c:pt>
                <c:pt idx="28">
                  <c:v>129.49009525808296</c:v>
                </c:pt>
                <c:pt idx="29">
                  <c:v>133.05245995934723</c:v>
                </c:pt>
                <c:pt idx="30">
                  <c:v>138.42515575143508</c:v>
                </c:pt>
                <c:pt idx="31">
                  <c:v>150.15993330768245</c:v>
                </c:pt>
                <c:pt idx="32">
                  <c:v>132.08491610992573</c:v>
                </c:pt>
                <c:pt idx="33">
                  <c:v>138.94269357678363</c:v>
                </c:pt>
                <c:pt idx="34">
                  <c:v>130.9524020505167</c:v>
                </c:pt>
                <c:pt idx="35">
                  <c:v>144.67533744524894</c:v>
                </c:pt>
                <c:pt idx="36">
                  <c:v>135.57024263411336</c:v>
                </c:pt>
                <c:pt idx="37">
                  <c:v>145.78151270302098</c:v>
                </c:pt>
                <c:pt idx="38">
                  <c:v>150.79587331568862</c:v>
                </c:pt>
                <c:pt idx="39">
                  <c:v>159.83389104589565</c:v>
                </c:pt>
                <c:pt idx="40">
                  <c:v>145.57137360523279</c:v>
                </c:pt>
                <c:pt idx="41">
                  <c:v>157.56705181868708</c:v>
                </c:pt>
                <c:pt idx="42">
                  <c:v>155.24622912464389</c:v>
                </c:pt>
                <c:pt idx="43">
                  <c:v>175.71544611175239</c:v>
                </c:pt>
                <c:pt idx="44">
                  <c:v>169.53892522765167</c:v>
                </c:pt>
                <c:pt idx="45">
                  <c:v>187.68265572228634</c:v>
                </c:pt>
                <c:pt idx="46">
                  <c:v>178.27592974764963</c:v>
                </c:pt>
                <c:pt idx="47">
                  <c:v>195.02168666270245</c:v>
                </c:pt>
                <c:pt idx="48">
                  <c:v>188.32241227200828</c:v>
                </c:pt>
                <c:pt idx="49">
                  <c:v>193.18481078581118</c:v>
                </c:pt>
                <c:pt idx="50">
                  <c:v>183.14365276466086</c:v>
                </c:pt>
                <c:pt idx="51">
                  <c:v>186.80065370908002</c:v>
                </c:pt>
                <c:pt idx="52">
                  <c:v>170.69675205304293</c:v>
                </c:pt>
                <c:pt idx="53">
                  <c:v>174.38503931193426</c:v>
                </c:pt>
                <c:pt idx="54">
                  <c:v>175.02184212265013</c:v>
                </c:pt>
                <c:pt idx="55">
                  <c:v>190.84455559830704</c:v>
                </c:pt>
                <c:pt idx="56">
                  <c:v>180.79445863016468</c:v>
                </c:pt>
                <c:pt idx="57">
                  <c:v>176.84733055837327</c:v>
                </c:pt>
                <c:pt idx="58">
                  <c:v>172.90914143357392</c:v>
                </c:pt>
                <c:pt idx="59">
                  <c:v>187.20834742189109</c:v>
                </c:pt>
                <c:pt idx="60">
                  <c:v>198.42478264756065</c:v>
                </c:pt>
                <c:pt idx="61">
                  <c:v>206.56738605757459</c:v>
                </c:pt>
                <c:pt idx="62">
                  <c:v>208.60702057123757</c:v>
                </c:pt>
                <c:pt idx="63">
                  <c:v>237.98040038709527</c:v>
                </c:pt>
                <c:pt idx="64">
                  <c:v>221.08563511218378</c:v>
                </c:pt>
                <c:pt idx="65">
                  <c:v>223.6810389388304</c:v>
                </c:pt>
                <c:pt idx="66">
                  <c:v>207.42964465742457</c:v>
                </c:pt>
                <c:pt idx="67">
                  <c:v>214.00851531863461</c:v>
                </c:pt>
                <c:pt idx="68">
                  <c:v>200.81754443239629</c:v>
                </c:pt>
                <c:pt idx="69">
                  <c:v>201.42481373955016</c:v>
                </c:pt>
                <c:pt idx="70">
                  <c:v>197.89556200714335</c:v>
                </c:pt>
                <c:pt idx="71">
                  <c:v>206.92098359508898</c:v>
                </c:pt>
                <c:pt idx="72">
                  <c:v>199.81510371121757</c:v>
                </c:pt>
                <c:pt idx="73">
                  <c:v>198.80325377670508</c:v>
                </c:pt>
                <c:pt idx="74">
                  <c:v>191.71525178681776</c:v>
                </c:pt>
                <c:pt idx="75">
                  <c:v>198.31646981550787</c:v>
                </c:pt>
                <c:pt idx="76">
                  <c:v>194.26207437981193</c:v>
                </c:pt>
                <c:pt idx="77">
                  <c:v>194.77373193263918</c:v>
                </c:pt>
                <c:pt idx="78">
                  <c:v>194.30873568311046</c:v>
                </c:pt>
                <c:pt idx="79">
                  <c:v>201.86265113621789</c:v>
                </c:pt>
              </c:numCache>
            </c:numRef>
          </c:val>
          <c:smooth val="0"/>
          <c:extLst>
            <c:ext xmlns:c16="http://schemas.microsoft.com/office/drawing/2014/chart" uri="{C3380CC4-5D6E-409C-BE32-E72D297353CC}">
              <c16:uniqueId val="{00000008-A50B-42C3-8714-611302F37D5D}"/>
            </c:ext>
          </c:extLst>
        </c:ser>
        <c:dLbls>
          <c:showLegendKey val="0"/>
          <c:showVal val="0"/>
          <c:showCatName val="0"/>
          <c:showSerName val="0"/>
          <c:showPercent val="0"/>
          <c:showBubbleSize val="0"/>
        </c:dLbls>
        <c:smooth val="0"/>
        <c:axId val="1207159248"/>
        <c:axId val="1207169808"/>
      </c:lineChart>
      <c:dateAx>
        <c:axId val="120715924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9808"/>
        <c:crosses val="autoZero"/>
        <c:auto val="1"/>
        <c:lblOffset val="100"/>
        <c:baseTimeUnit val="months"/>
        <c:majorUnit val="12"/>
        <c:majorTimeUnit val="months"/>
      </c:dateAx>
      <c:valAx>
        <c:axId val="120716980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analysis!$E$2</c:f>
          <c:strCache>
            <c:ptCount val="1"/>
            <c:pt idx="0">
              <c:v>Renter vs owner wealth, Melbourne 3-bedroom house</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72018129822667E-2"/>
          <c:y val="0.15864383682636621"/>
          <c:w val="0.88513497863585977"/>
          <c:h val="0.59756043484608967"/>
        </c:manualLayout>
      </c:layout>
      <c:lineChart>
        <c:grouping val="standard"/>
        <c:varyColors val="0"/>
        <c:ser>
          <c:idx val="0"/>
          <c:order val="0"/>
          <c:tx>
            <c:strRef>
              <c:f>analysis!$N$2</c:f>
              <c:strCache>
                <c:ptCount val="1"/>
                <c:pt idx="0">
                  <c:v>Owner's home equity</c:v>
                </c:pt>
              </c:strCache>
            </c:strRef>
          </c:tx>
          <c:spPr>
            <a:ln w="28575" cap="rnd">
              <a:solidFill>
                <a:schemeClr val="accent1"/>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analysis!$N$3:$N$82</c:f>
              <c:numCache>
                <c:formatCode>_-* #,##0_-;\-* #,##0_-;_-* "-"??_-;_-@_-</c:formatCode>
                <c:ptCount val="80"/>
                <c:pt idx="0">
                  <c:v>57626.25</c:v>
                </c:pt>
                <c:pt idx="1">
                  <c:v>71555.761791625642</c:v>
                </c:pt>
                <c:pt idx="2">
                  <c:v>71733.672271067393</c:v>
                </c:pt>
                <c:pt idx="3">
                  <c:v>84584.312361125019</c:v>
                </c:pt>
                <c:pt idx="4">
                  <c:v>69038.556814272277</c:v>
                </c:pt>
                <c:pt idx="5">
                  <c:v>84822.061923207046</c:v>
                </c:pt>
                <c:pt idx="6">
                  <c:v>91781.041371301166</c:v>
                </c:pt>
                <c:pt idx="7">
                  <c:v>129966.9449402568</c:v>
                </c:pt>
                <c:pt idx="8">
                  <c:v>104507.82011087608</c:v>
                </c:pt>
                <c:pt idx="9">
                  <c:v>118125.25355059461</c:v>
                </c:pt>
                <c:pt idx="10">
                  <c:v>102386.95871203742</c:v>
                </c:pt>
                <c:pt idx="11">
                  <c:v>101378.89659370613</c:v>
                </c:pt>
                <c:pt idx="12">
                  <c:v>91015.280140925926</c:v>
                </c:pt>
                <c:pt idx="13">
                  <c:v>115092.04575285525</c:v>
                </c:pt>
                <c:pt idx="14">
                  <c:v>136193.57873447728</c:v>
                </c:pt>
                <c:pt idx="15">
                  <c:v>189985.84942741317</c:v>
                </c:pt>
                <c:pt idx="16">
                  <c:v>179962.53570311645</c:v>
                </c:pt>
                <c:pt idx="17">
                  <c:v>210494.07314127663</c:v>
                </c:pt>
                <c:pt idx="18">
                  <c:v>198168.80290511518</c:v>
                </c:pt>
                <c:pt idx="19">
                  <c:v>228307.50703840601</c:v>
                </c:pt>
                <c:pt idx="20">
                  <c:v>193137.58059308992</c:v>
                </c:pt>
                <c:pt idx="21">
                  <c:v>209398.04033816978</c:v>
                </c:pt>
                <c:pt idx="22">
                  <c:v>193399.19752005843</c:v>
                </c:pt>
                <c:pt idx="23">
                  <c:v>200433.94910829442</c:v>
                </c:pt>
                <c:pt idx="24">
                  <c:v>183126.74517736729</c:v>
                </c:pt>
                <c:pt idx="25">
                  <c:v>189315.2587700912</c:v>
                </c:pt>
                <c:pt idx="26">
                  <c:v>183886.80225746715</c:v>
                </c:pt>
                <c:pt idx="27">
                  <c:v>210752.63161236839</c:v>
                </c:pt>
                <c:pt idx="28">
                  <c:v>188781.78555678256</c:v>
                </c:pt>
                <c:pt idx="29">
                  <c:v>202087.71134348109</c:v>
                </c:pt>
                <c:pt idx="30">
                  <c:v>221291.59040101702</c:v>
                </c:pt>
                <c:pt idx="31">
                  <c:v>261037.62808049392</c:v>
                </c:pt>
                <c:pt idx="32">
                  <c:v>204929.09135525051</c:v>
                </c:pt>
                <c:pt idx="33">
                  <c:v>229040.6755701144</c:v>
                </c:pt>
                <c:pt idx="34">
                  <c:v>205423.07296575708</c:v>
                </c:pt>
                <c:pt idx="35">
                  <c:v>251667.3400208244</c:v>
                </c:pt>
                <c:pt idx="36">
                  <c:v>224517.4374237411</c:v>
                </c:pt>
                <c:pt idx="37">
                  <c:v>259571.19624408198</c:v>
                </c:pt>
                <c:pt idx="38">
                  <c:v>277966.08817031141</c:v>
                </c:pt>
                <c:pt idx="39">
                  <c:v>309330.52782257443</c:v>
                </c:pt>
                <c:pt idx="40">
                  <c:v>265748.50547381886</c:v>
                </c:pt>
                <c:pt idx="41">
                  <c:v>306647.38460520207</c:v>
                </c:pt>
                <c:pt idx="42">
                  <c:v>301574.08266534423</c:v>
                </c:pt>
                <c:pt idx="43">
                  <c:v>369842.15146318765</c:v>
                </c:pt>
                <c:pt idx="44">
                  <c:v>352437.97265860171</c:v>
                </c:pt>
                <c:pt idx="45">
                  <c:v>413278.11560394341</c:v>
                </c:pt>
                <c:pt idx="46">
                  <c:v>385546.1790260463</c:v>
                </c:pt>
                <c:pt idx="47">
                  <c:v>441957.58646017028</c:v>
                </c:pt>
                <c:pt idx="48">
                  <c:v>422984.85570453096</c:v>
                </c:pt>
                <c:pt idx="49">
                  <c:v>441226.52060649672</c:v>
                </c:pt>
                <c:pt idx="50">
                  <c:v>411563.78337398218</c:v>
                </c:pt>
                <c:pt idx="51">
                  <c:v>425968.23690754478</c:v>
                </c:pt>
                <c:pt idx="52">
                  <c:v>376841.75658630306</c:v>
                </c:pt>
                <c:pt idx="53">
                  <c:v>391398.02549044765</c:v>
                </c:pt>
                <c:pt idx="54">
                  <c:v>396208.85965226323</c:v>
                </c:pt>
                <c:pt idx="55">
                  <c:v>449927.99877336551</c:v>
                </c:pt>
                <c:pt idx="56">
                  <c:v>420480.30081998999</c:v>
                </c:pt>
                <c:pt idx="57">
                  <c:v>410731.36031158711</c:v>
                </c:pt>
                <c:pt idx="58">
                  <c:v>401083.27343294921</c:v>
                </c:pt>
                <c:pt idx="59">
                  <c:v>450118.97729279369</c:v>
                </c:pt>
                <c:pt idx="60">
                  <c:v>489267.47320035921</c:v>
                </c:pt>
                <c:pt idx="61">
                  <c:v>518557.76475808129</c:v>
                </c:pt>
                <c:pt idx="62">
                  <c:v>528256.99183302489</c:v>
                </c:pt>
                <c:pt idx="63">
                  <c:v>625918.45218311646</c:v>
                </c:pt>
                <c:pt idx="64">
                  <c:v>574796.91731622769</c:v>
                </c:pt>
                <c:pt idx="65">
                  <c:v>586388.62446111185</c:v>
                </c:pt>
                <c:pt idx="66">
                  <c:v>537284.66367927776</c:v>
                </c:pt>
                <c:pt idx="67">
                  <c:v>561439.33056575817</c:v>
                </c:pt>
                <c:pt idx="68">
                  <c:v>522016.89881708077</c:v>
                </c:pt>
                <c:pt idx="69">
                  <c:v>526960.59137322346</c:v>
                </c:pt>
                <c:pt idx="70">
                  <c:v>518572.31859871477</c:v>
                </c:pt>
                <c:pt idx="71">
                  <c:v>550615.46295973589</c:v>
                </c:pt>
                <c:pt idx="72">
                  <c:v>530800.74575393461</c:v>
                </c:pt>
                <c:pt idx="73">
                  <c:v>530641.57829432236</c:v>
                </c:pt>
                <c:pt idx="74">
                  <c:v>511017.24997639004</c:v>
                </c:pt>
                <c:pt idx="75">
                  <c:v>535482.87069410877</c:v>
                </c:pt>
                <c:pt idx="76">
                  <c:v>525734.40891426324</c:v>
                </c:pt>
                <c:pt idx="77">
                  <c:v>530755.20400748006</c:v>
                </c:pt>
                <c:pt idx="78">
                  <c:v>532744.18890577601</c:v>
                </c:pt>
                <c:pt idx="79">
                  <c:v>560603.27829597238</c:v>
                </c:pt>
              </c:numCache>
            </c:numRef>
          </c:val>
          <c:smooth val="0"/>
          <c:extLst>
            <c:ext xmlns:c16="http://schemas.microsoft.com/office/drawing/2014/chart" uri="{C3380CC4-5D6E-409C-BE32-E72D297353CC}">
              <c16:uniqueId val="{00000000-7807-4CB6-8999-50A35AE75FE4}"/>
            </c:ext>
          </c:extLst>
        </c:ser>
        <c:ser>
          <c:idx val="1"/>
          <c:order val="1"/>
          <c:tx>
            <c:strRef>
              <c:f>analysis!$M$2</c:f>
              <c:strCache>
                <c:ptCount val="1"/>
                <c:pt idx="0">
                  <c:v>Renter's portfolio</c:v>
                </c:pt>
              </c:strCache>
            </c:strRef>
          </c:tx>
          <c:spPr>
            <a:ln w="28575" cap="rnd">
              <a:solidFill>
                <a:srgbClr val="FF0000"/>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analysis!$M$3:$M$82</c:f>
              <c:numCache>
                <c:formatCode>_-* #,##0_-;\-* #,##0_-;_-* "-"??_-;_-@_-</c:formatCode>
                <c:ptCount val="80"/>
                <c:pt idx="0">
                  <c:v>96819.447826276504</c:v>
                </c:pt>
                <c:pt idx="1">
                  <c:v>99680.292406699751</c:v>
                </c:pt>
                <c:pt idx="2">
                  <c:v>107019.94638450236</c:v>
                </c:pt>
                <c:pt idx="3">
                  <c:v>120831.87306350555</c:v>
                </c:pt>
                <c:pt idx="4">
                  <c:v>129404.49692550692</c:v>
                </c:pt>
                <c:pt idx="5">
                  <c:v>141201.81658521906</c:v>
                </c:pt>
                <c:pt idx="6">
                  <c:v>149289.7299055607</c:v>
                </c:pt>
                <c:pt idx="7">
                  <c:v>148889.8032453809</c:v>
                </c:pt>
                <c:pt idx="8">
                  <c:v>136506.14034698697</c:v>
                </c:pt>
                <c:pt idx="9">
                  <c:v>138345.35404312523</c:v>
                </c:pt>
                <c:pt idx="10">
                  <c:v>122562.11833797979</c:v>
                </c:pt>
                <c:pt idx="11">
                  <c:v>98764.909619124897</c:v>
                </c:pt>
                <c:pt idx="12">
                  <c:v>92061.271961644539</c:v>
                </c:pt>
                <c:pt idx="13">
                  <c:v>111571.44964643057</c:v>
                </c:pt>
                <c:pt idx="14">
                  <c:v>135451.62935925816</c:v>
                </c:pt>
                <c:pt idx="15">
                  <c:v>142943.52655706758</c:v>
                </c:pt>
                <c:pt idx="16">
                  <c:v>149833.80699855846</c:v>
                </c:pt>
                <c:pt idx="17">
                  <c:v>133626.08155631606</c:v>
                </c:pt>
                <c:pt idx="18">
                  <c:v>152910.44611777822</c:v>
                </c:pt>
                <c:pt idx="19">
                  <c:v>168163.192453678</c:v>
                </c:pt>
                <c:pt idx="20">
                  <c:v>178409.86942276693</c:v>
                </c:pt>
                <c:pt idx="21">
                  <c:v>178942.06395459935</c:v>
                </c:pt>
                <c:pt idx="22">
                  <c:v>152968.33589863067</c:v>
                </c:pt>
                <c:pt idx="23">
                  <c:v>164437.76507360389</c:v>
                </c:pt>
                <c:pt idx="24">
                  <c:v>184928.91833417313</c:v>
                </c:pt>
                <c:pt idx="25">
                  <c:v>177221.91411850631</c:v>
                </c:pt>
                <c:pt idx="26">
                  <c:v>192366.30305325185</c:v>
                </c:pt>
                <c:pt idx="27">
                  <c:v>201826.42193909769</c:v>
                </c:pt>
                <c:pt idx="28">
                  <c:v>220253.09980844148</c:v>
                </c:pt>
                <c:pt idx="29">
                  <c:v>220688.64686611856</c:v>
                </c:pt>
                <c:pt idx="30">
                  <c:v>242464.05199129949</c:v>
                </c:pt>
                <c:pt idx="31">
                  <c:v>260023.62012436442</c:v>
                </c:pt>
                <c:pt idx="32">
                  <c:v>266068.85678251297</c:v>
                </c:pt>
                <c:pt idx="33">
                  <c:v>276977.85965251137</c:v>
                </c:pt>
                <c:pt idx="34">
                  <c:v>272539.13870708924</c:v>
                </c:pt>
                <c:pt idx="35">
                  <c:v>278644.19131835812</c:v>
                </c:pt>
                <c:pt idx="36">
                  <c:v>293754.37157487351</c:v>
                </c:pt>
                <c:pt idx="37">
                  <c:v>290143.81373057014</c:v>
                </c:pt>
                <c:pt idx="38">
                  <c:v>267800.06582684774</c:v>
                </c:pt>
                <c:pt idx="39">
                  <c:v>284422.79595261288</c:v>
                </c:pt>
                <c:pt idx="40">
                  <c:v>282861.82230836758</c:v>
                </c:pt>
                <c:pt idx="41">
                  <c:v>289617.74491369957</c:v>
                </c:pt>
                <c:pt idx="42">
                  <c:v>305984.9137433602</c:v>
                </c:pt>
                <c:pt idx="43">
                  <c:v>316468.28926685615</c:v>
                </c:pt>
                <c:pt idx="44">
                  <c:v>336121.70610292349</c:v>
                </c:pt>
                <c:pt idx="45">
                  <c:v>344757.9181912198</c:v>
                </c:pt>
                <c:pt idx="46">
                  <c:v>358937.6739247042</c:v>
                </c:pt>
                <c:pt idx="47">
                  <c:v>382133.37824460556</c:v>
                </c:pt>
                <c:pt idx="48">
                  <c:v>375310.04818082642</c:v>
                </c:pt>
                <c:pt idx="49">
                  <c:v>391355.60903199541</c:v>
                </c:pt>
                <c:pt idx="50">
                  <c:v>406199.67198542197</c:v>
                </c:pt>
                <c:pt idx="51">
                  <c:v>357125.76243912085</c:v>
                </c:pt>
                <c:pt idx="52">
                  <c:v>401404.54611467524</c:v>
                </c:pt>
                <c:pt idx="53">
                  <c:v>422502.15722316876</c:v>
                </c:pt>
                <c:pt idx="54">
                  <c:v>427826.42983963114</c:v>
                </c:pt>
                <c:pt idx="55">
                  <c:v>454819.38204981491</c:v>
                </c:pt>
                <c:pt idx="56">
                  <c:v>352026.83541506564</c:v>
                </c:pt>
                <c:pt idx="57">
                  <c:v>420017.6696181345</c:v>
                </c:pt>
                <c:pt idx="58">
                  <c:v>443696.18854917475</c:v>
                </c:pt>
                <c:pt idx="59">
                  <c:v>509986.97240352764</c:v>
                </c:pt>
                <c:pt idx="60">
                  <c:v>536864.24963837315</c:v>
                </c:pt>
                <c:pt idx="61">
                  <c:v>578865.59963624552</c:v>
                </c:pt>
                <c:pt idx="62">
                  <c:v>580974.29427096224</c:v>
                </c:pt>
                <c:pt idx="63">
                  <c:v>614061.88391883962</c:v>
                </c:pt>
                <c:pt idx="64">
                  <c:v>596174.30498868891</c:v>
                </c:pt>
                <c:pt idx="65">
                  <c:v>506784.66583705397</c:v>
                </c:pt>
                <c:pt idx="66">
                  <c:v>486538.17584509909</c:v>
                </c:pt>
                <c:pt idx="67">
                  <c:v>534510.31633442244</c:v>
                </c:pt>
                <c:pt idx="68">
                  <c:v>567952.19563935068</c:v>
                </c:pt>
                <c:pt idx="69">
                  <c:v>595991.46389746678</c:v>
                </c:pt>
                <c:pt idx="70">
                  <c:v>580872.19657186</c:v>
                </c:pt>
                <c:pt idx="71">
                  <c:v>643412.57368834154</c:v>
                </c:pt>
                <c:pt idx="72">
                  <c:v>692194.93454119819</c:v>
                </c:pt>
                <c:pt idx="73">
                  <c:v>699830.89432383736</c:v>
                </c:pt>
                <c:pt idx="74">
                  <c:v>748505.73036533117</c:v>
                </c:pt>
                <c:pt idx="75">
                  <c:v>743773.80213712214</c:v>
                </c:pt>
                <c:pt idx="76">
                  <c:v>726762.61636158486</c:v>
                </c:pt>
                <c:pt idx="77">
                  <c:v>805337.22876200126</c:v>
                </c:pt>
                <c:pt idx="78">
                  <c:v>857735.45895936608</c:v>
                </c:pt>
                <c:pt idx="79">
                  <c:v>873002.53263118083</c:v>
                </c:pt>
              </c:numCache>
            </c:numRef>
          </c:val>
          <c:smooth val="0"/>
          <c:extLst>
            <c:ext xmlns:c16="http://schemas.microsoft.com/office/drawing/2014/chart" uri="{C3380CC4-5D6E-409C-BE32-E72D297353CC}">
              <c16:uniqueId val="{00000001-7807-4CB6-8999-50A35AE75FE4}"/>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majorUnit val="200000"/>
        <c:minorUnit val="100000"/>
        <c:dispUnits>
          <c:builtInUnit val="thousands"/>
          <c:dispUnitsLbl>
            <c:layout>
              <c:manualLayout>
                <c:xMode val="edge"/>
                <c:yMode val="edge"/>
                <c:x val="3.5763163378520701E-2"/>
                <c:y val="5.7917591222324163E-2"/>
              </c:manualLayout>
            </c:layout>
            <c:tx>
              <c:rich>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A$</a:t>
                  </a:r>
                  <a:r>
                    <a:rPr lang="en-US" sz="900" baseline="0"/>
                    <a:t> '000</a:t>
                  </a:r>
                  <a:endParaRPr lang="en-US" sz="900"/>
                </a:p>
              </c:rich>
            </c:tx>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2-bed flat,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'2BR_F-processed'!$C$1</c:f>
              <c:strCache>
                <c:ptCount val="1"/>
                <c:pt idx="0">
                  <c:v>Melbourne</c:v>
                </c:pt>
              </c:strCache>
            </c:strRef>
          </c:tx>
          <c:spPr>
            <a:ln w="28575" cap="rnd">
              <a:solidFill>
                <a:schemeClr val="accent1"/>
              </a:solidFill>
              <a:round/>
            </a:ln>
            <a:effectLst/>
          </c:spPr>
          <c:marker>
            <c:symbol val="none"/>
          </c:marker>
          <c:cat>
            <c:numRef>
              <c:f>'2BR_F-processed'!$B$2:$B$109</c:f>
              <c:numCache>
                <c:formatCode>mmm\-yy</c:formatCode>
                <c:ptCount val="108"/>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pt idx="96">
                  <c:v>44986</c:v>
                </c:pt>
                <c:pt idx="97">
                  <c:v>45078</c:v>
                </c:pt>
                <c:pt idx="98">
                  <c:v>45170</c:v>
                </c:pt>
                <c:pt idx="99">
                  <c:v>45261</c:v>
                </c:pt>
                <c:pt idx="100">
                  <c:v>45352</c:v>
                </c:pt>
                <c:pt idx="101">
                  <c:v>45444</c:v>
                </c:pt>
                <c:pt idx="102">
                  <c:v>45536</c:v>
                </c:pt>
                <c:pt idx="103">
                  <c:v>45627</c:v>
                </c:pt>
                <c:pt idx="104">
                  <c:v>45717</c:v>
                </c:pt>
                <c:pt idx="105">
                  <c:v>45809</c:v>
                </c:pt>
                <c:pt idx="106">
                  <c:v>45901</c:v>
                </c:pt>
                <c:pt idx="107">
                  <c:v>45992</c:v>
                </c:pt>
              </c:numCache>
            </c:numRef>
          </c:cat>
          <c:val>
            <c:numRef>
              <c:f>'2BR_F-processed'!$C$2:$C$109</c:f>
              <c:numCache>
                <c:formatCode>General</c:formatCode>
                <c:ptCount val="108"/>
                <c:pt idx="0">
                  <c:v>0</c:v>
                </c:pt>
                <c:pt idx="1">
                  <c:v>160</c:v>
                </c:pt>
                <c:pt idx="2">
                  <c:v>165</c:v>
                </c:pt>
                <c:pt idx="3">
                  <c:v>165</c:v>
                </c:pt>
                <c:pt idx="4">
                  <c:v>175</c:v>
                </c:pt>
                <c:pt idx="5">
                  <c:v>170</c:v>
                </c:pt>
                <c:pt idx="6">
                  <c:v>175</c:v>
                </c:pt>
                <c:pt idx="7">
                  <c:v>180</c:v>
                </c:pt>
                <c:pt idx="8">
                  <c:v>185</c:v>
                </c:pt>
                <c:pt idx="9">
                  <c:v>185</c:v>
                </c:pt>
                <c:pt idx="10">
                  <c:v>185</c:v>
                </c:pt>
                <c:pt idx="11">
                  <c:v>190</c:v>
                </c:pt>
                <c:pt idx="12">
                  <c:v>200</c:v>
                </c:pt>
                <c:pt idx="13">
                  <c:v>190</c:v>
                </c:pt>
                <c:pt idx="14">
                  <c:v>195</c:v>
                </c:pt>
                <c:pt idx="15">
                  <c:v>195</c:v>
                </c:pt>
                <c:pt idx="16">
                  <c:v>205</c:v>
                </c:pt>
                <c:pt idx="17">
                  <c:v>200</c:v>
                </c:pt>
                <c:pt idx="18">
                  <c:v>200</c:v>
                </c:pt>
                <c:pt idx="19">
                  <c:v>200</c:v>
                </c:pt>
                <c:pt idx="20">
                  <c:v>220</c:v>
                </c:pt>
                <c:pt idx="21">
                  <c:v>210</c:v>
                </c:pt>
                <c:pt idx="22">
                  <c:v>210</c:v>
                </c:pt>
                <c:pt idx="23">
                  <c:v>210</c:v>
                </c:pt>
                <c:pt idx="24">
                  <c:v>225</c:v>
                </c:pt>
                <c:pt idx="25">
                  <c:v>220</c:v>
                </c:pt>
                <c:pt idx="26">
                  <c:v>220</c:v>
                </c:pt>
                <c:pt idx="27">
                  <c:v>225</c:v>
                </c:pt>
                <c:pt idx="28">
                  <c:v>235</c:v>
                </c:pt>
                <c:pt idx="29">
                  <c:v>235</c:v>
                </c:pt>
                <c:pt idx="30">
                  <c:v>240</c:v>
                </c:pt>
                <c:pt idx="31">
                  <c:v>245</c:v>
                </c:pt>
                <c:pt idx="32">
                  <c:v>260</c:v>
                </c:pt>
                <c:pt idx="33">
                  <c:v>260</c:v>
                </c:pt>
                <c:pt idx="34">
                  <c:v>275</c:v>
                </c:pt>
                <c:pt idx="35">
                  <c:v>280</c:v>
                </c:pt>
                <c:pt idx="36">
                  <c:v>295</c:v>
                </c:pt>
                <c:pt idx="37">
                  <c:v>300</c:v>
                </c:pt>
                <c:pt idx="38">
                  <c:v>310</c:v>
                </c:pt>
                <c:pt idx="39">
                  <c:v>310</c:v>
                </c:pt>
                <c:pt idx="40">
                  <c:v>320</c:v>
                </c:pt>
                <c:pt idx="41">
                  <c:v>320</c:v>
                </c:pt>
                <c:pt idx="42">
                  <c:v>325</c:v>
                </c:pt>
                <c:pt idx="43">
                  <c:v>325</c:v>
                </c:pt>
                <c:pt idx="44">
                  <c:v>340</c:v>
                </c:pt>
                <c:pt idx="45">
                  <c:v>340</c:v>
                </c:pt>
                <c:pt idx="46">
                  <c:v>345</c:v>
                </c:pt>
                <c:pt idx="47">
                  <c:v>345</c:v>
                </c:pt>
                <c:pt idx="48">
                  <c:v>355</c:v>
                </c:pt>
                <c:pt idx="49">
                  <c:v>350</c:v>
                </c:pt>
                <c:pt idx="50">
                  <c:v>350</c:v>
                </c:pt>
                <c:pt idx="51">
                  <c:v>350</c:v>
                </c:pt>
                <c:pt idx="52">
                  <c:v>360</c:v>
                </c:pt>
                <c:pt idx="53">
                  <c:v>360</c:v>
                </c:pt>
                <c:pt idx="54">
                  <c:v>355</c:v>
                </c:pt>
                <c:pt idx="55">
                  <c:v>355</c:v>
                </c:pt>
                <c:pt idx="56">
                  <c:v>370</c:v>
                </c:pt>
                <c:pt idx="57">
                  <c:v>360</c:v>
                </c:pt>
                <c:pt idx="58">
                  <c:v>360</c:v>
                </c:pt>
                <c:pt idx="59">
                  <c:v>365</c:v>
                </c:pt>
                <c:pt idx="60">
                  <c:v>380</c:v>
                </c:pt>
                <c:pt idx="61">
                  <c:v>360</c:v>
                </c:pt>
                <c:pt idx="62">
                  <c:v>373</c:v>
                </c:pt>
                <c:pt idx="63">
                  <c:v>370</c:v>
                </c:pt>
                <c:pt idx="64">
                  <c:v>390</c:v>
                </c:pt>
                <c:pt idx="65">
                  <c:v>380</c:v>
                </c:pt>
                <c:pt idx="66">
                  <c:v>390</c:v>
                </c:pt>
                <c:pt idx="67">
                  <c:v>380</c:v>
                </c:pt>
                <c:pt idx="68">
                  <c:v>400</c:v>
                </c:pt>
                <c:pt idx="69">
                  <c:v>390</c:v>
                </c:pt>
                <c:pt idx="70">
                  <c:v>400</c:v>
                </c:pt>
                <c:pt idx="71">
                  <c:v>400</c:v>
                </c:pt>
                <c:pt idx="72">
                  <c:v>420</c:v>
                </c:pt>
                <c:pt idx="73">
                  <c:v>410</c:v>
                </c:pt>
                <c:pt idx="74">
                  <c:v>420</c:v>
                </c:pt>
                <c:pt idx="75">
                  <c:v>420</c:v>
                </c:pt>
                <c:pt idx="76">
                  <c:v>440</c:v>
                </c:pt>
                <c:pt idx="77">
                  <c:v>425</c:v>
                </c:pt>
                <c:pt idx="78">
                  <c:v>435</c:v>
                </c:pt>
                <c:pt idx="79">
                  <c:v>430</c:v>
                </c:pt>
                <c:pt idx="80">
                  <c:v>450</c:v>
                </c:pt>
                <c:pt idx="81">
                  <c:v>430</c:v>
                </c:pt>
                <c:pt idx="82">
                  <c:v>445</c:v>
                </c:pt>
                <c:pt idx="83">
                  <c:v>440</c:v>
                </c:pt>
                <c:pt idx="84">
                  <c:v>460</c:v>
                </c:pt>
                <c:pt idx="85">
                  <c:v>420</c:v>
                </c:pt>
                <c:pt idx="86">
                  <c:v>415</c:v>
                </c:pt>
                <c:pt idx="87">
                  <c:v>400</c:v>
                </c:pt>
                <c:pt idx="88">
                  <c:v>400</c:v>
                </c:pt>
                <c:pt idx="89">
                  <c:v>390</c:v>
                </c:pt>
                <c:pt idx="90">
                  <c:v>395</c:v>
                </c:pt>
                <c:pt idx="91">
                  <c:v>400</c:v>
                </c:pt>
                <c:pt idx="92">
                  <c:v>425</c:v>
                </c:pt>
                <c:pt idx="93">
                  <c:v>435</c:v>
                </c:pt>
                <c:pt idx="94">
                  <c:v>450</c:v>
                </c:pt>
                <c:pt idx="95">
                  <c:v>460</c:v>
                </c:pt>
                <c:pt idx="96">
                  <c:v>520</c:v>
                </c:pt>
                <c:pt idx="97">
                  <c:v>525</c:v>
                </c:pt>
                <c:pt idx="98">
                  <c:v>550</c:v>
                </c:pt>
                <c:pt idx="99">
                  <c:v>550</c:v>
                </c:pt>
                <c:pt idx="100">
                  <c:v>600</c:v>
                </c:pt>
                <c:pt idx="101">
                  <c:v>580</c:v>
                </c:pt>
                <c:pt idx="102">
                  <c:v>580</c:v>
                </c:pt>
                <c:pt idx="103">
                  <c:v>575</c:v>
                </c:pt>
                <c:pt idx="104">
                  <c:v>625</c:v>
                </c:pt>
                <c:pt idx="105">
                  <c:v>600</c:v>
                </c:pt>
                <c:pt idx="106">
                  <c:v>600</c:v>
                </c:pt>
                <c:pt idx="107">
                  <c:v>600</c:v>
                </c:pt>
              </c:numCache>
            </c:numRef>
          </c:val>
          <c:smooth val="0"/>
          <c:extLst>
            <c:ext xmlns:c16="http://schemas.microsoft.com/office/drawing/2014/chart" uri="{C3380CC4-5D6E-409C-BE32-E72D297353CC}">
              <c16:uniqueId val="{00000000-617F-4C2B-A3D4-409ECC1B6286}"/>
            </c:ext>
          </c:extLst>
        </c:ser>
        <c:ser>
          <c:idx val="1"/>
          <c:order val="1"/>
          <c:tx>
            <c:strRef>
              <c:f>'2BR_F-processed'!$D$1</c:f>
              <c:strCache>
                <c:ptCount val="1"/>
                <c:pt idx="0">
                  <c:v>Rest of Vic</c:v>
                </c:pt>
              </c:strCache>
            </c:strRef>
          </c:tx>
          <c:spPr>
            <a:ln w="28575" cap="rnd">
              <a:solidFill>
                <a:schemeClr val="accent2"/>
              </a:solidFill>
              <a:prstDash val="sysDot"/>
              <a:round/>
            </a:ln>
            <a:effectLst/>
          </c:spPr>
          <c:marker>
            <c:symbol val="none"/>
          </c:marker>
          <c:cat>
            <c:numRef>
              <c:f>'2BR_F-processed'!$B$2:$B$109</c:f>
              <c:numCache>
                <c:formatCode>mmm\-yy</c:formatCode>
                <c:ptCount val="108"/>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pt idx="96">
                  <c:v>44986</c:v>
                </c:pt>
                <c:pt idx="97">
                  <c:v>45078</c:v>
                </c:pt>
                <c:pt idx="98">
                  <c:v>45170</c:v>
                </c:pt>
                <c:pt idx="99">
                  <c:v>45261</c:v>
                </c:pt>
                <c:pt idx="100">
                  <c:v>45352</c:v>
                </c:pt>
                <c:pt idx="101">
                  <c:v>45444</c:v>
                </c:pt>
                <c:pt idx="102">
                  <c:v>45536</c:v>
                </c:pt>
                <c:pt idx="103">
                  <c:v>45627</c:v>
                </c:pt>
                <c:pt idx="104">
                  <c:v>45717</c:v>
                </c:pt>
                <c:pt idx="105">
                  <c:v>45809</c:v>
                </c:pt>
                <c:pt idx="106">
                  <c:v>45901</c:v>
                </c:pt>
                <c:pt idx="107">
                  <c:v>45992</c:v>
                </c:pt>
              </c:numCache>
            </c:numRef>
          </c:cat>
          <c:val>
            <c:numRef>
              <c:f>'2BR_F-processed'!$D$2:$D$109</c:f>
              <c:numCache>
                <c:formatCode>General</c:formatCode>
                <c:ptCount val="108"/>
                <c:pt idx="0">
                  <c:v>0</c:v>
                </c:pt>
                <c:pt idx="1">
                  <c:v>120</c:v>
                </c:pt>
                <c:pt idx="2">
                  <c:v>120</c:v>
                </c:pt>
                <c:pt idx="3">
                  <c:v>120</c:v>
                </c:pt>
                <c:pt idx="4">
                  <c:v>120</c:v>
                </c:pt>
                <c:pt idx="5">
                  <c:v>120</c:v>
                </c:pt>
                <c:pt idx="6">
                  <c:v>125</c:v>
                </c:pt>
                <c:pt idx="7">
                  <c:v>125</c:v>
                </c:pt>
                <c:pt idx="8">
                  <c:v>125</c:v>
                </c:pt>
                <c:pt idx="9">
                  <c:v>125</c:v>
                </c:pt>
                <c:pt idx="10">
                  <c:v>125</c:v>
                </c:pt>
                <c:pt idx="11">
                  <c:v>125</c:v>
                </c:pt>
                <c:pt idx="12">
                  <c:v>130</c:v>
                </c:pt>
                <c:pt idx="13">
                  <c:v>130</c:v>
                </c:pt>
                <c:pt idx="14">
                  <c:v>135</c:v>
                </c:pt>
                <c:pt idx="15">
                  <c:v>135</c:v>
                </c:pt>
                <c:pt idx="16">
                  <c:v>135</c:v>
                </c:pt>
                <c:pt idx="17">
                  <c:v>140</c:v>
                </c:pt>
                <c:pt idx="18">
                  <c:v>140</c:v>
                </c:pt>
                <c:pt idx="19">
                  <c:v>140</c:v>
                </c:pt>
                <c:pt idx="20">
                  <c:v>145</c:v>
                </c:pt>
                <c:pt idx="21">
                  <c:v>145</c:v>
                </c:pt>
                <c:pt idx="22">
                  <c:v>145</c:v>
                </c:pt>
                <c:pt idx="23">
                  <c:v>150</c:v>
                </c:pt>
                <c:pt idx="24">
                  <c:v>150</c:v>
                </c:pt>
                <c:pt idx="25">
                  <c:v>150</c:v>
                </c:pt>
                <c:pt idx="26">
                  <c:v>150</c:v>
                </c:pt>
                <c:pt idx="27">
                  <c:v>155</c:v>
                </c:pt>
                <c:pt idx="28">
                  <c:v>155</c:v>
                </c:pt>
                <c:pt idx="29">
                  <c:v>155</c:v>
                </c:pt>
                <c:pt idx="30">
                  <c:v>160</c:v>
                </c:pt>
                <c:pt idx="31">
                  <c:v>160</c:v>
                </c:pt>
                <c:pt idx="32">
                  <c:v>160</c:v>
                </c:pt>
                <c:pt idx="33">
                  <c:v>160</c:v>
                </c:pt>
                <c:pt idx="34">
                  <c:v>165</c:v>
                </c:pt>
                <c:pt idx="35">
                  <c:v>170</c:v>
                </c:pt>
                <c:pt idx="36">
                  <c:v>170</c:v>
                </c:pt>
                <c:pt idx="37">
                  <c:v>170</c:v>
                </c:pt>
                <c:pt idx="38">
                  <c:v>175</c:v>
                </c:pt>
                <c:pt idx="39">
                  <c:v>175</c:v>
                </c:pt>
                <c:pt idx="40">
                  <c:v>180</c:v>
                </c:pt>
                <c:pt idx="41">
                  <c:v>180</c:v>
                </c:pt>
                <c:pt idx="42">
                  <c:v>180</c:v>
                </c:pt>
                <c:pt idx="43">
                  <c:v>185</c:v>
                </c:pt>
                <c:pt idx="44">
                  <c:v>190</c:v>
                </c:pt>
                <c:pt idx="45">
                  <c:v>195</c:v>
                </c:pt>
                <c:pt idx="46">
                  <c:v>195</c:v>
                </c:pt>
                <c:pt idx="47">
                  <c:v>200</c:v>
                </c:pt>
                <c:pt idx="48">
                  <c:v>200</c:v>
                </c:pt>
                <c:pt idx="49">
                  <c:v>210</c:v>
                </c:pt>
                <c:pt idx="50">
                  <c:v>210</c:v>
                </c:pt>
                <c:pt idx="51">
                  <c:v>210</c:v>
                </c:pt>
                <c:pt idx="52">
                  <c:v>220</c:v>
                </c:pt>
                <c:pt idx="53">
                  <c:v>210</c:v>
                </c:pt>
                <c:pt idx="54">
                  <c:v>210</c:v>
                </c:pt>
                <c:pt idx="55">
                  <c:v>210</c:v>
                </c:pt>
                <c:pt idx="56">
                  <c:v>220</c:v>
                </c:pt>
                <c:pt idx="57">
                  <c:v>220</c:v>
                </c:pt>
                <c:pt idx="58">
                  <c:v>220</c:v>
                </c:pt>
                <c:pt idx="59">
                  <c:v>221</c:v>
                </c:pt>
                <c:pt idx="60">
                  <c:v>225</c:v>
                </c:pt>
                <c:pt idx="61">
                  <c:v>230</c:v>
                </c:pt>
                <c:pt idx="62">
                  <c:v>225</c:v>
                </c:pt>
                <c:pt idx="63">
                  <c:v>230</c:v>
                </c:pt>
                <c:pt idx="64">
                  <c:v>230</c:v>
                </c:pt>
                <c:pt idx="65">
                  <c:v>230</c:v>
                </c:pt>
                <c:pt idx="66">
                  <c:v>230</c:v>
                </c:pt>
                <c:pt idx="67">
                  <c:v>230</c:v>
                </c:pt>
                <c:pt idx="68">
                  <c:v>240</c:v>
                </c:pt>
                <c:pt idx="69">
                  <c:v>235</c:v>
                </c:pt>
                <c:pt idx="70">
                  <c:v>235</c:v>
                </c:pt>
                <c:pt idx="71">
                  <c:v>240</c:v>
                </c:pt>
                <c:pt idx="72">
                  <c:v>240</c:v>
                </c:pt>
                <c:pt idx="73">
                  <c:v>240</c:v>
                </c:pt>
                <c:pt idx="74">
                  <c:v>240</c:v>
                </c:pt>
                <c:pt idx="75">
                  <c:v>245</c:v>
                </c:pt>
                <c:pt idx="76">
                  <c:v>250</c:v>
                </c:pt>
                <c:pt idx="77">
                  <c:v>250</c:v>
                </c:pt>
                <c:pt idx="78">
                  <c:v>250</c:v>
                </c:pt>
                <c:pt idx="79">
                  <c:v>250</c:v>
                </c:pt>
                <c:pt idx="80">
                  <c:v>260</c:v>
                </c:pt>
                <c:pt idx="81">
                  <c:v>255</c:v>
                </c:pt>
                <c:pt idx="82">
                  <c:v>260</c:v>
                </c:pt>
                <c:pt idx="83">
                  <c:v>260</c:v>
                </c:pt>
                <c:pt idx="84">
                  <c:v>270</c:v>
                </c:pt>
                <c:pt idx="85">
                  <c:v>270</c:v>
                </c:pt>
                <c:pt idx="86">
                  <c:v>270</c:v>
                </c:pt>
                <c:pt idx="87">
                  <c:v>280</c:v>
                </c:pt>
                <c:pt idx="88">
                  <c:v>290</c:v>
                </c:pt>
                <c:pt idx="89">
                  <c:v>290</c:v>
                </c:pt>
                <c:pt idx="90">
                  <c:v>300</c:v>
                </c:pt>
                <c:pt idx="91">
                  <c:v>300</c:v>
                </c:pt>
                <c:pt idx="92">
                  <c:v>320</c:v>
                </c:pt>
                <c:pt idx="93">
                  <c:v>320</c:v>
                </c:pt>
                <c:pt idx="94">
                  <c:v>320</c:v>
                </c:pt>
                <c:pt idx="95">
                  <c:v>335</c:v>
                </c:pt>
                <c:pt idx="96">
                  <c:v>340</c:v>
                </c:pt>
                <c:pt idx="97">
                  <c:v>340</c:v>
                </c:pt>
                <c:pt idx="98">
                  <c:v>350</c:v>
                </c:pt>
                <c:pt idx="99">
                  <c:v>350</c:v>
                </c:pt>
                <c:pt idx="100">
                  <c:v>360</c:v>
                </c:pt>
                <c:pt idx="101">
                  <c:v>360</c:v>
                </c:pt>
                <c:pt idx="102">
                  <c:v>370</c:v>
                </c:pt>
                <c:pt idx="103">
                  <c:v>370</c:v>
                </c:pt>
                <c:pt idx="104">
                  <c:v>380</c:v>
                </c:pt>
                <c:pt idx="105">
                  <c:v>380</c:v>
                </c:pt>
                <c:pt idx="106">
                  <c:v>390</c:v>
                </c:pt>
                <c:pt idx="107">
                  <c:v>390</c:v>
                </c:pt>
              </c:numCache>
            </c:numRef>
          </c:val>
          <c:smooth val="0"/>
          <c:extLst>
            <c:ext xmlns:c16="http://schemas.microsoft.com/office/drawing/2014/chart" uri="{C3380CC4-5D6E-409C-BE32-E72D297353CC}">
              <c16:uniqueId val="{00000001-617F-4C2B-A3D4-409ECC1B6286}"/>
            </c:ext>
          </c:extLst>
        </c:ser>
        <c:dLbls>
          <c:showLegendKey val="0"/>
          <c:showVal val="0"/>
          <c:showCatName val="0"/>
          <c:showSerName val="0"/>
          <c:showPercent val="0"/>
          <c:showBubbleSize val="0"/>
        </c:dLbls>
        <c:smooth val="0"/>
        <c:axId val="1213482335"/>
        <c:axId val="1213483775"/>
      </c:lineChart>
      <c:dateAx>
        <c:axId val="1213482335"/>
        <c:scaling>
          <c:orientation val="minMax"/>
          <c:max val="45992"/>
          <c:min val="36586"/>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3-bed house,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'3BR_H-processed'!$C$1</c:f>
              <c:strCache>
                <c:ptCount val="1"/>
                <c:pt idx="0">
                  <c:v>Melbourne</c:v>
                </c:pt>
              </c:strCache>
            </c:strRef>
          </c:tx>
          <c:spPr>
            <a:ln w="28575" cap="rnd">
              <a:solidFill>
                <a:schemeClr val="accent1"/>
              </a:solidFill>
              <a:round/>
            </a:ln>
            <a:effectLst/>
          </c:spPr>
          <c:marker>
            <c:symbol val="none"/>
          </c:marker>
          <c:cat>
            <c:numRef>
              <c:f>'3BR_H-processed'!$B$2:$B$97</c:f>
              <c:numCache>
                <c:formatCode>mmm\-yy</c:formatCode>
                <c:ptCount val="96"/>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numCache>
            </c:numRef>
          </c:cat>
          <c:val>
            <c:numRef>
              <c:f>'3BR_H-processed'!$C$2:$C$97</c:f>
              <c:numCache>
                <c:formatCode>General</c:formatCode>
                <c:ptCount val="96"/>
                <c:pt idx="0">
                  <c:v>0</c:v>
                </c:pt>
                <c:pt idx="1">
                  <c:v>180</c:v>
                </c:pt>
                <c:pt idx="2">
                  <c:v>180</c:v>
                </c:pt>
                <c:pt idx="3">
                  <c:v>185</c:v>
                </c:pt>
                <c:pt idx="4">
                  <c:v>190</c:v>
                </c:pt>
                <c:pt idx="5">
                  <c:v>185</c:v>
                </c:pt>
                <c:pt idx="6">
                  <c:v>190</c:v>
                </c:pt>
                <c:pt idx="7">
                  <c:v>190</c:v>
                </c:pt>
                <c:pt idx="8">
                  <c:v>200</c:v>
                </c:pt>
                <c:pt idx="9">
                  <c:v>195</c:v>
                </c:pt>
                <c:pt idx="10">
                  <c:v>200</c:v>
                </c:pt>
                <c:pt idx="11">
                  <c:v>200</c:v>
                </c:pt>
                <c:pt idx="12">
                  <c:v>210</c:v>
                </c:pt>
                <c:pt idx="13">
                  <c:v>200</c:v>
                </c:pt>
                <c:pt idx="14">
                  <c:v>200</c:v>
                </c:pt>
                <c:pt idx="15">
                  <c:v>210</c:v>
                </c:pt>
                <c:pt idx="16">
                  <c:v>210</c:v>
                </c:pt>
                <c:pt idx="17">
                  <c:v>210</c:v>
                </c:pt>
                <c:pt idx="18">
                  <c:v>210</c:v>
                </c:pt>
                <c:pt idx="19">
                  <c:v>210</c:v>
                </c:pt>
                <c:pt idx="20">
                  <c:v>220</c:v>
                </c:pt>
                <c:pt idx="21">
                  <c:v>220</c:v>
                </c:pt>
                <c:pt idx="22">
                  <c:v>220</c:v>
                </c:pt>
                <c:pt idx="23">
                  <c:v>220</c:v>
                </c:pt>
                <c:pt idx="24">
                  <c:v>225</c:v>
                </c:pt>
                <c:pt idx="25">
                  <c:v>220</c:v>
                </c:pt>
                <c:pt idx="26">
                  <c:v>225</c:v>
                </c:pt>
                <c:pt idx="27">
                  <c:v>230</c:v>
                </c:pt>
                <c:pt idx="28">
                  <c:v>230</c:v>
                </c:pt>
                <c:pt idx="29">
                  <c:v>230</c:v>
                </c:pt>
                <c:pt idx="30">
                  <c:v>240</c:v>
                </c:pt>
                <c:pt idx="31">
                  <c:v>240</c:v>
                </c:pt>
                <c:pt idx="32">
                  <c:v>250</c:v>
                </c:pt>
                <c:pt idx="33">
                  <c:v>250</c:v>
                </c:pt>
                <c:pt idx="34">
                  <c:v>260</c:v>
                </c:pt>
                <c:pt idx="35">
                  <c:v>270</c:v>
                </c:pt>
                <c:pt idx="36">
                  <c:v>280</c:v>
                </c:pt>
                <c:pt idx="37">
                  <c:v>290</c:v>
                </c:pt>
                <c:pt idx="38">
                  <c:v>300</c:v>
                </c:pt>
                <c:pt idx="39">
                  <c:v>300</c:v>
                </c:pt>
                <c:pt idx="40">
                  <c:v>310</c:v>
                </c:pt>
                <c:pt idx="41">
                  <c:v>300</c:v>
                </c:pt>
                <c:pt idx="42">
                  <c:v>310</c:v>
                </c:pt>
                <c:pt idx="43">
                  <c:v>320</c:v>
                </c:pt>
                <c:pt idx="44">
                  <c:v>330</c:v>
                </c:pt>
                <c:pt idx="45">
                  <c:v>330</c:v>
                </c:pt>
                <c:pt idx="46">
                  <c:v>330</c:v>
                </c:pt>
                <c:pt idx="47">
                  <c:v>330</c:v>
                </c:pt>
                <c:pt idx="48">
                  <c:v>340</c:v>
                </c:pt>
                <c:pt idx="49">
                  <c:v>340</c:v>
                </c:pt>
                <c:pt idx="50">
                  <c:v>339</c:v>
                </c:pt>
                <c:pt idx="51">
                  <c:v>340</c:v>
                </c:pt>
                <c:pt idx="52">
                  <c:v>340</c:v>
                </c:pt>
                <c:pt idx="53">
                  <c:v>335</c:v>
                </c:pt>
                <c:pt idx="54">
                  <c:v>340</c:v>
                </c:pt>
                <c:pt idx="55">
                  <c:v>340</c:v>
                </c:pt>
                <c:pt idx="56">
                  <c:v>349</c:v>
                </c:pt>
                <c:pt idx="57">
                  <c:v>340</c:v>
                </c:pt>
                <c:pt idx="58">
                  <c:v>345</c:v>
                </c:pt>
                <c:pt idx="59">
                  <c:v>350</c:v>
                </c:pt>
                <c:pt idx="60">
                  <c:v>350</c:v>
                </c:pt>
                <c:pt idx="61">
                  <c:v>350</c:v>
                </c:pt>
                <c:pt idx="62">
                  <c:v>350</c:v>
                </c:pt>
                <c:pt idx="63">
                  <c:v>360</c:v>
                </c:pt>
                <c:pt idx="64">
                  <c:v>360</c:v>
                </c:pt>
                <c:pt idx="65">
                  <c:v>360</c:v>
                </c:pt>
                <c:pt idx="66">
                  <c:v>360</c:v>
                </c:pt>
                <c:pt idx="67">
                  <c:v>370</c:v>
                </c:pt>
                <c:pt idx="68">
                  <c:v>380</c:v>
                </c:pt>
                <c:pt idx="69">
                  <c:v>370</c:v>
                </c:pt>
                <c:pt idx="70">
                  <c:v>375</c:v>
                </c:pt>
                <c:pt idx="71">
                  <c:v>380</c:v>
                </c:pt>
                <c:pt idx="72">
                  <c:v>390</c:v>
                </c:pt>
                <c:pt idx="73">
                  <c:v>380</c:v>
                </c:pt>
                <c:pt idx="74">
                  <c:v>385</c:v>
                </c:pt>
                <c:pt idx="75">
                  <c:v>395</c:v>
                </c:pt>
                <c:pt idx="76">
                  <c:v>400</c:v>
                </c:pt>
                <c:pt idx="77">
                  <c:v>395</c:v>
                </c:pt>
                <c:pt idx="78">
                  <c:v>400</c:v>
                </c:pt>
                <c:pt idx="79">
                  <c:v>400</c:v>
                </c:pt>
                <c:pt idx="80">
                  <c:v>400</c:v>
                </c:pt>
                <c:pt idx="81">
                  <c:v>400</c:v>
                </c:pt>
                <c:pt idx="82">
                  <c:v>400</c:v>
                </c:pt>
                <c:pt idx="83">
                  <c:v>400</c:v>
                </c:pt>
                <c:pt idx="84">
                  <c:v>410</c:v>
                </c:pt>
                <c:pt idx="85">
                  <c:v>400</c:v>
                </c:pt>
                <c:pt idx="86">
                  <c:v>400</c:v>
                </c:pt>
                <c:pt idx="87">
                  <c:v>400</c:v>
                </c:pt>
                <c:pt idx="88">
                  <c:v>410</c:v>
                </c:pt>
                <c:pt idx="89">
                  <c:v>410</c:v>
                </c:pt>
                <c:pt idx="90">
                  <c:v>410</c:v>
                </c:pt>
                <c:pt idx="91">
                  <c:v>420</c:v>
                </c:pt>
                <c:pt idx="92">
                  <c:v>430</c:v>
                </c:pt>
                <c:pt idx="93">
                  <c:v>430</c:v>
                </c:pt>
                <c:pt idx="94">
                  <c:v>445</c:v>
                </c:pt>
                <c:pt idx="95">
                  <c:v>450</c:v>
                </c:pt>
              </c:numCache>
            </c:numRef>
          </c:val>
          <c:smooth val="0"/>
          <c:extLst>
            <c:ext xmlns:c16="http://schemas.microsoft.com/office/drawing/2014/chart" uri="{C3380CC4-5D6E-409C-BE32-E72D297353CC}">
              <c16:uniqueId val="{00000000-BD94-4DDC-8360-46B49DD12A0E}"/>
            </c:ext>
          </c:extLst>
        </c:ser>
        <c:ser>
          <c:idx val="1"/>
          <c:order val="1"/>
          <c:tx>
            <c:strRef>
              <c:f>'3BR_H-processed'!$D$1</c:f>
              <c:strCache>
                <c:ptCount val="1"/>
                <c:pt idx="0">
                  <c:v>Rest of Vic</c:v>
                </c:pt>
              </c:strCache>
            </c:strRef>
          </c:tx>
          <c:spPr>
            <a:ln w="28575" cap="rnd">
              <a:solidFill>
                <a:schemeClr val="accent2"/>
              </a:solidFill>
              <a:prstDash val="sysDot"/>
              <a:round/>
            </a:ln>
            <a:effectLst/>
          </c:spPr>
          <c:marker>
            <c:symbol val="none"/>
          </c:marker>
          <c:cat>
            <c:numRef>
              <c:f>'3BR_H-processed'!$B$2:$B$97</c:f>
              <c:numCache>
                <c:formatCode>mmm\-yy</c:formatCode>
                <c:ptCount val="96"/>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numCache>
            </c:numRef>
          </c:cat>
          <c:val>
            <c:numRef>
              <c:f>'3BR_H-processed'!$D$2:$D$97</c:f>
              <c:numCache>
                <c:formatCode>General</c:formatCode>
                <c:ptCount val="96"/>
                <c:pt idx="0">
                  <c:v>0</c:v>
                </c:pt>
                <c:pt idx="1">
                  <c:v>140</c:v>
                </c:pt>
                <c:pt idx="2">
                  <c:v>140</c:v>
                </c:pt>
                <c:pt idx="3">
                  <c:v>140</c:v>
                </c:pt>
                <c:pt idx="4">
                  <c:v>140</c:v>
                </c:pt>
                <c:pt idx="5">
                  <c:v>145</c:v>
                </c:pt>
                <c:pt idx="6">
                  <c:v>145</c:v>
                </c:pt>
                <c:pt idx="7">
                  <c:v>145</c:v>
                </c:pt>
                <c:pt idx="8">
                  <c:v>150</c:v>
                </c:pt>
                <c:pt idx="9">
                  <c:v>150</c:v>
                </c:pt>
                <c:pt idx="10">
                  <c:v>150</c:v>
                </c:pt>
                <c:pt idx="11">
                  <c:v>155</c:v>
                </c:pt>
                <c:pt idx="12">
                  <c:v>160</c:v>
                </c:pt>
                <c:pt idx="13">
                  <c:v>160</c:v>
                </c:pt>
                <c:pt idx="14">
                  <c:v>160</c:v>
                </c:pt>
                <c:pt idx="15">
                  <c:v>165</c:v>
                </c:pt>
                <c:pt idx="16">
                  <c:v>170</c:v>
                </c:pt>
                <c:pt idx="17">
                  <c:v>170</c:v>
                </c:pt>
                <c:pt idx="18">
                  <c:v>170</c:v>
                </c:pt>
                <c:pt idx="19">
                  <c:v>180</c:v>
                </c:pt>
                <c:pt idx="20">
                  <c:v>180</c:v>
                </c:pt>
                <c:pt idx="21">
                  <c:v>180</c:v>
                </c:pt>
                <c:pt idx="22">
                  <c:v>180</c:v>
                </c:pt>
                <c:pt idx="23">
                  <c:v>185</c:v>
                </c:pt>
                <c:pt idx="24">
                  <c:v>190</c:v>
                </c:pt>
                <c:pt idx="25">
                  <c:v>185</c:v>
                </c:pt>
                <c:pt idx="26">
                  <c:v>185</c:v>
                </c:pt>
                <c:pt idx="27">
                  <c:v>190</c:v>
                </c:pt>
                <c:pt idx="28">
                  <c:v>190</c:v>
                </c:pt>
                <c:pt idx="29">
                  <c:v>190</c:v>
                </c:pt>
                <c:pt idx="30">
                  <c:v>195</c:v>
                </c:pt>
                <c:pt idx="31">
                  <c:v>200</c:v>
                </c:pt>
                <c:pt idx="32">
                  <c:v>200</c:v>
                </c:pt>
                <c:pt idx="33">
                  <c:v>200</c:v>
                </c:pt>
                <c:pt idx="34">
                  <c:v>205</c:v>
                </c:pt>
                <c:pt idx="35">
                  <c:v>210</c:v>
                </c:pt>
                <c:pt idx="36">
                  <c:v>220</c:v>
                </c:pt>
                <c:pt idx="37">
                  <c:v>220</c:v>
                </c:pt>
                <c:pt idx="38">
                  <c:v>220</c:v>
                </c:pt>
                <c:pt idx="39">
                  <c:v>225</c:v>
                </c:pt>
                <c:pt idx="40">
                  <c:v>230</c:v>
                </c:pt>
                <c:pt idx="41">
                  <c:v>230</c:v>
                </c:pt>
                <c:pt idx="42">
                  <c:v>230</c:v>
                </c:pt>
                <c:pt idx="43">
                  <c:v>240</c:v>
                </c:pt>
                <c:pt idx="44">
                  <c:v>240</c:v>
                </c:pt>
                <c:pt idx="45">
                  <c:v>245</c:v>
                </c:pt>
                <c:pt idx="46">
                  <c:v>250</c:v>
                </c:pt>
                <c:pt idx="47">
                  <c:v>250</c:v>
                </c:pt>
                <c:pt idx="48">
                  <c:v>260</c:v>
                </c:pt>
                <c:pt idx="49">
                  <c:v>260</c:v>
                </c:pt>
                <c:pt idx="50">
                  <c:v>260</c:v>
                </c:pt>
                <c:pt idx="51">
                  <c:v>270</c:v>
                </c:pt>
                <c:pt idx="52">
                  <c:v>270</c:v>
                </c:pt>
                <c:pt idx="53">
                  <c:v>270</c:v>
                </c:pt>
                <c:pt idx="54">
                  <c:v>270</c:v>
                </c:pt>
                <c:pt idx="55">
                  <c:v>270</c:v>
                </c:pt>
                <c:pt idx="56">
                  <c:v>275</c:v>
                </c:pt>
                <c:pt idx="57">
                  <c:v>270</c:v>
                </c:pt>
                <c:pt idx="58">
                  <c:v>275</c:v>
                </c:pt>
                <c:pt idx="59">
                  <c:v>280</c:v>
                </c:pt>
                <c:pt idx="60">
                  <c:v>280</c:v>
                </c:pt>
                <c:pt idx="61">
                  <c:v>280</c:v>
                </c:pt>
                <c:pt idx="62">
                  <c:v>280</c:v>
                </c:pt>
                <c:pt idx="63">
                  <c:v>280</c:v>
                </c:pt>
                <c:pt idx="64">
                  <c:v>285</c:v>
                </c:pt>
                <c:pt idx="65">
                  <c:v>280</c:v>
                </c:pt>
                <c:pt idx="66">
                  <c:v>280</c:v>
                </c:pt>
                <c:pt idx="67">
                  <c:v>285</c:v>
                </c:pt>
                <c:pt idx="68">
                  <c:v>290</c:v>
                </c:pt>
                <c:pt idx="69">
                  <c:v>290</c:v>
                </c:pt>
                <c:pt idx="70">
                  <c:v>290</c:v>
                </c:pt>
                <c:pt idx="71">
                  <c:v>295</c:v>
                </c:pt>
                <c:pt idx="72">
                  <c:v>300</c:v>
                </c:pt>
                <c:pt idx="73">
                  <c:v>300</c:v>
                </c:pt>
                <c:pt idx="74">
                  <c:v>300</c:v>
                </c:pt>
                <c:pt idx="75">
                  <c:v>300</c:v>
                </c:pt>
                <c:pt idx="76">
                  <c:v>310</c:v>
                </c:pt>
                <c:pt idx="77">
                  <c:v>310</c:v>
                </c:pt>
                <c:pt idx="78">
                  <c:v>310</c:v>
                </c:pt>
                <c:pt idx="79">
                  <c:v>320</c:v>
                </c:pt>
                <c:pt idx="80">
                  <c:v>320</c:v>
                </c:pt>
                <c:pt idx="81">
                  <c:v>330</c:v>
                </c:pt>
                <c:pt idx="82">
                  <c:v>330</c:v>
                </c:pt>
                <c:pt idx="83">
                  <c:v>330</c:v>
                </c:pt>
                <c:pt idx="84">
                  <c:v>340</c:v>
                </c:pt>
                <c:pt idx="85">
                  <c:v>330</c:v>
                </c:pt>
                <c:pt idx="86">
                  <c:v>340</c:v>
                </c:pt>
                <c:pt idx="87">
                  <c:v>350</c:v>
                </c:pt>
                <c:pt idx="88">
                  <c:v>359</c:v>
                </c:pt>
                <c:pt idx="89">
                  <c:v>363</c:v>
                </c:pt>
                <c:pt idx="90">
                  <c:v>375</c:v>
                </c:pt>
                <c:pt idx="91">
                  <c:v>380</c:v>
                </c:pt>
                <c:pt idx="92">
                  <c:v>390</c:v>
                </c:pt>
                <c:pt idx="93">
                  <c:v>400</c:v>
                </c:pt>
                <c:pt idx="94">
                  <c:v>400</c:v>
                </c:pt>
                <c:pt idx="95">
                  <c:v>400</c:v>
                </c:pt>
              </c:numCache>
            </c:numRef>
          </c:val>
          <c:smooth val="0"/>
          <c:extLst>
            <c:ext xmlns:c16="http://schemas.microsoft.com/office/drawing/2014/chart" uri="{C3380CC4-5D6E-409C-BE32-E72D297353CC}">
              <c16:uniqueId val="{00000001-BD94-4DDC-8360-46B49DD12A0E}"/>
            </c:ext>
          </c:extLst>
        </c:ser>
        <c:dLbls>
          <c:showLegendKey val="0"/>
          <c:showVal val="0"/>
          <c:showCatName val="0"/>
          <c:showSerName val="0"/>
          <c:showPercent val="0"/>
          <c:showBubbleSize val="0"/>
        </c:dLbls>
        <c:smooth val="0"/>
        <c:axId val="1213482335"/>
        <c:axId val="1213483775"/>
      </c:lineChart>
      <c:dateAx>
        <c:axId val="1213482335"/>
        <c:scaling>
          <c:orientation val="minMax"/>
          <c:min val="36586"/>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min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33CC8A3-6D49-4316-A100-1670F52EF4B3}">
  <sheetPr>
    <tabColor rgb="FFFF0000"/>
  </sheetPr>
  <sheetViews>
    <sheetView zoomScale="149"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5C39E79-61E4-4732-84C9-674D45B7A933}">
  <sheetPr>
    <tabColor rgb="FFFF0000"/>
  </sheetPr>
  <sheetViews>
    <sheetView zoomScale="15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168088</xdr:colOff>
      <xdr:row>14</xdr:row>
      <xdr:rowOff>155761</xdr:rowOff>
    </xdr:from>
    <xdr:to>
      <xdr:col>10</xdr:col>
      <xdr:colOff>526676</xdr:colOff>
      <xdr:row>29</xdr:row>
      <xdr:rowOff>41461</xdr:rowOff>
    </xdr:to>
    <xdr:graphicFrame macro="">
      <xdr:nvGraphicFramePr>
        <xdr:cNvPr id="3" name="Chart 2">
          <a:extLst>
            <a:ext uri="{FF2B5EF4-FFF2-40B4-BE49-F238E27FC236}">
              <a16:creationId xmlns:a16="http://schemas.microsoft.com/office/drawing/2014/main" id="{5CB90F4E-02E0-47A0-B466-804A077B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184899</xdr:colOff>
      <xdr:row>29</xdr:row>
      <xdr:rowOff>85162</xdr:rowOff>
    </xdr:from>
    <xdr:to>
      <xdr:col>10</xdr:col>
      <xdr:colOff>521075</xdr:colOff>
      <xdr:row>52</xdr:row>
      <xdr:rowOff>22412</xdr:rowOff>
    </xdr:to>
    <xdr:graphicFrame macro="">
      <xdr:nvGraphicFramePr>
        <xdr:cNvPr id="11" name="Chart 10">
          <a:extLst>
            <a:ext uri="{FF2B5EF4-FFF2-40B4-BE49-F238E27FC236}">
              <a16:creationId xmlns:a16="http://schemas.microsoft.com/office/drawing/2014/main" id="{B8003069-A1BC-126C-F12C-1245F7F05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165100</xdr:colOff>
      <xdr:row>0</xdr:row>
      <xdr:rowOff>73025</xdr:rowOff>
    </xdr:from>
    <xdr:to>
      <xdr:col>10</xdr:col>
      <xdr:colOff>526863</xdr:colOff>
      <xdr:row>14</xdr:row>
      <xdr:rowOff>149225</xdr:rowOff>
    </xdr:to>
    <xdr:graphicFrame macro="">
      <xdr:nvGraphicFramePr>
        <xdr:cNvPr id="5" name="Chart 4">
          <a:extLst>
            <a:ext uri="{FF2B5EF4-FFF2-40B4-BE49-F238E27FC236}">
              <a16:creationId xmlns:a16="http://schemas.microsoft.com/office/drawing/2014/main" id="{ACF4E6C2-F1C1-49CC-AE96-A2E8AEA5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6205101" cy="4057181"/>
    <xdr:graphicFrame macro="">
      <xdr:nvGraphicFramePr>
        <xdr:cNvPr id="2" name="Chart 1">
          <a:extLst>
            <a:ext uri="{FF2B5EF4-FFF2-40B4-BE49-F238E27FC236}">
              <a16:creationId xmlns:a16="http://schemas.microsoft.com/office/drawing/2014/main" id="{3520ECC8-8C00-BCC9-1A70-5890CC678DE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6197600" cy="4047067"/>
    <xdr:graphicFrame macro="">
      <xdr:nvGraphicFramePr>
        <xdr:cNvPr id="2" name="Chart 1">
          <a:extLst>
            <a:ext uri="{FF2B5EF4-FFF2-40B4-BE49-F238E27FC236}">
              <a16:creationId xmlns:a16="http://schemas.microsoft.com/office/drawing/2014/main" id="{883F9BC4-A5D5-2BF4-5C78-8CBD82A1B49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5180-035D-48DB-8733-6519DE93E6F1}">
  <sheetPr>
    <tabColor theme="4"/>
  </sheetPr>
  <dimension ref="A1:BO163"/>
  <sheetViews>
    <sheetView tabSelected="1" zoomScale="69" zoomScaleNormal="80" workbookViewId="0">
      <selection activeCell="C42" sqref="C42"/>
    </sheetView>
  </sheetViews>
  <sheetFormatPr defaultRowHeight="15" outlineLevelCol="1" x14ac:dyDescent="0.25"/>
  <cols>
    <col min="1" max="1" width="65.140625" bestFit="1" customWidth="1"/>
    <col min="2" max="3" width="14" bestFit="1" customWidth="1"/>
    <col min="12" max="12" width="14.28515625" bestFit="1" customWidth="1"/>
    <col min="13" max="14" width="25.42578125" bestFit="1" customWidth="1"/>
    <col min="15" max="16" width="25.28515625" customWidth="1" outlineLevel="1"/>
    <col min="17" max="17" width="14.28515625" customWidth="1" outlineLevel="1"/>
    <col min="18" max="18" width="14.42578125" customWidth="1" outlineLevel="1"/>
    <col min="19" max="19" width="4.140625" customWidth="1"/>
    <col min="20" max="20" width="32.140625" customWidth="1" outlineLevel="1"/>
    <col min="21" max="21" width="20.28515625" customWidth="1" outlineLevel="1"/>
    <col min="22" max="22" width="13.140625" customWidth="1" outlineLevel="1"/>
    <col min="23" max="23" width="19.140625" customWidth="1" outlineLevel="1"/>
    <col min="24" max="26" width="23.85546875" customWidth="1" outlineLevel="1"/>
    <col min="27" max="28" width="29.42578125" customWidth="1" outlineLevel="1"/>
    <col min="29" max="34" width="26.7109375" customWidth="1" outlineLevel="1"/>
    <col min="35" max="35" width="27" customWidth="1" outlineLevel="1"/>
    <col min="36" max="36" width="19.140625" customWidth="1" outlineLevel="1"/>
    <col min="37" max="39" width="16.7109375" customWidth="1" outlineLevel="1"/>
    <col min="40" max="40" width="13.140625" customWidth="1" outlineLevel="1"/>
    <col min="41" max="41" width="19" customWidth="1" outlineLevel="1"/>
    <col min="42" max="42" width="26.7109375" customWidth="1" outlineLevel="1"/>
    <col min="43" max="43" width="4.140625" customWidth="1"/>
    <col min="44" max="44" width="18.140625" customWidth="1" outlineLevel="1"/>
    <col min="45" max="45" width="12.28515625" customWidth="1" outlineLevel="1"/>
    <col min="46" max="46" width="20.28515625" customWidth="1" outlineLevel="1"/>
    <col min="47" max="48" width="15.5703125" customWidth="1" outlineLevel="1"/>
    <col min="49" max="49" width="22" customWidth="1" outlineLevel="1"/>
    <col min="50" max="50" width="22.7109375" customWidth="1" outlineLevel="1"/>
    <col min="51" max="51" width="26.140625" customWidth="1" outlineLevel="1"/>
    <col min="52" max="53" width="27.140625" customWidth="1" outlineLevel="1"/>
    <col min="54" max="55" width="14.140625" customWidth="1" outlineLevel="1"/>
    <col min="56" max="57" width="17.42578125" customWidth="1" outlineLevel="1"/>
    <col min="58" max="58" width="20" customWidth="1" outlineLevel="1"/>
    <col min="59" max="59" width="22.42578125" customWidth="1" outlineLevel="1"/>
    <col min="60" max="67" width="9.85546875" customWidth="1"/>
  </cols>
  <sheetData>
    <row r="1" spans="1:67" x14ac:dyDescent="0.25">
      <c r="A1" s="10" t="s">
        <v>835</v>
      </c>
      <c r="B1" s="6" t="s">
        <v>493</v>
      </c>
      <c r="C1" s="6" t="s">
        <v>492</v>
      </c>
      <c r="O1" s="8"/>
      <c r="S1" s="12"/>
      <c r="T1" t="s">
        <v>16</v>
      </c>
      <c r="X1" s="12" cm="1">
        <f t="array" ref="X1">SUM(_xlfn._xlws.FILTER(X3:X82,ISNUMBER(X3:X82)))</f>
        <v>403722.45038996957</v>
      </c>
      <c r="Y1" s="34"/>
      <c r="AA1" s="35"/>
      <c r="AI1" t="s">
        <v>471</v>
      </c>
      <c r="AP1" s="12"/>
      <c r="AQ1" s="12"/>
      <c r="AR1" t="s">
        <v>23</v>
      </c>
      <c r="AT1" s="12"/>
      <c r="AX1" s="7"/>
      <c r="AY1" t="s">
        <v>328</v>
      </c>
      <c r="BB1" t="s">
        <v>325</v>
      </c>
      <c r="BG1" s="12" cm="1">
        <f t="array" ref="BG1">SUM(_xlfn._xlws.FILTER(BG3:BG82,ISNUMBER(BG3:BG82)))</f>
        <v>627152.62356901309</v>
      </c>
      <c r="BH1" t="s">
        <v>479</v>
      </c>
    </row>
    <row r="2" spans="1:67" x14ac:dyDescent="0.25">
      <c r="A2" s="6" t="s">
        <v>330</v>
      </c>
      <c r="B2" s="33">
        <f>_xlfn.XLOOKUP(Q_end,L:L,O:O)</f>
        <v>1.5572554896303625</v>
      </c>
      <c r="E2" t="str">
        <f>"Renter vs owner wealth, "&amp;Council_Area&amp;IF(B10="2BR_F"," 2-bedroom flat"," 3-bedroom house")</f>
        <v>Renter vs owner wealth, Melbourne 3-bedroom house</v>
      </c>
      <c r="L2" t="s">
        <v>56</v>
      </c>
      <c r="M2" s="6" t="s">
        <v>64</v>
      </c>
      <c r="N2" s="6" t="s">
        <v>63</v>
      </c>
      <c r="O2" t="s">
        <v>318</v>
      </c>
      <c r="P2" t="s">
        <v>320</v>
      </c>
      <c r="Q2" t="s">
        <v>60</v>
      </c>
      <c r="R2" t="s">
        <v>55</v>
      </c>
      <c r="S2" s="6"/>
      <c r="T2" t="s">
        <v>307</v>
      </c>
      <c r="U2" t="s">
        <v>308</v>
      </c>
      <c r="V2" t="s">
        <v>12</v>
      </c>
      <c r="W2" t="s">
        <v>839</v>
      </c>
      <c r="X2" s="6" t="s">
        <v>62</v>
      </c>
      <c r="Y2" t="s">
        <v>309</v>
      </c>
      <c r="Z2" t="s">
        <v>344</v>
      </c>
      <c r="AA2" t="s">
        <v>348</v>
      </c>
      <c r="AB2" t="s">
        <v>477</v>
      </c>
      <c r="AC2" t="s">
        <v>314</v>
      </c>
      <c r="AD2" t="s">
        <v>315</v>
      </c>
      <c r="AE2" t="s">
        <v>316</v>
      </c>
      <c r="AF2" t="s">
        <v>311</v>
      </c>
      <c r="AG2" t="s">
        <v>310</v>
      </c>
      <c r="AH2" t="s">
        <v>319</v>
      </c>
      <c r="AI2" s="6" t="s">
        <v>475</v>
      </c>
      <c r="AJ2" t="s">
        <v>474</v>
      </c>
      <c r="AK2" t="s">
        <v>470</v>
      </c>
      <c r="AL2" t="s">
        <v>476</v>
      </c>
      <c r="AM2" t="s">
        <v>478</v>
      </c>
      <c r="AN2" t="s">
        <v>469</v>
      </c>
      <c r="AO2" t="s">
        <v>472</v>
      </c>
      <c r="AP2" s="6" t="s">
        <v>317</v>
      </c>
      <c r="AQ2" s="6"/>
      <c r="AR2" t="s">
        <v>24</v>
      </c>
      <c r="AS2" t="s">
        <v>54</v>
      </c>
      <c r="AT2" t="s">
        <v>28</v>
      </c>
      <c r="AU2" t="s">
        <v>342</v>
      </c>
      <c r="AV2" t="s">
        <v>321</v>
      </c>
      <c r="AW2" t="s">
        <v>494</v>
      </c>
      <c r="AX2" s="10" t="s">
        <v>322</v>
      </c>
      <c r="AY2" t="s">
        <v>323</v>
      </c>
      <c r="AZ2" t="s">
        <v>324</v>
      </c>
      <c r="BA2" t="s">
        <v>327</v>
      </c>
      <c r="BB2" t="s">
        <v>53</v>
      </c>
      <c r="BC2" t="s">
        <v>59</v>
      </c>
      <c r="BD2" t="s">
        <v>58</v>
      </c>
      <c r="BE2" t="s">
        <v>26</v>
      </c>
      <c r="BF2" t="s">
        <v>27</v>
      </c>
      <c r="BG2" s="6" t="s">
        <v>61</v>
      </c>
      <c r="BH2" t="s">
        <v>467</v>
      </c>
      <c r="BI2" t="s">
        <v>481</v>
      </c>
      <c r="BJ2" t="s">
        <v>482</v>
      </c>
      <c r="BK2" t="s">
        <v>483</v>
      </c>
      <c r="BL2" t="s">
        <v>836</v>
      </c>
      <c r="BM2" t="s">
        <v>484</v>
      </c>
      <c r="BN2" t="s">
        <v>486</v>
      </c>
      <c r="BO2" t="s">
        <v>485</v>
      </c>
    </row>
    <row r="3" spans="1:67" x14ac:dyDescent="0.25">
      <c r="A3" s="6" t="s">
        <v>499</v>
      </c>
      <c r="B3" s="33" cm="1">
        <f t="array" ref="B3">SUM(_xlfn._xlws.FILTER($X$3:$X$82,ISNUMBER($X$3:$X$82)))/(SUM(_xlfn._xlws.FILTER($BG$3:$BG$82,ISNUMBER($BG$3:$BG$82)))-AT3)</f>
        <v>0.7466074113509269</v>
      </c>
      <c r="L3" s="1">
        <f>Q_start</f>
        <v>38777</v>
      </c>
      <c r="M3" s="11">
        <f t="shared" ref="M3:M34" si="0">AP3</f>
        <v>96819.447826276504</v>
      </c>
      <c r="N3" s="11">
        <f>AX3-BC3</f>
        <v>57626.25</v>
      </c>
      <c r="O3" s="8">
        <f>M3/N3</f>
        <v>1.6801275083191516</v>
      </c>
      <c r="P3" s="8">
        <f t="shared" ref="P3:P34" si="1">X3/BG3</f>
        <v>3.3099484213178459E-2</v>
      </c>
      <c r="Q3">
        <v>1</v>
      </c>
      <c r="R3">
        <f t="shared" ref="R3:R34" si="2">EOMONTH(L3,0)-EOMONTH(L3,-3)</f>
        <v>90</v>
      </c>
      <c r="S3" s="23"/>
      <c r="T3" s="23">
        <f>IF($B$10="3BR_H",
INDEX('3BR_H-processed'!$C:$D,MATCH($L3,'3BR_H-processed'!$B:$B,0),MATCH(Council_Area,'3BR_H-processed'!$C$1:$D$1,0)),
INDEX('2BR_F-processed'!$C:$D,MATCH($L3,'2BR_F-processed'!$B:$B,0),MATCH(Council_Area,'2BR_F-processed'!$C$1:$D$1,0)))</f>
        <v>230</v>
      </c>
      <c r="U3" s="23">
        <f>IF(MOD(Q3,4)=1,T3,U2)</f>
        <v>230</v>
      </c>
      <c r="V3" s="23">
        <f>U3*(R3)/7</f>
        <v>2957.1428571428573</v>
      </c>
      <c r="W3" s="23">
        <f>$B$53/4*BH3/_xlfn.XLOOKUP(Q_end,cpi!A:A,cpi!B:B)</f>
        <v>116.93158258465792</v>
      </c>
      <c r="X3" s="23">
        <f t="shared" ref="X3:X34" si="3">V3+W3</f>
        <v>3074.0744397275153</v>
      </c>
      <c r="Y3" s="23">
        <f t="shared" ref="Y3:Y34" si="4">BG3-X3</f>
        <v>89799.712351898139</v>
      </c>
      <c r="Z3" s="30">
        <f>MAX(0,Y3*$B$47)</f>
        <v>0</v>
      </c>
      <c r="AA3" s="23" cm="1">
        <f t="array" ref="AA3">(Y3+Z3)*eff_invest</f>
        <v>89799.712351898139</v>
      </c>
      <c r="AB3" s="23">
        <f>AA3*(_xlfn.XLOOKUP(Q_end,cpi!A:A,cpi!B:B)/BH3)</f>
        <v>153593.59784065792</v>
      </c>
      <c r="AC3" s="23" cm="1">
        <f t="array" ref="AC3">INDEX('msci-indices'!C:C,MATCH($L3,'msci-indices'!$B:$B)-2)</f>
        <v>754.87961099999995</v>
      </c>
      <c r="AD3" s="23" cm="1">
        <f t="array" ref="AD3">INDEX('msci-indices'!D:D,MATCH($L3,'msci-indices'!$B:$B)-2)</f>
        <v>712.95624699999996</v>
      </c>
      <c r="AE3" s="30">
        <f>AA3</f>
        <v>89799.712351898139</v>
      </c>
      <c r="AF3" s="23" cm="1">
        <f t="array" ref="AF3">INDEX('msci-indices'!C:C,MATCH($L3,'msci-indices'!$B:$B)+1)</f>
        <v>809.32011899999998</v>
      </c>
      <c r="AG3" s="23" cm="1">
        <f t="array" ref="AG3">INDEX('msci-indices'!D:D,MATCH($L3,'msci-indices'!$B:$B)+1)</f>
        <v>780.24346800000001</v>
      </c>
      <c r="AH3" s="23">
        <f t="shared" ref="AH3:AH34" si="5">(InvestFees/4)*AE3</f>
        <v>56.124820219936339</v>
      </c>
      <c r="AI3" s="23">
        <f t="shared" ref="AI3:AI34" si="6">((AF3/AC3)*GlobalPortfolio+(AG3/AD3)*AusPortfolio)*AE3-AH3</f>
        <v>96819.447826276504</v>
      </c>
      <c r="AJ3" s="30">
        <f>AA3</f>
        <v>89799.712351898139</v>
      </c>
      <c r="AK3" s="23">
        <f t="shared" ref="AK3:AK34" si="7">AI3-AJ3</f>
        <v>7019.7354743783653</v>
      </c>
      <c r="AL3" s="23">
        <f>AJ3*(_xlfn.XLOOKUP(Q_end,cpi!A:A,cpi!B:B)/BH3)</f>
        <v>153593.59784065792</v>
      </c>
      <c r="AM3" s="30">
        <f>AA3</f>
        <v>89799.712351898139</v>
      </c>
      <c r="AN3" s="23">
        <f>AI3-AM3</f>
        <v>7019.7354743783653</v>
      </c>
      <c r="AO3" s="23">
        <f t="shared" ref="AO3:AO34" si="8">IF($B$49="Real gains",MAX($B$50*AN3,0),IF($B$49="Discounted nominal gains",MAX($B$50*AK3/2,0),0))</f>
        <v>0</v>
      </c>
      <c r="AP3" s="23">
        <f>AI3-AO3</f>
        <v>96819.447826276504</v>
      </c>
      <c r="AQ3" s="23"/>
      <c r="AR3" s="11">
        <f>IF($B$10="3BR_H",
INDEX('ns-combined'!$C:$D,MATCH($L3,'ns-combined'!$B:$B,0),MATCH(Council_Area,'ns-combined'!$C$1:$D$1,0))*1000,
INDEX('s-combined'!$C:$D,MATCH($L3,'s-combined'!$B:$B,0),MATCH(Council_Area,'s-combined'!$C$1:$D$1,0))*1000)</f>
        <v>330000</v>
      </c>
      <c r="AS3" s="30">
        <f>AR3*$B$14/4</f>
        <v>825</v>
      </c>
      <c r="AT3" s="14">
        <f>SUM(B20:B26)*AR3</f>
        <v>86410.000000000015</v>
      </c>
      <c r="AU3" s="23">
        <f t="shared" ref="AU3:AU34" si="9">SUM($B$28:$B$29)*AR3</f>
        <v>6600</v>
      </c>
      <c r="AV3" s="23">
        <f t="shared" ref="AV3:AV34" si="10">AR3*$B$15/4</f>
        <v>948.75</v>
      </c>
      <c r="AW3" s="23">
        <f>SUM($AV$3:AV3)</f>
        <v>948.75</v>
      </c>
      <c r="AX3" s="23">
        <f>AR3-AS3-AU3-AW3</f>
        <v>321626.25</v>
      </c>
      <c r="AY3" s="23">
        <f t="shared" ref="AY3:AY34" si="11">$B$36*V3</f>
        <v>1035.0000000000002</v>
      </c>
      <c r="AZ3" s="25">
        <f t="shared" ref="AZ3:AZ34" si="12">SUM(AY3:AY3)*4/AR3</f>
        <v>1.2545454545454549E-2</v>
      </c>
      <c r="BA3" s="25">
        <f t="shared" ref="BA3:BA34" si="13">SUM(AY3:AY3)/V3</f>
        <v>0.35000000000000003</v>
      </c>
      <c r="BB3" s="26">
        <f>IF(MortgageRate="Discounted",_xlfn.XLOOKUP(L3,'mortgage-rates'!$A:$A,'mortgage-rates'!$E:$E)/100,_xlfn.XLOOKUP(L3,'mortgage-rates'!$A:$A,'mortgage-rates'!$D:$D)/100)</f>
        <v>6.6400000000000001E-2</v>
      </c>
      <c r="BC3" s="11">
        <f>(1-B20)*AR3</f>
        <v>264000</v>
      </c>
      <c r="BD3" s="11">
        <f t="shared" ref="BD3:BD34" si="14">IF($B$16*12/3-Q3+1&gt;0,-PMT($BB3/4,$B$16*12/3-Q3+1,BC3),0)</f>
        <v>5428.78679162564</v>
      </c>
      <c r="BE3" s="11">
        <f t="shared" ref="BE3:BE34" si="15">BC3*($BB3/4)</f>
        <v>4382.3999999999996</v>
      </c>
      <c r="BF3" s="11">
        <f>BD3-BE3</f>
        <v>1046.3867916256404</v>
      </c>
      <c r="BG3" s="13">
        <f t="shared" ref="BG3:BG34" si="16">AT3+AY3+BD3</f>
        <v>92873.786791625651</v>
      </c>
      <c r="BH3" s="23">
        <f>INDEX(cpi!B:B,MATCH($L3,cpi!A:A))</f>
        <v>84.6</v>
      </c>
      <c r="BI3" s="23">
        <f t="shared" ref="BI3:BI34" si="17">100*BH3/BH$3</f>
        <v>100</v>
      </c>
      <c r="BJ3" s="23">
        <f t="shared" ref="BJ3:BJ34" si="18">100*AC3/AC$3</f>
        <v>100</v>
      </c>
      <c r="BK3" s="23">
        <f t="shared" ref="BK3:BK34" si="19">100*AD3/AD$3</f>
        <v>100</v>
      </c>
      <c r="BL3" s="23">
        <f t="shared" ref="BL3:BL34" si="20">BJ3*GlobalPortfolio+BK3*AusPortfolio</f>
        <v>100</v>
      </c>
      <c r="BM3" s="23">
        <f t="shared" ref="BM3:BM34" si="21">100*AE3/$AE$3</f>
        <v>100</v>
      </c>
      <c r="BN3" s="23">
        <f t="shared" ref="BN3:BN34" si="22">100*AR3/AR$3</f>
        <v>100</v>
      </c>
      <c r="BO3">
        <f t="shared" ref="BO3:BO34" si="23">100*AX3/AX$3</f>
        <v>100</v>
      </c>
    </row>
    <row r="4" spans="1:67" x14ac:dyDescent="0.25">
      <c r="A4" t="s">
        <v>487</v>
      </c>
      <c r="B4" s="4">
        <f>((_xlfn.XLOOKUP(Q_end,L:L,AR:AR)/_xlfn.XLOOKUP(Q_start,L:L,AR:AR))^(1/YEARFRAC(EOMONTH(Q_start,-3)+1,EOMONTH(Q_end,0))))-1</f>
        <v>4.9964717889481758E-2</v>
      </c>
      <c r="L4" s="1">
        <f>IF(DATE(YEAR(L3),MONTH(L3)+3,1)&lt;=Q_end,DATE(YEAR(L3),MONTH(L3)+3,1),"")</f>
        <v>38869</v>
      </c>
      <c r="M4" s="11">
        <f t="shared" si="0"/>
        <v>99680.292406699751</v>
      </c>
      <c r="N4" s="11">
        <f t="shared" ref="N4:N34" si="24">AX4-BC4</f>
        <v>71555.761791625642</v>
      </c>
      <c r="O4" s="8">
        <f t="shared" ref="O4:O67" si="25">M4/N4</f>
        <v>1.3930435496861078</v>
      </c>
      <c r="P4" s="8">
        <f t="shared" si="1"/>
        <v>0.46960836532351241</v>
      </c>
      <c r="Q4">
        <v>2</v>
      </c>
      <c r="R4">
        <f t="shared" si="2"/>
        <v>91</v>
      </c>
      <c r="S4" s="23"/>
      <c r="T4" s="23">
        <f>IF($B$10="3BR_H",
INDEX('3BR_H-processed'!$C:$D,MATCH($L4,'3BR_H-processed'!$B:$B,0),MATCH(Council_Area,'3BR_H-processed'!$C$1:$D$1,0)),
INDEX('2BR_F-processed'!$C:$D,MATCH($L4,'2BR_F-processed'!$B:$B,0),MATCH(Council_Area,'2BR_F-processed'!$C$1:$D$1,0)))</f>
        <v>230</v>
      </c>
      <c r="U4" s="23">
        <f t="shared" ref="U4:U67" si="26">IF(MOD(Q4,4)=1,T4,U3)</f>
        <v>230</v>
      </c>
      <c r="V4" s="23">
        <f>U4*(R4)/7</f>
        <v>2990</v>
      </c>
      <c r="W4" s="23">
        <f>$B$53/4*BH4/_xlfn.XLOOKUP(Q_end,cpi!A:A,cpi!B:B)</f>
        <v>118.72840359364203</v>
      </c>
      <c r="X4" s="23">
        <f t="shared" si="3"/>
        <v>3108.7284035936418</v>
      </c>
      <c r="Y4" s="23">
        <f t="shared" si="4"/>
        <v>3511.1034246831905</v>
      </c>
      <c r="Z4" s="23">
        <f t="shared" ref="Z4:Z35" si="27">Y4*$B$47</f>
        <v>0</v>
      </c>
      <c r="AA4" s="23" cm="1">
        <f t="array" ref="AA4">(Y4+Z4)*eff_invest</f>
        <v>3511.1034246831905</v>
      </c>
      <c r="AB4" s="23">
        <f>AA4*(_xlfn.XLOOKUP(Q_end,cpi!A:A,cpi!B:B)/BH4)</f>
        <v>5914.5129866316365</v>
      </c>
      <c r="AC4" s="23" cm="1">
        <f t="array" ref="AC4">INDEX('msci-indices'!C:C,MATCH($L4,'msci-indices'!$B:$B)-2)</f>
        <v>809.32011899999998</v>
      </c>
      <c r="AD4" s="23" cm="1">
        <f t="array" ref="AD4">INDEX('msci-indices'!D:D,MATCH($L4,'msci-indices'!$B:$B)-2)</f>
        <v>780.24346800000001</v>
      </c>
      <c r="AE4" s="23">
        <f t="shared" ref="AE4:AE35" si="28">AI3+AA4</f>
        <v>100330.55125095969</v>
      </c>
      <c r="AF4" s="23" cm="1">
        <f t="array" ref="AF4">INDEX('msci-indices'!C:C,MATCH($L4,'msci-indices'!$B:$B)+1)</f>
        <v>802.64573099999996</v>
      </c>
      <c r="AG4" s="23" cm="1">
        <f t="array" ref="AG4">INDEX('msci-indices'!D:D,MATCH($L4,'msci-indices'!$B:$B)+1)</f>
        <v>780.02674300000001</v>
      </c>
      <c r="AH4" s="23">
        <f t="shared" si="5"/>
        <v>62.706594531849809</v>
      </c>
      <c r="AI4" s="23">
        <f t="shared" si="6"/>
        <v>99680.292406699751</v>
      </c>
      <c r="AJ4" s="23">
        <f t="shared" ref="AJ4:AJ35" si="29">AJ3+AA4</f>
        <v>93310.815776581323</v>
      </c>
      <c r="AK4" s="23">
        <f t="shared" si="7"/>
        <v>6369.4766301184281</v>
      </c>
      <c r="AL4" s="23">
        <f>AJ4*(_xlfn.XLOOKUP(Q_end,cpi!A:A,cpi!B:B)/BH4)</f>
        <v>157183.64427091173</v>
      </c>
      <c r="AM4" s="23" cm="1">
        <f t="array" ref="AM4">SUMPRODUCT($AA$3:AA4,_xlfn.SORTBY($BH$3:BH4,_xlfn.SEQUENCE(ROWS($BH$3:BH4)),-1)/$BH$3)</f>
        <v>94690.716793809086</v>
      </c>
      <c r="AN4" s="23">
        <f t="shared" ref="AN4:AN67" si="30">AI4-AM4</f>
        <v>4989.5756128906651</v>
      </c>
      <c r="AO4" s="23">
        <f t="shared" si="8"/>
        <v>0</v>
      </c>
      <c r="AP4" s="23">
        <f t="shared" ref="AP4:AP67" si="31">AI4-AO4</f>
        <v>99680.292406699751</v>
      </c>
      <c r="AQ4" s="23"/>
      <c r="AR4" s="11">
        <f>IF($B$10="3BR_H",
INDEX('ns-combined'!$C:$D,MATCH($L4,'ns-combined'!$B:$B,0),MATCH(Council_Area,'ns-combined'!$C$1:$D$1,0))*1000,
INDEX('s-combined'!$C:$D,MATCH($L4,'s-combined'!$B:$B,0),MATCH(Council_Area,'s-combined'!$C$1:$D$1,0))*1000)</f>
        <v>345000</v>
      </c>
      <c r="AS4" s="23">
        <f>AS3+$AS$3</f>
        <v>1650</v>
      </c>
      <c r="AT4" s="11">
        <v>0</v>
      </c>
      <c r="AU4" s="23">
        <f t="shared" si="9"/>
        <v>6900</v>
      </c>
      <c r="AV4" s="23">
        <f t="shared" si="10"/>
        <v>991.875</v>
      </c>
      <c r="AW4" s="23">
        <f>SUM($AV$3:AV4)</f>
        <v>1940.625</v>
      </c>
      <c r="AX4" s="23">
        <f t="shared" ref="AX4:AX34" si="32">AR4-AS4-AU4-AW4</f>
        <v>334509.375</v>
      </c>
      <c r="AY4" s="23">
        <f t="shared" si="11"/>
        <v>1046.5</v>
      </c>
      <c r="AZ4" s="25">
        <f t="shared" si="12"/>
        <v>1.2133333333333333E-2</v>
      </c>
      <c r="BA4" s="25">
        <f t="shared" si="13"/>
        <v>0.35</v>
      </c>
      <c r="BB4" s="26">
        <f>IF(MortgageRate="Discounted",_xlfn.XLOOKUP(L4,'mortgage-rates'!$A:$A,'mortgage-rates'!$E:$E)/100,_xlfn.XLOOKUP(L4,'mortgage-rates'!$A:$A,'mortgage-rates'!$D:$D)/100)</f>
        <v>6.93E-2</v>
      </c>
      <c r="BC4" s="11">
        <f>BC3-BF3</f>
        <v>262953.61320837436</v>
      </c>
      <c r="BD4" s="11">
        <f t="shared" si="14"/>
        <v>5573.3318282768323</v>
      </c>
      <c r="BE4" s="11">
        <f t="shared" si="15"/>
        <v>4555.6713488350861</v>
      </c>
      <c r="BF4" s="11">
        <f>BD4-BE4</f>
        <v>1017.6604794417462</v>
      </c>
      <c r="BG4" s="13">
        <f t="shared" si="16"/>
        <v>6619.8318282768323</v>
      </c>
      <c r="BH4" s="23">
        <f>INDEX(cpi!B:B,MATCH($L4,cpi!A:A))</f>
        <v>85.9</v>
      </c>
      <c r="BI4" s="23">
        <f t="shared" si="17"/>
        <v>101.53664302600474</v>
      </c>
      <c r="BJ4" s="23">
        <f t="shared" si="18"/>
        <v>107.21181327548136</v>
      </c>
      <c r="BK4" s="23">
        <f t="shared" si="19"/>
        <v>109.43777704215839</v>
      </c>
      <c r="BL4" s="23">
        <f t="shared" si="20"/>
        <v>107.87960240548446</v>
      </c>
      <c r="BM4" s="23">
        <f t="shared" si="21"/>
        <v>111.72702965661443</v>
      </c>
      <c r="BN4" s="23">
        <f t="shared" si="22"/>
        <v>104.54545454545455</v>
      </c>
      <c r="BO4">
        <f t="shared" si="23"/>
        <v>104.00561987710891</v>
      </c>
    </row>
    <row r="5" spans="1:67" x14ac:dyDescent="0.25">
      <c r="A5" t="s">
        <v>498</v>
      </c>
      <c r="B5" s="4">
        <f>((_xlfn.XLOOKUP(Q_end,L:L,AX:AX)/_xlfn.XLOOKUP(Q_start,L:L,AX:AX))^(1/YEARFRAC(EOMONTH(Q_start,-3)+1,EOMONTH(Q_end,0))))-1</f>
        <v>3.5744888367202465E-2</v>
      </c>
      <c r="L5" s="1">
        <f t="shared" ref="L5:L68" si="33">DATE(YEAR(L4),MONTH(L4)+3,1)</f>
        <v>38961</v>
      </c>
      <c r="M5" s="11">
        <f t="shared" si="0"/>
        <v>107019.94638450236</v>
      </c>
      <c r="N5" s="11">
        <f t="shared" si="24"/>
        <v>71733.672271067393</v>
      </c>
      <c r="O5" s="8">
        <f t="shared" si="25"/>
        <v>1.4919067015012852</v>
      </c>
      <c r="P5" s="8">
        <f t="shared" si="1"/>
        <v>0.463737046332372</v>
      </c>
      <c r="Q5">
        <v>3</v>
      </c>
      <c r="R5">
        <f t="shared" si="2"/>
        <v>92</v>
      </c>
      <c r="S5" s="23"/>
      <c r="T5" s="23">
        <f>IF($B$10="3BR_H",
INDEX('3BR_H-processed'!$C:$D,MATCH($L5,'3BR_H-processed'!$B:$B,0),MATCH(Council_Area,'3BR_H-processed'!$C$1:$D$1,0)),
INDEX('2BR_F-processed'!$C:$D,MATCH($L5,'2BR_F-processed'!$B:$B,0),MATCH(Council_Area,'2BR_F-processed'!$C$1:$D$1,0)))</f>
        <v>240</v>
      </c>
      <c r="U5" s="23">
        <f t="shared" si="26"/>
        <v>230</v>
      </c>
      <c r="V5" s="23">
        <f t="shared" ref="V5:V67" si="34">U5*(R5)/7</f>
        <v>3022.8571428571427</v>
      </c>
      <c r="W5" s="23">
        <f>$B$53/4*BH5/_xlfn.XLOOKUP(Q_end,cpi!A:A,cpi!B:B)</f>
        <v>119.69592259847963</v>
      </c>
      <c r="X5" s="23">
        <f t="shared" si="3"/>
        <v>3142.5530654556223</v>
      </c>
      <c r="Y5" s="23">
        <f t="shared" si="4"/>
        <v>3634.0309713592314</v>
      </c>
      <c r="Z5" s="23">
        <f t="shared" si="27"/>
        <v>0</v>
      </c>
      <c r="AA5" s="23" cm="1">
        <f t="array" ref="AA5">(Y5+Z5)*eff_invest</f>
        <v>3634.0309713592314</v>
      </c>
      <c r="AB5" s="23">
        <f>AA5*(_xlfn.XLOOKUP(Q_end,cpi!A:A,cpi!B:B)/BH5)</f>
        <v>6072.1048678485076</v>
      </c>
      <c r="AC5" s="23" cm="1">
        <f t="array" ref="AC5">INDEX('msci-indices'!C:C,MATCH($L5,'msci-indices'!$B:$B)-2)</f>
        <v>802.64573099999996</v>
      </c>
      <c r="AD5" s="23" cm="1">
        <f t="array" ref="AD5">INDEX('msci-indices'!D:D,MATCH($L5,'msci-indices'!$B:$B)-2)</f>
        <v>780.02674300000001</v>
      </c>
      <c r="AE5" s="23">
        <f t="shared" si="28"/>
        <v>103314.32337805898</v>
      </c>
      <c r="AF5" s="23" cm="1">
        <f t="array" ref="AF5">INDEX('msci-indices'!C:C,MATCH($L5,'msci-indices'!$B:$B)+1)</f>
        <v>835.13401499999998</v>
      </c>
      <c r="AG5" s="23" cm="1">
        <f t="array" ref="AG5">INDEX('msci-indices'!D:D,MATCH($L5,'msci-indices'!$B:$B)+1)</f>
        <v>801.24066600000003</v>
      </c>
      <c r="AH5" s="23">
        <f t="shared" si="5"/>
        <v>64.57145211128686</v>
      </c>
      <c r="AI5" s="23">
        <f t="shared" si="6"/>
        <v>107019.94638450236</v>
      </c>
      <c r="AJ5" s="23">
        <f t="shared" si="29"/>
        <v>96944.846747940552</v>
      </c>
      <c r="AK5" s="23">
        <f t="shared" si="7"/>
        <v>10075.099636561805</v>
      </c>
      <c r="AL5" s="23">
        <f>AJ5*(_xlfn.XLOOKUP(Q_end,cpi!A:A,cpi!B:B)/BH5)</f>
        <v>161985.21159846417</v>
      </c>
      <c r="AM5" s="23" cm="1">
        <f t="array" ref="AM5">SUMPRODUCT($AA$3:AA5,_xlfn.SORTBY($BH$3:BH5,_xlfn.SEQUENCE(ROWS($BH$3:BH5)),-1)/$BH$3)</f>
        <v>99121.724515740614</v>
      </c>
      <c r="AN5" s="23">
        <f t="shared" si="30"/>
        <v>7898.2218687617424</v>
      </c>
      <c r="AO5" s="23">
        <f t="shared" si="8"/>
        <v>0</v>
      </c>
      <c r="AP5" s="23">
        <f t="shared" si="31"/>
        <v>107019.94638450236</v>
      </c>
      <c r="AQ5" s="23"/>
      <c r="AR5" s="11">
        <f>IF($B$10="3BR_H",
INDEX('ns-combined'!$C:$D,MATCH($L5,'ns-combined'!$B:$B,0),MATCH(Council_Area,'ns-combined'!$C$1:$D$1,0))*1000,
INDEX('s-combined'!$C:$D,MATCH($L5,'s-combined'!$B:$B,0),MATCH(Council_Area,'s-combined'!$C$1:$D$1,0))*1000)</f>
        <v>346000</v>
      </c>
      <c r="AS5" s="23">
        <f t="shared" ref="AS5:AS68" si="35">AS4+$AS$3</f>
        <v>2475</v>
      </c>
      <c r="AT5" s="11">
        <v>0</v>
      </c>
      <c r="AU5" s="23">
        <f t="shared" si="9"/>
        <v>6920</v>
      </c>
      <c r="AV5" s="23">
        <f t="shared" si="10"/>
        <v>994.75</v>
      </c>
      <c r="AW5" s="23">
        <f>SUM($AV$3:AV5)</f>
        <v>2935.375</v>
      </c>
      <c r="AX5" s="23">
        <f t="shared" si="32"/>
        <v>333669.625</v>
      </c>
      <c r="AY5" s="23">
        <f t="shared" si="11"/>
        <v>1058</v>
      </c>
      <c r="AZ5" s="25">
        <f t="shared" si="12"/>
        <v>1.223121387283237E-2</v>
      </c>
      <c r="BA5" s="25">
        <f t="shared" si="13"/>
        <v>0.35000000000000003</v>
      </c>
      <c r="BB5" s="26">
        <f>IF(MortgageRate="Discounted",_xlfn.XLOOKUP(L5,'mortgage-rates'!$A:$A,'mortgage-rates'!$E:$E)/100,_xlfn.XLOOKUP(L5,'mortgage-rates'!$A:$A,'mortgage-rates'!$D:$D)/100)</f>
        <v>7.22E-2</v>
      </c>
      <c r="BC5" s="11">
        <f>BC4-BF4</f>
        <v>261935.95272893261</v>
      </c>
      <c r="BD5" s="11">
        <f t="shared" si="14"/>
        <v>5718.5840368148538</v>
      </c>
      <c r="BE5" s="11">
        <f t="shared" si="15"/>
        <v>4727.9439467572338</v>
      </c>
      <c r="BF5" s="11">
        <f t="shared" ref="BF5:BF68" si="36">BD5-BE5</f>
        <v>990.64009005762</v>
      </c>
      <c r="BG5" s="13">
        <f t="shared" si="16"/>
        <v>6776.5840368148538</v>
      </c>
      <c r="BH5" s="23">
        <f>INDEX(cpi!B:B,MATCH($L5,cpi!A:A))</f>
        <v>86.6</v>
      </c>
      <c r="BI5" s="23">
        <f t="shared" si="17"/>
        <v>102.36406619385343</v>
      </c>
      <c r="BJ5" s="23">
        <f t="shared" si="18"/>
        <v>106.3276473895915</v>
      </c>
      <c r="BK5" s="23">
        <f t="shared" si="19"/>
        <v>109.40737896360702</v>
      </c>
      <c r="BL5" s="23">
        <f t="shared" si="20"/>
        <v>107.25156686179616</v>
      </c>
      <c r="BM5" s="23">
        <f t="shared" si="21"/>
        <v>115.04972641025969</v>
      </c>
      <c r="BN5" s="23">
        <f t="shared" si="22"/>
        <v>104.84848484848484</v>
      </c>
      <c r="BO5">
        <f t="shared" si="23"/>
        <v>103.74452489496737</v>
      </c>
    </row>
    <row r="6" spans="1:67" x14ac:dyDescent="0.25">
      <c r="A6" t="s">
        <v>464</v>
      </c>
      <c r="B6" s="4">
        <f>((_xlfn.XLOOKUP(Q_end,L:L,U:U)/_xlfn.XLOOKUP(Q_start,L:L,U:U))^(1/YEARFRAC(EOMONTH(Q_start,-3)+1,EOMONTH(Q_end,0))))-1</f>
        <v>4.4556035220769896E-2</v>
      </c>
      <c r="L6" s="1">
        <f t="shared" si="33"/>
        <v>39052</v>
      </c>
      <c r="M6" s="11">
        <f t="shared" si="0"/>
        <v>120831.87306350555</v>
      </c>
      <c r="N6" s="11">
        <f t="shared" si="24"/>
        <v>84584.312361125019</v>
      </c>
      <c r="O6" s="8">
        <f t="shared" si="25"/>
        <v>1.4285376293848069</v>
      </c>
      <c r="P6" s="8">
        <f t="shared" si="1"/>
        <v>0.45531250452794725</v>
      </c>
      <c r="Q6">
        <v>4</v>
      </c>
      <c r="R6">
        <f t="shared" si="2"/>
        <v>92</v>
      </c>
      <c r="S6" s="23"/>
      <c r="T6" s="23">
        <f>IF($B$10="3BR_H",
INDEX('3BR_H-processed'!$C:$D,MATCH($L6,'3BR_H-processed'!$B:$B,0),MATCH(Council_Area,'3BR_H-processed'!$C$1:$D$1,0)),
INDEX('2BR_F-processed'!$C:$D,MATCH($L6,'2BR_F-processed'!$B:$B,0),MATCH(Council_Area,'2BR_F-processed'!$C$1:$D$1,0)))</f>
        <v>240</v>
      </c>
      <c r="U6" s="23">
        <f t="shared" si="26"/>
        <v>230</v>
      </c>
      <c r="V6" s="23">
        <f t="shared" si="34"/>
        <v>3022.8571428571427</v>
      </c>
      <c r="W6" s="23">
        <f>$B$53/4*BH6/_xlfn.XLOOKUP(Q_end,cpi!A:A,cpi!B:B)</f>
        <v>119.83413959917071</v>
      </c>
      <c r="X6" s="23">
        <f t="shared" si="3"/>
        <v>3142.6912824563133</v>
      </c>
      <c r="Y6" s="23">
        <f t="shared" si="4"/>
        <v>3759.5818842219232</v>
      </c>
      <c r="Z6" s="23">
        <f t="shared" si="27"/>
        <v>0</v>
      </c>
      <c r="AA6" s="23" cm="1">
        <f t="array" ref="AA6">(Y6+Z6)*eff_invest</f>
        <v>3759.5818842219232</v>
      </c>
      <c r="AB6" s="23">
        <f>AA6*(_xlfn.XLOOKUP(Q_end,cpi!A:A,cpi!B:B)/BH6)</f>
        <v>6274.6424296068308</v>
      </c>
      <c r="AC6" s="23" cm="1">
        <f t="array" ref="AC6">INDEX('msci-indices'!C:C,MATCH($L6,'msci-indices'!$B:$B)-2)</f>
        <v>835.13401499999998</v>
      </c>
      <c r="AD6" s="23" cm="1">
        <f t="array" ref="AD6">INDEX('msci-indices'!D:D,MATCH($L6,'msci-indices'!$B:$B)-2)</f>
        <v>801.24066600000003</v>
      </c>
      <c r="AE6" s="23">
        <f t="shared" si="28"/>
        <v>110779.52826872427</v>
      </c>
      <c r="AF6" s="23" cm="1">
        <f t="array" ref="AF6">INDEX('msci-indices'!C:C,MATCH($L6,'msci-indices'!$B:$B)+1)</f>
        <v>906.58022200000005</v>
      </c>
      <c r="AG6" s="23" cm="1">
        <f t="array" ref="AG6">INDEX('msci-indices'!D:D,MATCH($L6,'msci-indices'!$B:$B)+1)</f>
        <v>885.32149100000004</v>
      </c>
      <c r="AH6" s="23">
        <f t="shared" si="5"/>
        <v>69.237205167952666</v>
      </c>
      <c r="AI6" s="23">
        <f t="shared" si="6"/>
        <v>120831.87306350555</v>
      </c>
      <c r="AJ6" s="23">
        <f t="shared" si="29"/>
        <v>100704.42863216248</v>
      </c>
      <c r="AK6" s="23">
        <f t="shared" si="7"/>
        <v>20127.444431343072</v>
      </c>
      <c r="AL6" s="23">
        <f>AJ6*(_xlfn.XLOOKUP(Q_end,cpi!A:A,cpi!B:B)/BH6)</f>
        <v>168073.01987397819</v>
      </c>
      <c r="AM6" s="23" cm="1">
        <f t="array" ref="AM6">SUMPRODUCT($AA$3:AA6,_xlfn.SORTBY($BH$3:BH6,_xlfn.SEQUENCE(ROWS($BH$3:BH6)),-1)/$BH$3)</f>
        <v>103072.34639872418</v>
      </c>
      <c r="AN6" s="23">
        <f t="shared" si="30"/>
        <v>17759.52666478137</v>
      </c>
      <c r="AO6" s="23">
        <f t="shared" si="8"/>
        <v>0</v>
      </c>
      <c r="AP6" s="23">
        <f t="shared" si="31"/>
        <v>120831.87306350555</v>
      </c>
      <c r="AQ6" s="23"/>
      <c r="AR6" s="11">
        <f>IF($B$10="3BR_H",
INDEX('ns-combined'!$C:$D,MATCH($L6,'ns-combined'!$B:$B,0),MATCH(Council_Area,'ns-combined'!$C$1:$D$1,0))*1000,
INDEX('s-combined'!$C:$D,MATCH($L6,'s-combined'!$B:$B,0),MATCH(Council_Area,'s-combined'!$C$1:$D$1,0))*1000)</f>
        <v>360000</v>
      </c>
      <c r="AS6" s="23">
        <f t="shared" si="35"/>
        <v>3300</v>
      </c>
      <c r="AT6" s="11">
        <v>0</v>
      </c>
      <c r="AU6" s="23">
        <f t="shared" si="9"/>
        <v>7200</v>
      </c>
      <c r="AV6" s="23">
        <f t="shared" si="10"/>
        <v>1035</v>
      </c>
      <c r="AW6" s="23">
        <f>SUM($AV$3:AV6)</f>
        <v>3970.375</v>
      </c>
      <c r="AX6" s="23">
        <f t="shared" si="32"/>
        <v>345529.625</v>
      </c>
      <c r="AY6" s="23">
        <f t="shared" si="11"/>
        <v>1058</v>
      </c>
      <c r="AZ6" s="25">
        <f t="shared" si="12"/>
        <v>1.1755555555555556E-2</v>
      </c>
      <c r="BA6" s="25">
        <f t="shared" si="13"/>
        <v>0.35000000000000003</v>
      </c>
      <c r="BB6" s="26">
        <f>IF(MortgageRate="Discounted",_xlfn.XLOOKUP(L6,'mortgage-rates'!$A:$A,'mortgage-rates'!$E:$E)/100,_xlfn.XLOOKUP(L6,'mortgage-rates'!$A:$A,'mortgage-rates'!$D:$D)/100)</f>
        <v>7.4700000000000003E-2</v>
      </c>
      <c r="BC6" s="11">
        <f t="shared" ref="BC6:BC35" si="37">BC5-BF5</f>
        <v>260945.31263887498</v>
      </c>
      <c r="BD6" s="11">
        <f t="shared" si="14"/>
        <v>5844.2731666782365</v>
      </c>
      <c r="BE6" s="11">
        <f t="shared" si="15"/>
        <v>4873.15371353099</v>
      </c>
      <c r="BF6" s="11">
        <f t="shared" si="36"/>
        <v>971.11945314724653</v>
      </c>
      <c r="BG6" s="13">
        <f t="shared" si="16"/>
        <v>6902.2731666782365</v>
      </c>
      <c r="BH6" s="23">
        <f>INDEX(cpi!B:B,MATCH($L6,cpi!A:A))</f>
        <v>86.7</v>
      </c>
      <c r="BI6" s="23">
        <f t="shared" si="17"/>
        <v>102.48226950354611</v>
      </c>
      <c r="BJ6" s="23">
        <f t="shared" si="18"/>
        <v>110.63141762349176</v>
      </c>
      <c r="BK6" s="23">
        <f t="shared" si="19"/>
        <v>112.38286632194978</v>
      </c>
      <c r="BL6" s="23">
        <f t="shared" si="20"/>
        <v>111.15685223302917</v>
      </c>
      <c r="BM6" s="23">
        <f t="shared" si="21"/>
        <v>123.36289879706132</v>
      </c>
      <c r="BN6" s="23">
        <f t="shared" si="22"/>
        <v>109.09090909090909</v>
      </c>
      <c r="BO6">
        <f t="shared" si="23"/>
        <v>107.43203485412027</v>
      </c>
    </row>
    <row r="7" spans="1:67" x14ac:dyDescent="0.25">
      <c r="A7" t="s">
        <v>488</v>
      </c>
      <c r="B7" s="4">
        <f>((_xlfn.XLOOKUP(Q_end,L:L,BL:BL)/_xlfn.XLOOKUP(Q_start,L:L,BL:BL))^(1/YEARFRAC(EOMONTH(Q_start,-3)+1,EOMONTH(Q_end,0))))-1</f>
        <v>8.0631421747286103E-2</v>
      </c>
      <c r="L7" s="1">
        <f t="shared" si="33"/>
        <v>39142</v>
      </c>
      <c r="M7" s="11">
        <f t="shared" si="0"/>
        <v>129404.49692550692</v>
      </c>
      <c r="N7" s="11">
        <f t="shared" si="24"/>
        <v>69038.556814272277</v>
      </c>
      <c r="O7" s="8">
        <f t="shared" si="25"/>
        <v>1.874380098553208</v>
      </c>
      <c r="P7" s="8">
        <f t="shared" si="1"/>
        <v>0.4784028081760533</v>
      </c>
      <c r="Q7">
        <v>5</v>
      </c>
      <c r="R7">
        <f t="shared" si="2"/>
        <v>90</v>
      </c>
      <c r="S7" s="23"/>
      <c r="T7" s="23">
        <f>IF($B$10="3BR_H",
INDEX('3BR_H-processed'!$C:$D,MATCH($L7,'3BR_H-processed'!$B:$B,0),MATCH(Council_Area,'3BR_H-processed'!$C$1:$D$1,0)),
INDEX('2BR_F-processed'!$C:$D,MATCH($L7,'2BR_F-processed'!$B:$B,0),MATCH(Council_Area,'2BR_F-processed'!$C$1:$D$1,0)))</f>
        <v>250</v>
      </c>
      <c r="U7" s="23">
        <f>IF(MOD(Q7,4)=1,T7,U6)</f>
        <v>250</v>
      </c>
      <c r="V7" s="23">
        <f t="shared" si="34"/>
        <v>3214.2857142857142</v>
      </c>
      <c r="W7" s="23">
        <f>$B$53/4*BH7/_xlfn.XLOOKUP(Q_end,cpi!A:A,cpi!B:B)</f>
        <v>119.83413959917071</v>
      </c>
      <c r="X7" s="23">
        <f t="shared" si="3"/>
        <v>3334.1198538848848</v>
      </c>
      <c r="Y7" s="23">
        <f t="shared" si="4"/>
        <v>3635.1533127933535</v>
      </c>
      <c r="Z7" s="23">
        <f t="shared" si="27"/>
        <v>0</v>
      </c>
      <c r="AA7" s="23" cm="1">
        <f t="array" ref="AA7">(Y7+Z7)*eff_invest</f>
        <v>3635.1533127933535</v>
      </c>
      <c r="AB7" s="23">
        <f>AA7*(_xlfn.XLOOKUP(Q_end,cpi!A:A,cpi!B:B)/BH7)</f>
        <v>6066.9744447658386</v>
      </c>
      <c r="AC7" s="23" cm="1">
        <f t="array" ref="AC7">INDEX('msci-indices'!C:C,MATCH($L7,'msci-indices'!$B:$B)-2)</f>
        <v>906.58022200000005</v>
      </c>
      <c r="AD7" s="23" cm="1">
        <f t="array" ref="AD7">INDEX('msci-indices'!D:D,MATCH($L7,'msci-indices'!$B:$B)-2)</f>
        <v>885.32149100000004</v>
      </c>
      <c r="AE7" s="23">
        <f t="shared" si="28"/>
        <v>124467.02637629891</v>
      </c>
      <c r="AF7" s="23" cm="1">
        <f t="array" ref="AF7">INDEX('msci-indices'!C:C,MATCH($L7,'msci-indices'!$B:$B)+1)</f>
        <v>932.09759399999996</v>
      </c>
      <c r="AG7" s="23" cm="1">
        <f t="array" ref="AG7">INDEX('msci-indices'!D:D,MATCH($L7,'msci-indices'!$B:$B)+1)</f>
        <v>946.08734200000004</v>
      </c>
      <c r="AH7" s="23">
        <f t="shared" si="5"/>
        <v>77.791891485186824</v>
      </c>
      <c r="AI7" s="23">
        <f t="shared" si="6"/>
        <v>129404.49692550692</v>
      </c>
      <c r="AJ7" s="23">
        <f t="shared" si="29"/>
        <v>104339.58194495583</v>
      </c>
      <c r="AK7" s="23">
        <f t="shared" si="7"/>
        <v>25064.914980551082</v>
      </c>
      <c r="AL7" s="23">
        <f>AJ7*(_xlfn.XLOOKUP(Q_end,cpi!A:A,cpi!B:B)/BH7)</f>
        <v>174139.99431874402</v>
      </c>
      <c r="AM7" s="23" cm="1">
        <f t="array" ref="AM7">SUMPRODUCT($AA$3:AA7,_xlfn.SORTBY($BH$3:BH7,_xlfn.SEQUENCE(ROWS($BH$3:BH7)),-1)/$BH$3)</f>
        <v>106799.4901189869</v>
      </c>
      <c r="AN7" s="23">
        <f t="shared" si="30"/>
        <v>22605.006806520018</v>
      </c>
      <c r="AO7" s="23">
        <f t="shared" si="8"/>
        <v>0</v>
      </c>
      <c r="AP7" s="23">
        <f t="shared" si="31"/>
        <v>129404.49692550692</v>
      </c>
      <c r="AQ7" s="23"/>
      <c r="AR7" s="11">
        <f>IF($B$10="3BR_H",
INDEX('ns-combined'!$C:$D,MATCH($L7,'ns-combined'!$B:$B,0),MATCH(Council_Area,'ns-combined'!$C$1:$D$1,0))*1000,
INDEX('s-combined'!$C:$D,MATCH($L7,'s-combined'!$B:$B,0),MATCH(Council_Area,'s-combined'!$C$1:$D$1,0))*1000)</f>
        <v>345000</v>
      </c>
      <c r="AS7" s="23">
        <f t="shared" si="35"/>
        <v>4125</v>
      </c>
      <c r="AT7" s="11">
        <v>0</v>
      </c>
      <c r="AU7" s="23">
        <f t="shared" si="9"/>
        <v>6900</v>
      </c>
      <c r="AV7" s="23">
        <f t="shared" si="10"/>
        <v>991.875</v>
      </c>
      <c r="AW7" s="23">
        <f>SUM($AV$3:AV7)</f>
        <v>4962.25</v>
      </c>
      <c r="AX7" s="23">
        <f t="shared" si="32"/>
        <v>329012.75</v>
      </c>
      <c r="AY7" s="23">
        <f t="shared" si="11"/>
        <v>1125</v>
      </c>
      <c r="AZ7" s="25">
        <f t="shared" si="12"/>
        <v>1.3043478260869565E-2</v>
      </c>
      <c r="BA7" s="25">
        <f t="shared" si="13"/>
        <v>0.35000000000000003</v>
      </c>
      <c r="BB7" s="26">
        <f>IF(MortgageRate="Discounted",_xlfn.XLOOKUP(L7,'mortgage-rates'!$A:$A,'mortgage-rates'!$E:$E)/100,_xlfn.XLOOKUP(L7,'mortgage-rates'!$A:$A,'mortgage-rates'!$D:$D)/100)</f>
        <v>7.4700000000000003E-2</v>
      </c>
      <c r="BC7" s="11">
        <f t="shared" si="37"/>
        <v>259974.19318572772</v>
      </c>
      <c r="BD7" s="11">
        <f t="shared" si="14"/>
        <v>5844.2731666782383</v>
      </c>
      <c r="BE7" s="11">
        <f t="shared" si="15"/>
        <v>4855.0180577434658</v>
      </c>
      <c r="BF7" s="11">
        <f t="shared" si="36"/>
        <v>989.25510893477258</v>
      </c>
      <c r="BG7" s="13">
        <f t="shared" si="16"/>
        <v>6969.2731666782383</v>
      </c>
      <c r="BH7" s="23">
        <f>INDEX(cpi!B:B,MATCH($L7,cpi!A:A))</f>
        <v>86.7</v>
      </c>
      <c r="BI7" s="23">
        <f t="shared" si="17"/>
        <v>102.48226950354611</v>
      </c>
      <c r="BJ7" s="23">
        <f t="shared" si="18"/>
        <v>120.09600057935597</v>
      </c>
      <c r="BK7" s="23">
        <f t="shared" si="19"/>
        <v>124.17613208738743</v>
      </c>
      <c r="BL7" s="23">
        <f t="shared" si="20"/>
        <v>121.32004003176542</v>
      </c>
      <c r="BM7" s="23">
        <f t="shared" si="21"/>
        <v>138.60515041356697</v>
      </c>
      <c r="BN7" s="23">
        <f t="shared" si="22"/>
        <v>104.54545454545455</v>
      </c>
      <c r="BO7">
        <f t="shared" si="23"/>
        <v>102.2966098071908</v>
      </c>
    </row>
    <row r="8" spans="1:67" x14ac:dyDescent="0.25">
      <c r="A8" t="s">
        <v>489</v>
      </c>
      <c r="B8" s="4">
        <f>((_xlfn.XLOOKUP(Q_end,L:L,BI:BI)/_xlfn.XLOOKUP(Q_start,L:L,BI:BI))^(1/YEARFRAC(EOMONTH(Q_start,-3)+1,EOMONTH(Q_end,0))))-1</f>
        <v>2.7199757989349482E-2</v>
      </c>
      <c r="L8" s="1">
        <f t="shared" si="33"/>
        <v>39234</v>
      </c>
      <c r="M8" s="11">
        <f t="shared" si="0"/>
        <v>141201.81658521906</v>
      </c>
      <c r="N8" s="11">
        <f t="shared" si="24"/>
        <v>84822.061923207046</v>
      </c>
      <c r="O8" s="8">
        <f t="shared" si="25"/>
        <v>1.6646826708015534</v>
      </c>
      <c r="P8" s="8">
        <f t="shared" si="1"/>
        <v>0.48285961590614485</v>
      </c>
      <c r="Q8">
        <v>6</v>
      </c>
      <c r="R8">
        <f t="shared" si="2"/>
        <v>91</v>
      </c>
      <c r="S8" s="23"/>
      <c r="T8" s="23">
        <f>IF($B$10="3BR_H",
INDEX('3BR_H-processed'!$C:$D,MATCH($L8,'3BR_H-processed'!$B:$B,0),MATCH(Council_Area,'3BR_H-processed'!$C$1:$D$1,0)),
INDEX('2BR_F-processed'!$C:$D,MATCH($L8,'2BR_F-processed'!$B:$B,0),MATCH(Council_Area,'2BR_F-processed'!$C$1:$D$1,0)))</f>
        <v>250</v>
      </c>
      <c r="U8" s="23">
        <f t="shared" si="26"/>
        <v>250</v>
      </c>
      <c r="V8" s="23">
        <f t="shared" si="34"/>
        <v>3250</v>
      </c>
      <c r="W8" s="23">
        <f>$B$53/4*BH8/_xlfn.XLOOKUP(Q_end,cpi!A:A,cpi!B:B)</f>
        <v>121.21630960608155</v>
      </c>
      <c r="X8" s="23">
        <f t="shared" si="3"/>
        <v>3371.2163096060817</v>
      </c>
      <c r="Y8" s="23">
        <f t="shared" si="4"/>
        <v>3610.5568570721548</v>
      </c>
      <c r="Z8" s="23">
        <f t="shared" si="27"/>
        <v>0</v>
      </c>
      <c r="AA8" s="23" cm="1">
        <f t="array" ref="AA8">(Y8+Z8)*eff_invest</f>
        <v>3610.5568570721548</v>
      </c>
      <c r="AB8" s="23">
        <f>AA8*(_xlfn.XLOOKUP(Q_end,cpi!A:A,cpi!B:B)/BH8)</f>
        <v>5957.2129671418561</v>
      </c>
      <c r="AC8" s="23" cm="1">
        <f t="array" ref="AC8">INDEX('msci-indices'!C:C,MATCH($L8,'msci-indices'!$B:$B)-2)</f>
        <v>932.09759399999996</v>
      </c>
      <c r="AD8" s="23" cm="1">
        <f t="array" ref="AD8">INDEX('msci-indices'!D:D,MATCH($L8,'msci-indices'!$B:$B)-2)</f>
        <v>946.08734200000004</v>
      </c>
      <c r="AE8" s="23">
        <f t="shared" si="28"/>
        <v>133015.05378257908</v>
      </c>
      <c r="AF8" s="23" cm="1">
        <f t="array" ref="AF8">INDEX('msci-indices'!C:C,MATCH($L8,'msci-indices'!$B:$B)+1)</f>
        <v>991.70582300000001</v>
      </c>
      <c r="AG8" s="23" cm="1">
        <f t="array" ref="AG8">INDEX('msci-indices'!D:D,MATCH($L8,'msci-indices'!$B:$B)+1)</f>
        <v>1000.983113</v>
      </c>
      <c r="AH8" s="23">
        <f t="shared" si="5"/>
        <v>83.134408614111933</v>
      </c>
      <c r="AI8" s="23">
        <f t="shared" si="6"/>
        <v>141201.81658521906</v>
      </c>
      <c r="AJ8" s="23">
        <f t="shared" si="29"/>
        <v>107950.13880202798</v>
      </c>
      <c r="AK8" s="23">
        <f t="shared" si="7"/>
        <v>33251.677783191073</v>
      </c>
      <c r="AL8" s="23">
        <f>AJ8*(_xlfn.XLOOKUP(Q_end,cpi!A:A,cpi!B:B)/BH8)</f>
        <v>178111.57451144181</v>
      </c>
      <c r="AM8" s="23" cm="1">
        <f t="array" ref="AM8">SUMPRODUCT($AA$3:AA8,_xlfn.SORTBY($BH$3:BH8,_xlfn.SEQUENCE(ROWS($BH$3:BH8)),-1)/$BH$3)</f>
        <v>111562.77182327678</v>
      </c>
      <c r="AN8" s="23">
        <f t="shared" si="30"/>
        <v>29639.044761942278</v>
      </c>
      <c r="AO8" s="23">
        <f t="shared" si="8"/>
        <v>0</v>
      </c>
      <c r="AP8" s="23">
        <f t="shared" si="31"/>
        <v>141201.81658521906</v>
      </c>
      <c r="AQ8" s="23"/>
      <c r="AR8" s="11">
        <f>IF($B$10="3BR_H",
INDEX('ns-combined'!$C:$D,MATCH($L8,'ns-combined'!$B:$B,0),MATCH(Council_Area,'ns-combined'!$C$1:$D$1,0))*1000,
INDEX('s-combined'!$C:$D,MATCH($L8,'s-combined'!$B:$B,0),MATCH(Council_Area,'s-combined'!$C$1:$D$1,0))*1000)</f>
        <v>362000</v>
      </c>
      <c r="AS8" s="23">
        <f t="shared" si="35"/>
        <v>4950</v>
      </c>
      <c r="AT8" s="11">
        <v>0</v>
      </c>
      <c r="AU8" s="23">
        <f t="shared" si="9"/>
        <v>7240</v>
      </c>
      <c r="AV8" s="23">
        <f t="shared" si="10"/>
        <v>1040.75</v>
      </c>
      <c r="AW8" s="23">
        <f>SUM($AV$3:AV8)</f>
        <v>6003</v>
      </c>
      <c r="AX8" s="23">
        <f t="shared" si="32"/>
        <v>343807</v>
      </c>
      <c r="AY8" s="23">
        <f t="shared" si="11"/>
        <v>1137.5</v>
      </c>
      <c r="AZ8" s="25">
        <f t="shared" si="12"/>
        <v>1.2569060773480663E-2</v>
      </c>
      <c r="BA8" s="25">
        <f t="shared" si="13"/>
        <v>0.35</v>
      </c>
      <c r="BB8" s="26">
        <f>IF(MortgageRate="Discounted",_xlfn.XLOOKUP(L8,'mortgage-rates'!$A:$A,'mortgage-rates'!$E:$E)/100,_xlfn.XLOOKUP(L8,'mortgage-rates'!$A:$A,'mortgage-rates'!$D:$D)/100)</f>
        <v>7.4700000000000003E-2</v>
      </c>
      <c r="BC8" s="11">
        <f t="shared" si="37"/>
        <v>258984.93807679295</v>
      </c>
      <c r="BD8" s="11">
        <f t="shared" si="14"/>
        <v>5844.2731666782365</v>
      </c>
      <c r="BE8" s="11">
        <f t="shared" si="15"/>
        <v>4836.5437185841083</v>
      </c>
      <c r="BF8" s="11">
        <f t="shared" si="36"/>
        <v>1007.7294480941282</v>
      </c>
      <c r="BG8" s="13">
        <f t="shared" si="16"/>
        <v>6981.7731666782365</v>
      </c>
      <c r="BH8" s="23">
        <f>INDEX(cpi!B:B,MATCH($L8,cpi!A:A))</f>
        <v>87.7</v>
      </c>
      <c r="BI8" s="23">
        <f t="shared" si="17"/>
        <v>103.66430260047282</v>
      </c>
      <c r="BJ8" s="23">
        <f t="shared" si="18"/>
        <v>123.47632396180853</v>
      </c>
      <c r="BK8" s="23">
        <f t="shared" si="19"/>
        <v>132.69921485097811</v>
      </c>
      <c r="BL8" s="23">
        <f t="shared" si="20"/>
        <v>126.2431912285594</v>
      </c>
      <c r="BM8" s="23">
        <f t="shared" si="21"/>
        <v>148.12414238180739</v>
      </c>
      <c r="BN8" s="23">
        <f t="shared" si="22"/>
        <v>109.6969696969697</v>
      </c>
      <c r="BO8">
        <f t="shared" si="23"/>
        <v>106.89643646934913</v>
      </c>
    </row>
    <row r="9" spans="1:67" x14ac:dyDescent="0.25">
      <c r="L9" s="1">
        <f t="shared" si="33"/>
        <v>39326</v>
      </c>
      <c r="M9" s="11">
        <f t="shared" si="0"/>
        <v>149289.7299055607</v>
      </c>
      <c r="N9" s="11">
        <f t="shared" si="24"/>
        <v>91781.041371301166</v>
      </c>
      <c r="O9" s="8">
        <f t="shared" si="25"/>
        <v>1.6265857052286814</v>
      </c>
      <c r="P9" s="8">
        <f t="shared" si="1"/>
        <v>0.47869175461550173</v>
      </c>
      <c r="Q9">
        <v>7</v>
      </c>
      <c r="R9">
        <f t="shared" si="2"/>
        <v>92</v>
      </c>
      <c r="S9" s="23"/>
      <c r="T9" s="23">
        <f>IF($B$10="3BR_H",
INDEX('3BR_H-processed'!$C:$D,MATCH($L9,'3BR_H-processed'!$B:$B,0),MATCH(Council_Area,'3BR_H-processed'!$C$1:$D$1,0)),
INDEX('2BR_F-processed'!$C:$D,MATCH($L9,'2BR_F-processed'!$B:$B,0),MATCH(Council_Area,'2BR_F-processed'!$C$1:$D$1,0)))</f>
        <v>260</v>
      </c>
      <c r="U9" s="23">
        <f t="shared" si="26"/>
        <v>250</v>
      </c>
      <c r="V9" s="23">
        <f t="shared" si="34"/>
        <v>3285.7142857142858</v>
      </c>
      <c r="W9" s="23">
        <f>$B$53/4*BH9/_xlfn.XLOOKUP(Q_end,cpi!A:A,cpi!B:B)</f>
        <v>121.90739460953698</v>
      </c>
      <c r="X9" s="23">
        <f t="shared" si="3"/>
        <v>3407.6216803238226</v>
      </c>
      <c r="Y9" s="23">
        <f t="shared" si="4"/>
        <v>3710.9920151657047</v>
      </c>
      <c r="Z9" s="23">
        <f t="shared" si="27"/>
        <v>0</v>
      </c>
      <c r="AA9" s="23" cm="1">
        <f t="array" ref="AA9">(Y9+Z9)*eff_invest</f>
        <v>3710.9920151657047</v>
      </c>
      <c r="AB9" s="23">
        <f>AA9*(_xlfn.XLOOKUP(Q_end,cpi!A:A,cpi!B:B)/BH9)</f>
        <v>6088.2147913206054</v>
      </c>
      <c r="AC9" s="23" cm="1">
        <f t="array" ref="AC9">INDEX('msci-indices'!C:C,MATCH($L9,'msci-indices'!$B:$B)-2)</f>
        <v>991.70582300000001</v>
      </c>
      <c r="AD9" s="23" cm="1">
        <f t="array" ref="AD9">INDEX('msci-indices'!D:D,MATCH($L9,'msci-indices'!$B:$B)-2)</f>
        <v>1000.983113</v>
      </c>
      <c r="AE9" s="23">
        <f t="shared" si="28"/>
        <v>144912.80860038477</v>
      </c>
      <c r="AF9" s="23" cm="1">
        <f t="array" ref="AF9">INDEX('msci-indices'!C:C,MATCH($L9,'msci-indices'!$B:$B)+1)</f>
        <v>1009.870131</v>
      </c>
      <c r="AG9" s="23" cm="1">
        <f t="array" ref="AG9">INDEX('msci-indices'!D:D,MATCH($L9,'msci-indices'!$B:$B)+1)</f>
        <v>1061.067018</v>
      </c>
      <c r="AH9" s="23">
        <f t="shared" si="5"/>
        <v>90.570505375240487</v>
      </c>
      <c r="AI9" s="23">
        <f t="shared" si="6"/>
        <v>149289.7299055607</v>
      </c>
      <c r="AJ9" s="23">
        <f t="shared" si="29"/>
        <v>111661.13081719368</v>
      </c>
      <c r="AK9" s="23">
        <f t="shared" si="7"/>
        <v>37628.599088367017</v>
      </c>
      <c r="AL9" s="23">
        <f>AJ9*(_xlfn.XLOOKUP(Q_end,cpi!A:A,cpi!B:B)/BH9)</f>
        <v>183190.08649940958</v>
      </c>
      <c r="AM9" s="23" cm="1">
        <f t="array" ref="AM9">SUMPRODUCT($AA$3:AA9,_xlfn.SORTBY($BH$3:BH9,_xlfn.SEQUENCE(ROWS($BH$3:BH9)),-1)/$BH$3)</f>
        <v>115936.00082452055</v>
      </c>
      <c r="AN9" s="23">
        <f t="shared" si="30"/>
        <v>33353.729081040146</v>
      </c>
      <c r="AO9" s="23">
        <f t="shared" si="8"/>
        <v>0</v>
      </c>
      <c r="AP9" s="23">
        <f t="shared" si="31"/>
        <v>149289.7299055607</v>
      </c>
      <c r="AQ9" s="23"/>
      <c r="AR9" s="11">
        <f>IF($B$10="3BR_H",
INDEX('ns-combined'!$C:$D,MATCH($L9,'ns-combined'!$B:$B,0),MATCH(Council_Area,'ns-combined'!$C$1:$D$1,0))*1000,
INDEX('s-combined'!$C:$D,MATCH($L9,'s-combined'!$B:$B,0),MATCH(Council_Area,'s-combined'!$C$1:$D$1,0))*1000)</f>
        <v>370000</v>
      </c>
      <c r="AS9" s="23">
        <f t="shared" si="35"/>
        <v>5775</v>
      </c>
      <c r="AT9" s="11">
        <v>0</v>
      </c>
      <c r="AU9" s="23">
        <f t="shared" si="9"/>
        <v>7400</v>
      </c>
      <c r="AV9" s="23">
        <f t="shared" si="10"/>
        <v>1063.75</v>
      </c>
      <c r="AW9" s="23">
        <f>SUM($AV$3:AV9)</f>
        <v>7066.75</v>
      </c>
      <c r="AX9" s="23">
        <f t="shared" si="32"/>
        <v>349758.25</v>
      </c>
      <c r="AY9" s="23">
        <f t="shared" si="11"/>
        <v>1150.0000000000002</v>
      </c>
      <c r="AZ9" s="25">
        <f t="shared" si="12"/>
        <v>1.2432432432432436E-2</v>
      </c>
      <c r="BA9" s="25">
        <f t="shared" si="13"/>
        <v>0.35000000000000009</v>
      </c>
      <c r="BB9" s="26">
        <f>IF(MortgageRate="Discounted",_xlfn.XLOOKUP(L9,'mortgage-rates'!$A:$A,'mortgage-rates'!$E:$E)/100,_xlfn.XLOOKUP(L9,'mortgage-rates'!$A:$A,'mortgage-rates'!$D:$D)/100)</f>
        <v>7.7199999999999991E-2</v>
      </c>
      <c r="BC9" s="11">
        <f t="shared" si="37"/>
        <v>257977.20862869883</v>
      </c>
      <c r="BD9" s="11">
        <f t="shared" si="14"/>
        <v>5968.6136954895273</v>
      </c>
      <c r="BE9" s="11">
        <f t="shared" si="15"/>
        <v>4978.960126533887</v>
      </c>
      <c r="BF9" s="11">
        <f t="shared" si="36"/>
        <v>989.65356895564037</v>
      </c>
      <c r="BG9" s="13">
        <f t="shared" si="16"/>
        <v>7118.6136954895273</v>
      </c>
      <c r="BH9" s="23">
        <f>INDEX(cpi!B:B,MATCH($L9,cpi!A:A))</f>
        <v>88.2</v>
      </c>
      <c r="BI9" s="23">
        <f t="shared" si="17"/>
        <v>104.25531914893618</v>
      </c>
      <c r="BJ9" s="23">
        <f t="shared" si="18"/>
        <v>131.37271275432553</v>
      </c>
      <c r="BK9" s="23">
        <f t="shared" si="19"/>
        <v>140.39895396273877</v>
      </c>
      <c r="BL9" s="23">
        <f t="shared" si="20"/>
        <v>134.08058511684951</v>
      </c>
      <c r="BM9" s="23">
        <f t="shared" si="21"/>
        <v>161.37335499752487</v>
      </c>
      <c r="BN9" s="23">
        <f t="shared" si="22"/>
        <v>112.12121212121212</v>
      </c>
      <c r="BO9">
        <f t="shared" si="23"/>
        <v>108.74679849670231</v>
      </c>
    </row>
    <row r="10" spans="1:67" x14ac:dyDescent="0.25">
      <c r="A10" t="s">
        <v>329</v>
      </c>
      <c r="B10" t="s">
        <v>466</v>
      </c>
      <c r="C10" t="s">
        <v>466</v>
      </c>
      <c r="L10" s="1">
        <f t="shared" si="33"/>
        <v>39417</v>
      </c>
      <c r="M10" s="11">
        <f t="shared" si="0"/>
        <v>148889.8032453809</v>
      </c>
      <c r="N10" s="11">
        <f t="shared" si="24"/>
        <v>129966.9449402568</v>
      </c>
      <c r="O10" s="8">
        <f t="shared" si="25"/>
        <v>1.1455974695244437</v>
      </c>
      <c r="P10" s="8">
        <f t="shared" si="1"/>
        <v>0.47066617831498825</v>
      </c>
      <c r="Q10">
        <v>8</v>
      </c>
      <c r="R10">
        <f t="shared" si="2"/>
        <v>92</v>
      </c>
      <c r="S10" s="23"/>
      <c r="T10" s="23">
        <f>IF($B$10="3BR_H",
INDEX('3BR_H-processed'!$C:$D,MATCH($L10,'3BR_H-processed'!$B:$B,0),MATCH(Council_Area,'3BR_H-processed'!$C$1:$D$1,0)),
INDEX('2BR_F-processed'!$C:$D,MATCH($L10,'2BR_F-processed'!$B:$B,0),MATCH(Council_Area,'2BR_F-processed'!$C$1:$D$1,0)))</f>
        <v>270</v>
      </c>
      <c r="U10" s="23">
        <f t="shared" si="26"/>
        <v>250</v>
      </c>
      <c r="V10" s="23">
        <f t="shared" si="34"/>
        <v>3285.7142857142858</v>
      </c>
      <c r="W10" s="23">
        <f>$B$53/4*BH10/_xlfn.XLOOKUP(Q_end,cpi!A:A,cpi!B:B)</f>
        <v>123.42778161713892</v>
      </c>
      <c r="X10" s="23">
        <f t="shared" si="3"/>
        <v>3409.1420673314246</v>
      </c>
      <c r="Y10" s="23">
        <f t="shared" si="4"/>
        <v>3834.0851378532511</v>
      </c>
      <c r="Z10" s="23">
        <f t="shared" si="27"/>
        <v>0</v>
      </c>
      <c r="AA10" s="23" cm="1">
        <f t="array" ref="AA10">(Y10+Z10)*eff_invest</f>
        <v>3834.0851378532511</v>
      </c>
      <c r="AB10" s="23">
        <f>AA10*(_xlfn.XLOOKUP(Q_end,cpi!A:A,cpi!B:B)/BH10)</f>
        <v>6212.6777093769924</v>
      </c>
      <c r="AC10" s="23" cm="1">
        <f t="array" ref="AC10">INDEX('msci-indices'!C:C,MATCH($L10,'msci-indices'!$B:$B)-2)</f>
        <v>1009.870131</v>
      </c>
      <c r="AD10" s="23" cm="1">
        <f t="array" ref="AD10">INDEX('msci-indices'!D:D,MATCH($L10,'msci-indices'!$B:$B)-2)</f>
        <v>1061.067018</v>
      </c>
      <c r="AE10" s="23">
        <f t="shared" si="28"/>
        <v>153123.81504341395</v>
      </c>
      <c r="AF10" s="23" cm="1">
        <f t="array" ref="AF10">INDEX('msci-indices'!C:C,MATCH($L10,'msci-indices'!$B:$B)+1)</f>
        <v>983.50383399999998</v>
      </c>
      <c r="AG10" s="23" cm="1">
        <f t="array" ref="AG10">INDEX('msci-indices'!D:D,MATCH($L10,'msci-indices'!$B:$B)+1)</f>
        <v>1030.119647</v>
      </c>
      <c r="AH10" s="23">
        <f t="shared" si="5"/>
        <v>95.702384402133717</v>
      </c>
      <c r="AI10" s="23">
        <f t="shared" si="6"/>
        <v>148889.8032453809</v>
      </c>
      <c r="AJ10" s="23">
        <f t="shared" si="29"/>
        <v>115495.21595504694</v>
      </c>
      <c r="AK10" s="23">
        <f t="shared" si="7"/>
        <v>33394.587290333962</v>
      </c>
      <c r="AL10" s="23">
        <f>AJ10*(_xlfn.XLOOKUP(Q_end,cpi!A:A,cpi!B:B)/BH10)</f>
        <v>187146.2233896449</v>
      </c>
      <c r="AM10" s="23" cm="1">
        <f t="array" ref="AM10">SUMPRODUCT($AA$3:AA10,_xlfn.SORTBY($BH$3:BH10,_xlfn.SEQUENCE(ROWS($BH$3:BH10)),-1)/$BH$3)</f>
        <v>121092.59732196877</v>
      </c>
      <c r="AN10" s="23">
        <f t="shared" si="30"/>
        <v>27797.205923412126</v>
      </c>
      <c r="AO10" s="23">
        <f t="shared" si="8"/>
        <v>0</v>
      </c>
      <c r="AP10" s="23">
        <f t="shared" si="31"/>
        <v>148889.8032453809</v>
      </c>
      <c r="AQ10" s="23"/>
      <c r="AR10" s="11">
        <f>IF($B$10="3BR_H",
INDEX('ns-combined'!$C:$D,MATCH($L10,'ns-combined'!$B:$B,0),MATCH(Council_Area,'ns-combined'!$C$1:$D$1,0))*1000,
INDEX('s-combined'!$C:$D,MATCH($L10,'s-combined'!$B:$B,0),MATCH(Council_Area,'s-combined'!$C$1:$D$1,0))*1000)</f>
        <v>410000</v>
      </c>
      <c r="AS10" s="23">
        <f t="shared" si="35"/>
        <v>6600</v>
      </c>
      <c r="AT10" s="11">
        <v>0</v>
      </c>
      <c r="AU10" s="23">
        <f t="shared" si="9"/>
        <v>8200</v>
      </c>
      <c r="AV10" s="23">
        <f t="shared" si="10"/>
        <v>1178.75</v>
      </c>
      <c r="AW10" s="23">
        <f>SUM($AV$3:AV10)</f>
        <v>8245.5</v>
      </c>
      <c r="AX10" s="23">
        <f t="shared" si="32"/>
        <v>386954.5</v>
      </c>
      <c r="AY10" s="23">
        <f t="shared" si="11"/>
        <v>1150.0000000000002</v>
      </c>
      <c r="AZ10" s="25">
        <f t="shared" si="12"/>
        <v>1.1219512195121954E-2</v>
      </c>
      <c r="BA10" s="25">
        <f t="shared" si="13"/>
        <v>0.35000000000000009</v>
      </c>
      <c r="BB10" s="26">
        <f>IF(MortgageRate="Discounted",_xlfn.XLOOKUP(L10,'mortgage-rates'!$A:$A,'mortgage-rates'!$E:$E)/100,_xlfn.XLOOKUP(L10,'mortgage-rates'!$A:$A,'mortgage-rates'!$D:$D)/100)</f>
        <v>7.9699999999999993E-2</v>
      </c>
      <c r="BC10" s="11">
        <f t="shared" si="37"/>
        <v>256987.5550597432</v>
      </c>
      <c r="BD10" s="11">
        <f t="shared" si="14"/>
        <v>6093.2272051846758</v>
      </c>
      <c r="BE10" s="11">
        <f t="shared" si="15"/>
        <v>5120.4770345653833</v>
      </c>
      <c r="BF10" s="11">
        <f t="shared" si="36"/>
        <v>972.75017061929248</v>
      </c>
      <c r="BG10" s="13">
        <f t="shared" si="16"/>
        <v>7243.2272051846758</v>
      </c>
      <c r="BH10" s="23">
        <f>INDEX(cpi!B:B,MATCH($L10,cpi!A:A))</f>
        <v>89.3</v>
      </c>
      <c r="BI10" s="23">
        <f t="shared" si="17"/>
        <v>105.55555555555556</v>
      </c>
      <c r="BJ10" s="23">
        <f t="shared" si="18"/>
        <v>133.77896505407139</v>
      </c>
      <c r="BK10" s="23">
        <f t="shared" si="19"/>
        <v>148.82638625649071</v>
      </c>
      <c r="BL10" s="23">
        <f t="shared" si="20"/>
        <v>138.29319141479718</v>
      </c>
      <c r="BM10" s="23">
        <f t="shared" si="21"/>
        <v>170.51704402277778</v>
      </c>
      <c r="BN10" s="23">
        <f t="shared" si="22"/>
        <v>124.24242424242425</v>
      </c>
      <c r="BO10">
        <f t="shared" si="23"/>
        <v>120.31185265506159</v>
      </c>
    </row>
    <row r="11" spans="1:67" x14ac:dyDescent="0.25">
      <c r="A11" t="s">
        <v>9</v>
      </c>
      <c r="B11" s="1">
        <v>38777</v>
      </c>
      <c r="C11" s="1">
        <v>38777</v>
      </c>
      <c r="L11" s="1">
        <f t="shared" si="33"/>
        <v>39508</v>
      </c>
      <c r="M11" s="11">
        <f t="shared" si="0"/>
        <v>136506.14034698697</v>
      </c>
      <c r="N11" s="11">
        <f t="shared" si="24"/>
        <v>104507.82011087608</v>
      </c>
      <c r="O11" s="8">
        <f t="shared" si="25"/>
        <v>1.3061811087645185</v>
      </c>
      <c r="P11" s="8">
        <f t="shared" si="1"/>
        <v>0.48675723426317807</v>
      </c>
      <c r="Q11">
        <v>9</v>
      </c>
      <c r="R11">
        <f t="shared" si="2"/>
        <v>91</v>
      </c>
      <c r="S11" s="23"/>
      <c r="T11" s="23">
        <f>IF($B$10="3BR_H",
INDEX('3BR_H-processed'!$C:$D,MATCH($L11,'3BR_H-processed'!$B:$B,0),MATCH(Council_Area,'3BR_H-processed'!$C$1:$D$1,0)),
INDEX('2BR_F-processed'!$C:$D,MATCH($L11,'2BR_F-processed'!$B:$B,0),MATCH(Council_Area,'2BR_F-processed'!$C$1:$D$1,0)))</f>
        <v>280</v>
      </c>
      <c r="U11" s="23">
        <f t="shared" si="26"/>
        <v>280</v>
      </c>
      <c r="V11" s="23">
        <f t="shared" si="34"/>
        <v>3640</v>
      </c>
      <c r="W11" s="23">
        <f>$B$53/4*BH11/_xlfn.XLOOKUP(Q_end,cpi!A:A,cpi!B:B)</f>
        <v>124.94816862474086</v>
      </c>
      <c r="X11" s="23">
        <f t="shared" si="3"/>
        <v>3764.9481686247409</v>
      </c>
      <c r="Y11" s="23">
        <f t="shared" si="4"/>
        <v>3969.8072774322209</v>
      </c>
      <c r="Z11" s="23">
        <f t="shared" si="27"/>
        <v>0</v>
      </c>
      <c r="AA11" s="23" cm="1">
        <f t="array" ref="AA11">(Y11+Z11)*eff_invest</f>
        <v>3969.8072774322209</v>
      </c>
      <c r="AB11" s="23">
        <f>AA11*(_xlfn.XLOOKUP(Q_end,cpi!A:A,cpi!B:B)/BH11)</f>
        <v>6354.3264717305565</v>
      </c>
      <c r="AC11" s="23" cm="1">
        <f t="array" ref="AC11">INDEX('msci-indices'!C:C,MATCH($L11,'msci-indices'!$B:$B)-2)</f>
        <v>983.50383399999998</v>
      </c>
      <c r="AD11" s="23" cm="1">
        <f t="array" ref="AD11">INDEX('msci-indices'!D:D,MATCH($L11,'msci-indices'!$B:$B)-2)</f>
        <v>1030.119647</v>
      </c>
      <c r="AE11" s="23">
        <f t="shared" si="28"/>
        <v>152859.61052281311</v>
      </c>
      <c r="AF11" s="23" cm="1">
        <f t="array" ref="AF11">INDEX('msci-indices'!C:C,MATCH($L11,'msci-indices'!$B:$B)+1)</f>
        <v>894.99836200000004</v>
      </c>
      <c r="AG11" s="23" cm="1">
        <f t="array" ref="AG11">INDEX('msci-indices'!D:D,MATCH($L11,'msci-indices'!$B:$B)+1)</f>
        <v>881.21372699999995</v>
      </c>
      <c r="AH11" s="23">
        <f t="shared" si="5"/>
        <v>95.537256576758196</v>
      </c>
      <c r="AI11" s="23">
        <f t="shared" si="6"/>
        <v>136506.14034698697</v>
      </c>
      <c r="AJ11" s="23">
        <f t="shared" si="29"/>
        <v>119465.02323247916</v>
      </c>
      <c r="AK11" s="23">
        <f t="shared" si="7"/>
        <v>17041.117114507811</v>
      </c>
      <c r="AL11" s="23">
        <f>AJ11*(_xlfn.XLOOKUP(Q_end,cpi!A:A,cpi!B:B)/BH11)</f>
        <v>191223.32811658995</v>
      </c>
      <c r="AM11" s="23" cm="1">
        <f t="array" ref="AM11">SUMPRODUCT($AA$3:AA11,_xlfn.SORTBY($BH$3:BH11,_xlfn.SEQUENCE(ROWS($BH$3:BH11)),-1)/$BH$3)</f>
        <v>126435.47263131203</v>
      </c>
      <c r="AN11" s="23">
        <f t="shared" si="30"/>
        <v>10070.667715674936</v>
      </c>
      <c r="AO11" s="23">
        <f t="shared" si="8"/>
        <v>0</v>
      </c>
      <c r="AP11" s="23">
        <f t="shared" si="31"/>
        <v>136506.14034698697</v>
      </c>
      <c r="AQ11" s="23"/>
      <c r="AR11" s="11">
        <f>IF($B$10="3BR_H",
INDEX('ns-combined'!$C:$D,MATCH($L11,'ns-combined'!$B:$B,0),MATCH(Council_Area,'ns-combined'!$C$1:$D$1,0))*1000,
INDEX('s-combined'!$C:$D,MATCH($L11,'s-combined'!$B:$B,0),MATCH(Council_Area,'s-combined'!$C$1:$D$1,0))*1000)</f>
        <v>385000</v>
      </c>
      <c r="AS11" s="23">
        <f t="shared" si="35"/>
        <v>7425</v>
      </c>
      <c r="AT11" s="11">
        <v>0</v>
      </c>
      <c r="AU11" s="23">
        <f t="shared" si="9"/>
        <v>7700</v>
      </c>
      <c r="AV11" s="23">
        <f t="shared" si="10"/>
        <v>1106.875</v>
      </c>
      <c r="AW11" s="23">
        <f>SUM($AV$3:AV11)</f>
        <v>9352.375</v>
      </c>
      <c r="AX11" s="23">
        <f t="shared" si="32"/>
        <v>360522.625</v>
      </c>
      <c r="AY11" s="23">
        <f t="shared" si="11"/>
        <v>1274.0000000000002</v>
      </c>
      <c r="AZ11" s="25">
        <f t="shared" si="12"/>
        <v>1.3236363636363638E-2</v>
      </c>
      <c r="BA11" s="25">
        <f t="shared" si="13"/>
        <v>0.35000000000000009</v>
      </c>
      <c r="BB11" s="26">
        <f>IF(MortgageRate="Discounted",_xlfn.XLOOKUP(L11,'mortgage-rates'!$A:$A,'mortgage-rates'!$E:$E)/100,_xlfn.XLOOKUP(L11,'mortgage-rates'!$A:$A,'mortgage-rates'!$D:$D)/100)</f>
        <v>8.6999999999999994E-2</v>
      </c>
      <c r="BC11" s="11">
        <f t="shared" si="37"/>
        <v>256014.80488912392</v>
      </c>
      <c r="BD11" s="11">
        <f t="shared" si="14"/>
        <v>6460.7554460569618</v>
      </c>
      <c r="BE11" s="11">
        <f t="shared" si="15"/>
        <v>5568.3220063384451</v>
      </c>
      <c r="BF11" s="11">
        <f t="shared" si="36"/>
        <v>892.43343971851664</v>
      </c>
      <c r="BG11" s="13">
        <f t="shared" si="16"/>
        <v>7734.7554460569618</v>
      </c>
      <c r="BH11" s="23">
        <f>INDEX(cpi!B:B,MATCH($L11,cpi!A:A))</f>
        <v>90.4</v>
      </c>
      <c r="BI11" s="23">
        <f t="shared" si="17"/>
        <v>106.85579196217495</v>
      </c>
      <c r="BJ11" s="23">
        <f t="shared" si="18"/>
        <v>130.28618334215415</v>
      </c>
      <c r="BK11" s="23">
        <f t="shared" si="19"/>
        <v>144.48567514971225</v>
      </c>
      <c r="BL11" s="23">
        <f t="shared" si="20"/>
        <v>134.54603088442158</v>
      </c>
      <c r="BM11" s="23">
        <f t="shared" si="21"/>
        <v>170.22282869214786</v>
      </c>
      <c r="BN11" s="23">
        <f t="shared" si="22"/>
        <v>116.66666666666667</v>
      </c>
      <c r="BO11">
        <f t="shared" si="23"/>
        <v>112.09365684548447</v>
      </c>
    </row>
    <row r="12" spans="1:67" x14ac:dyDescent="0.25">
      <c r="A12" t="s">
        <v>10</v>
      </c>
      <c r="B12" s="1">
        <v>45992</v>
      </c>
      <c r="C12" s="1">
        <v>45992</v>
      </c>
      <c r="L12" s="1">
        <f t="shared" si="33"/>
        <v>39600</v>
      </c>
      <c r="M12" s="11">
        <f t="shared" si="0"/>
        <v>138345.35404312523</v>
      </c>
      <c r="N12" s="11">
        <f t="shared" si="24"/>
        <v>118125.25355059461</v>
      </c>
      <c r="O12" s="8">
        <f t="shared" si="25"/>
        <v>1.1711750864845347</v>
      </c>
      <c r="P12" s="8">
        <f t="shared" si="1"/>
        <v>0.48254044659139073</v>
      </c>
      <c r="Q12">
        <v>10</v>
      </c>
      <c r="R12">
        <f t="shared" si="2"/>
        <v>91</v>
      </c>
      <c r="S12" s="23"/>
      <c r="T12" s="23">
        <f>IF($B$10="3BR_H",
INDEX('3BR_H-processed'!$C:$D,MATCH($L12,'3BR_H-processed'!$B:$B,0),MATCH(Council_Area,'3BR_H-processed'!$C$1:$D$1,0)),
INDEX('2BR_F-processed'!$C:$D,MATCH($L12,'2BR_F-processed'!$B:$B,0),MATCH(Council_Area,'2BR_F-processed'!$C$1:$D$1,0)))</f>
        <v>290</v>
      </c>
      <c r="U12" s="23">
        <f t="shared" si="26"/>
        <v>280</v>
      </c>
      <c r="V12" s="23">
        <f t="shared" si="34"/>
        <v>3640</v>
      </c>
      <c r="W12" s="23">
        <f>$B$53/4*BH12/_xlfn.XLOOKUP(Q_end,cpi!A:A,cpi!B:B)</f>
        <v>126.60677263303387</v>
      </c>
      <c r="X12" s="23">
        <f t="shared" si="3"/>
        <v>3766.6067726330339</v>
      </c>
      <c r="Y12" s="23">
        <f t="shared" si="4"/>
        <v>4039.1777978416349</v>
      </c>
      <c r="Z12" s="23">
        <f t="shared" si="27"/>
        <v>0</v>
      </c>
      <c r="AA12" s="23" cm="1">
        <f t="array" ref="AA12">(Y12+Z12)*eff_invest</f>
        <v>4039.1777978416349</v>
      </c>
      <c r="AB12" s="23">
        <f>AA12*(_xlfn.XLOOKUP(Q_end,cpi!A:A,cpi!B:B)/BH12)</f>
        <v>6380.6662374201369</v>
      </c>
      <c r="AC12" s="23" cm="1">
        <f t="array" ref="AC12">INDEX('msci-indices'!C:C,MATCH($L12,'msci-indices'!$B:$B)-2)</f>
        <v>894.99836200000004</v>
      </c>
      <c r="AD12" s="23" cm="1">
        <f t="array" ref="AD12">INDEX('msci-indices'!D:D,MATCH($L12,'msci-indices'!$B:$B)-2)</f>
        <v>881.21372699999995</v>
      </c>
      <c r="AE12" s="23">
        <f t="shared" si="28"/>
        <v>140545.3181448286</v>
      </c>
      <c r="AF12" s="23" cm="1">
        <f t="array" ref="AF12">INDEX('msci-indices'!C:C,MATCH($L12,'msci-indices'!$B:$B)+1)</f>
        <v>881.79173700000001</v>
      </c>
      <c r="AG12" s="23" cm="1">
        <f t="array" ref="AG12">INDEX('msci-indices'!D:D,MATCH($L12,'msci-indices'!$B:$B)+1)</f>
        <v>867.41146500000002</v>
      </c>
      <c r="AH12" s="23">
        <f t="shared" si="5"/>
        <v>87.840823840517885</v>
      </c>
      <c r="AI12" s="23">
        <f t="shared" si="6"/>
        <v>138345.35404312523</v>
      </c>
      <c r="AJ12" s="23">
        <f t="shared" si="29"/>
        <v>123504.20103032079</v>
      </c>
      <c r="AK12" s="23">
        <f t="shared" si="7"/>
        <v>14841.15301280444</v>
      </c>
      <c r="AL12" s="23">
        <f>AJ12*(_xlfn.XLOOKUP(Q_end,cpi!A:A,cpi!B:B)/BH12)</f>
        <v>195098.88525204605</v>
      </c>
      <c r="AM12" s="23" cm="1">
        <f t="array" ref="AM12">SUMPRODUCT($AA$3:AA12,_xlfn.SORTBY($BH$3:BH12,_xlfn.SEQUENCE(ROWS($BH$3:BH12)),-1)/$BH$3)</f>
        <v>132003.60971014074</v>
      </c>
      <c r="AN12" s="23">
        <f t="shared" si="30"/>
        <v>6341.7443329844973</v>
      </c>
      <c r="AO12" s="23">
        <f t="shared" si="8"/>
        <v>0</v>
      </c>
      <c r="AP12" s="23">
        <f t="shared" si="31"/>
        <v>138345.35404312523</v>
      </c>
      <c r="AQ12" s="23"/>
      <c r="AR12" s="11">
        <f>IF($B$10="3BR_H",
INDEX('ns-combined'!$C:$D,MATCH($L12,'ns-combined'!$B:$B,0),MATCH(Council_Area,'ns-combined'!$C$1:$D$1,0))*1000,
INDEX('s-combined'!$C:$D,MATCH($L12,'s-combined'!$B:$B,0),MATCH(Council_Area,'s-combined'!$C$1:$D$1,0))*1000)</f>
        <v>400000</v>
      </c>
      <c r="AS12" s="23">
        <f t="shared" si="35"/>
        <v>8250</v>
      </c>
      <c r="AT12" s="11">
        <v>0</v>
      </c>
      <c r="AU12" s="23">
        <f t="shared" si="9"/>
        <v>8000</v>
      </c>
      <c r="AV12" s="23">
        <f t="shared" si="10"/>
        <v>1150</v>
      </c>
      <c r="AW12" s="23">
        <f>SUM($AV$3:AV12)</f>
        <v>10502.375</v>
      </c>
      <c r="AX12" s="23">
        <f t="shared" si="32"/>
        <v>373247.625</v>
      </c>
      <c r="AY12" s="23">
        <f t="shared" si="11"/>
        <v>1274.0000000000002</v>
      </c>
      <c r="AZ12" s="25">
        <f t="shared" si="12"/>
        <v>1.2740000000000003E-2</v>
      </c>
      <c r="BA12" s="25">
        <f t="shared" si="13"/>
        <v>0.35000000000000009</v>
      </c>
      <c r="BB12" s="26">
        <f>IF(MortgageRate="Discounted",_xlfn.XLOOKUP(L12,'mortgage-rates'!$A:$A,'mortgage-rates'!$E:$E)/100,_xlfn.XLOOKUP(L12,'mortgage-rates'!$A:$A,'mortgage-rates'!$D:$D)/100)</f>
        <v>8.8399999999999992E-2</v>
      </c>
      <c r="BC12" s="11">
        <f t="shared" si="37"/>
        <v>255122.37144940539</v>
      </c>
      <c r="BD12" s="11">
        <f t="shared" si="14"/>
        <v>6531.7845704746687</v>
      </c>
      <c r="BE12" s="11">
        <f t="shared" si="15"/>
        <v>5638.2044090318586</v>
      </c>
      <c r="BF12" s="11">
        <f t="shared" si="36"/>
        <v>893.58016144281009</v>
      </c>
      <c r="BG12" s="13">
        <f t="shared" si="16"/>
        <v>7805.7845704746687</v>
      </c>
      <c r="BH12" s="23">
        <f>INDEX(cpi!B:B,MATCH($L12,cpi!A:A))</f>
        <v>91.6</v>
      </c>
      <c r="BI12" s="23">
        <f t="shared" si="17"/>
        <v>108.274231678487</v>
      </c>
      <c r="BJ12" s="23">
        <f t="shared" si="18"/>
        <v>118.56173473997831</v>
      </c>
      <c r="BK12" s="23">
        <f t="shared" si="19"/>
        <v>123.59997274839783</v>
      </c>
      <c r="BL12" s="23">
        <f t="shared" si="20"/>
        <v>120.07320614250416</v>
      </c>
      <c r="BM12" s="23">
        <f t="shared" si="21"/>
        <v>156.50976430088514</v>
      </c>
      <c r="BN12" s="23">
        <f t="shared" si="22"/>
        <v>121.21212121212122</v>
      </c>
      <c r="BO12">
        <f t="shared" si="23"/>
        <v>116.05011251413714</v>
      </c>
    </row>
    <row r="13" spans="1:67" x14ac:dyDescent="0.25">
      <c r="A13" t="s">
        <v>11</v>
      </c>
      <c r="B13" s="1" t="s">
        <v>630</v>
      </c>
      <c r="C13" s="1" t="s">
        <v>630</v>
      </c>
      <c r="L13" s="1">
        <f t="shared" si="33"/>
        <v>39692</v>
      </c>
      <c r="M13" s="11">
        <f t="shared" si="0"/>
        <v>122562.11833797979</v>
      </c>
      <c r="N13" s="11">
        <f t="shared" si="24"/>
        <v>102386.95871203742</v>
      </c>
      <c r="O13" s="8">
        <f t="shared" si="25"/>
        <v>1.1970481385494109</v>
      </c>
      <c r="P13" s="8">
        <f t="shared" si="1"/>
        <v>0.48949501030071818</v>
      </c>
      <c r="Q13">
        <v>11</v>
      </c>
      <c r="R13">
        <f t="shared" si="2"/>
        <v>92</v>
      </c>
      <c r="S13" s="23"/>
      <c r="T13" s="23">
        <f>IF($B$10="3BR_H",
INDEX('3BR_H-processed'!$C:$D,MATCH($L13,'3BR_H-processed'!$B:$B,0),MATCH(Council_Area,'3BR_H-processed'!$C$1:$D$1,0)),
INDEX('2BR_F-processed'!$C:$D,MATCH($L13,'2BR_F-processed'!$B:$B,0),MATCH(Council_Area,'2BR_F-processed'!$C$1:$D$1,0)))</f>
        <v>300</v>
      </c>
      <c r="U13" s="23">
        <f t="shared" si="26"/>
        <v>280</v>
      </c>
      <c r="V13" s="23">
        <f t="shared" si="34"/>
        <v>3680</v>
      </c>
      <c r="W13" s="23">
        <f>$B$53/4*BH13/_xlfn.XLOOKUP(Q_end,cpi!A:A,cpi!B:B)</f>
        <v>127.98894263994472</v>
      </c>
      <c r="X13" s="23">
        <f t="shared" si="3"/>
        <v>3807.9889426399445</v>
      </c>
      <c r="Y13" s="23">
        <f t="shared" si="4"/>
        <v>3971.4344682351334</v>
      </c>
      <c r="Z13" s="23">
        <f t="shared" si="27"/>
        <v>0</v>
      </c>
      <c r="AA13" s="23" cm="1">
        <f t="array" ref="AA13">(Y13+Z13)*eff_invest</f>
        <v>3971.4344682351334</v>
      </c>
      <c r="AB13" s="23">
        <f>AA13*(_xlfn.XLOOKUP(Q_end,cpi!A:A,cpi!B:B)/BH13)</f>
        <v>6205.9024573825463</v>
      </c>
      <c r="AC13" s="23" cm="1">
        <f t="array" ref="AC13">INDEX('msci-indices'!C:C,MATCH($L13,'msci-indices'!$B:$B)-2)</f>
        <v>881.79173700000001</v>
      </c>
      <c r="AD13" s="23" cm="1">
        <f t="array" ref="AD13">INDEX('msci-indices'!D:D,MATCH($L13,'msci-indices'!$B:$B)-2)</f>
        <v>867.41146500000002</v>
      </c>
      <c r="AE13" s="23">
        <f t="shared" si="28"/>
        <v>142316.78851136036</v>
      </c>
      <c r="AF13" s="23" cm="1">
        <f t="array" ref="AF13">INDEX('msci-indices'!C:C,MATCH($L13,'msci-indices'!$B:$B)+1)</f>
        <v>747.65997700000003</v>
      </c>
      <c r="AG13" s="23" cm="1">
        <f t="array" ref="AG13">INDEX('msci-indices'!D:D,MATCH($L13,'msci-indices'!$B:$B)+1)</f>
        <v>775.74397499999998</v>
      </c>
      <c r="AH13" s="23">
        <f t="shared" si="5"/>
        <v>88.947992819600231</v>
      </c>
      <c r="AI13" s="23">
        <f t="shared" si="6"/>
        <v>122562.11833797979</v>
      </c>
      <c r="AJ13" s="23">
        <f t="shared" si="29"/>
        <v>127475.63549855593</v>
      </c>
      <c r="AK13" s="23">
        <f t="shared" si="7"/>
        <v>-4913.5171605761425</v>
      </c>
      <c r="AL13" s="23">
        <f>AJ13*(_xlfn.XLOOKUP(Q_end,cpi!A:A,cpi!B:B)/BH13)</f>
        <v>199197.88830065922</v>
      </c>
      <c r="AM13" s="23" cm="1">
        <f t="array" ref="AM13">SUMPRODUCT($AA$3:AA13,_xlfn.SORTBY($BH$3:BH13,_xlfn.SEQUENCE(ROWS($BH$3:BH13)),-1)/$BH$3)</f>
        <v>137346.05303016436</v>
      </c>
      <c r="AN13" s="23">
        <f t="shared" si="30"/>
        <v>-14783.934692184572</v>
      </c>
      <c r="AO13" s="23">
        <f t="shared" si="8"/>
        <v>0</v>
      </c>
      <c r="AP13" s="23">
        <f t="shared" si="31"/>
        <v>122562.11833797979</v>
      </c>
      <c r="AQ13" s="23"/>
      <c r="AR13" s="11">
        <f>IF($B$10="3BR_H",
INDEX('ns-combined'!$C:$D,MATCH($L13,'ns-combined'!$B:$B,0),MATCH(Council_Area,'ns-combined'!$C$1:$D$1,0))*1000,
INDEX('s-combined'!$C:$D,MATCH($L13,'s-combined'!$B:$B,0),MATCH(Council_Area,'s-combined'!$C$1:$D$1,0))*1000)</f>
        <v>385000</v>
      </c>
      <c r="AS13" s="23">
        <f t="shared" si="35"/>
        <v>9075</v>
      </c>
      <c r="AT13" s="11">
        <v>0</v>
      </c>
      <c r="AU13" s="23">
        <f t="shared" si="9"/>
        <v>7700</v>
      </c>
      <c r="AV13" s="23">
        <f t="shared" si="10"/>
        <v>1106.875</v>
      </c>
      <c r="AW13" s="23">
        <f>SUM($AV$3:AV13)</f>
        <v>11609.25</v>
      </c>
      <c r="AX13" s="23">
        <f t="shared" si="32"/>
        <v>356615.75</v>
      </c>
      <c r="AY13" s="23">
        <f t="shared" si="11"/>
        <v>1288.0000000000002</v>
      </c>
      <c r="AZ13" s="25">
        <f t="shared" si="12"/>
        <v>1.3381818181818184E-2</v>
      </c>
      <c r="BA13" s="25">
        <f t="shared" si="13"/>
        <v>0.35000000000000009</v>
      </c>
      <c r="BB13" s="26">
        <f>IF(MortgageRate="Discounted",_xlfn.XLOOKUP(L13,'mortgage-rates'!$A:$A,'mortgage-rates'!$E:$E)/100,_xlfn.XLOOKUP(L13,'mortgage-rates'!$A:$A,'mortgage-rates'!$D:$D)/100)</f>
        <v>8.7599999999999997E-2</v>
      </c>
      <c r="BC13" s="11">
        <f t="shared" si="37"/>
        <v>254228.79128796258</v>
      </c>
      <c r="BD13" s="11">
        <f t="shared" si="14"/>
        <v>6491.4234108750779</v>
      </c>
      <c r="BE13" s="11">
        <f t="shared" si="15"/>
        <v>5567.6105292063803</v>
      </c>
      <c r="BF13" s="11">
        <f t="shared" si="36"/>
        <v>923.81288166869763</v>
      </c>
      <c r="BG13" s="13">
        <f t="shared" si="16"/>
        <v>7779.4234108750779</v>
      </c>
      <c r="BH13" s="23">
        <f>INDEX(cpi!B:B,MATCH($L13,cpi!A:A))</f>
        <v>92.6</v>
      </c>
      <c r="BI13" s="23">
        <f t="shared" si="17"/>
        <v>109.45626477541371</v>
      </c>
      <c r="BJ13" s="23">
        <f t="shared" si="18"/>
        <v>116.8122339179194</v>
      </c>
      <c r="BK13" s="23">
        <f t="shared" si="19"/>
        <v>121.6640528293176</v>
      </c>
      <c r="BL13" s="23">
        <f t="shared" si="20"/>
        <v>118.26777959133886</v>
      </c>
      <c r="BM13" s="23">
        <f t="shared" si="21"/>
        <v>158.48245476963618</v>
      </c>
      <c r="BN13" s="23">
        <f t="shared" si="22"/>
        <v>116.66666666666667</v>
      </c>
      <c r="BO13">
        <f t="shared" si="23"/>
        <v>110.87893167923949</v>
      </c>
    </row>
    <row r="14" spans="1:67" x14ac:dyDescent="0.25">
      <c r="A14" t="s">
        <v>335</v>
      </c>
      <c r="B14" s="4">
        <v>0.01</v>
      </c>
      <c r="C14" s="4">
        <v>0.01</v>
      </c>
      <c r="L14" s="1">
        <f t="shared" si="33"/>
        <v>39783</v>
      </c>
      <c r="M14" s="11">
        <f t="shared" si="0"/>
        <v>98764.909619124897</v>
      </c>
      <c r="N14" s="11">
        <f t="shared" si="24"/>
        <v>101378.89659370613</v>
      </c>
      <c r="O14" s="8">
        <f t="shared" si="25"/>
        <v>0.97421566950903749</v>
      </c>
      <c r="P14" s="8">
        <f t="shared" si="1"/>
        <v>0.58104096803398053</v>
      </c>
      <c r="Q14">
        <v>12</v>
      </c>
      <c r="R14">
        <f t="shared" si="2"/>
        <v>92</v>
      </c>
      <c r="S14" s="23"/>
      <c r="T14" s="23">
        <f>IF($B$10="3BR_H",
INDEX('3BR_H-processed'!$C:$D,MATCH($L14,'3BR_H-processed'!$B:$B,0),MATCH(Council_Area,'3BR_H-processed'!$C$1:$D$1,0)),
INDEX('2BR_F-processed'!$C:$D,MATCH($L14,'2BR_F-processed'!$B:$B,0),MATCH(Council_Area,'2BR_F-processed'!$C$1:$D$1,0)))</f>
        <v>300</v>
      </c>
      <c r="U14" s="23">
        <f t="shared" si="26"/>
        <v>280</v>
      </c>
      <c r="V14" s="23">
        <f t="shared" si="34"/>
        <v>3680</v>
      </c>
      <c r="W14" s="23">
        <f>$B$53/4*BH14/_xlfn.XLOOKUP(Q_end,cpi!A:A,cpi!B:B)</f>
        <v>127.98894263994472</v>
      </c>
      <c r="X14" s="23">
        <f t="shared" si="3"/>
        <v>3807.9889426399445</v>
      </c>
      <c r="Y14" s="23">
        <f t="shared" si="4"/>
        <v>2745.7467698773958</v>
      </c>
      <c r="Z14" s="23">
        <f t="shared" si="27"/>
        <v>0</v>
      </c>
      <c r="AA14" s="23" cm="1">
        <f t="array" ref="AA14">(Y14+Z14)*eff_invest</f>
        <v>2745.7467698773958</v>
      </c>
      <c r="AB14" s="23">
        <f>AA14*(_xlfn.XLOOKUP(Q_end,cpi!A:A,cpi!B:B)/BH14)</f>
        <v>4290.5999740956713</v>
      </c>
      <c r="AC14" s="23" cm="1">
        <f t="array" ref="AC14">INDEX('msci-indices'!C:C,MATCH($L14,'msci-indices'!$B:$B)-2)</f>
        <v>747.65997700000003</v>
      </c>
      <c r="AD14" s="23" cm="1">
        <f t="array" ref="AD14">INDEX('msci-indices'!D:D,MATCH($L14,'msci-indices'!$B:$B)-2)</f>
        <v>775.74397499999998</v>
      </c>
      <c r="AE14" s="23">
        <f t="shared" si="28"/>
        <v>125307.86510785719</v>
      </c>
      <c r="AF14" s="23" cm="1">
        <f t="array" ref="AF14">INDEX('msci-indices'!C:C,MATCH($L14,'msci-indices'!$B:$B)+1)</f>
        <v>582.01081599999998</v>
      </c>
      <c r="AG14" s="23" cm="1">
        <f t="array" ref="AG14">INDEX('msci-indices'!D:D,MATCH($L14,'msci-indices'!$B:$B)+1)</f>
        <v>630.66129899999999</v>
      </c>
      <c r="AH14" s="23">
        <f t="shared" si="5"/>
        <v>78.317415692410748</v>
      </c>
      <c r="AI14" s="23">
        <f t="shared" si="6"/>
        <v>98764.909619124897</v>
      </c>
      <c r="AJ14" s="23">
        <f t="shared" si="29"/>
        <v>130221.38226843333</v>
      </c>
      <c r="AK14" s="23">
        <f t="shared" si="7"/>
        <v>-31456.472649308431</v>
      </c>
      <c r="AL14" s="23">
        <f>AJ14*(_xlfn.XLOOKUP(Q_end,cpi!A:A,cpi!B:B)/BH14)</f>
        <v>203488.4882747549</v>
      </c>
      <c r="AM14" s="23" cm="1">
        <f t="array" ref="AM14">SUMPRODUCT($AA$3:AA14,_xlfn.SORTBY($BH$3:BH14,_xlfn.SEQUENCE(ROWS($BH$3:BH14)),-1)/$BH$3)</f>
        <v>140445.34223202369</v>
      </c>
      <c r="AN14" s="23">
        <f t="shared" si="30"/>
        <v>-41680.432612898789</v>
      </c>
      <c r="AO14" s="23">
        <f t="shared" si="8"/>
        <v>0</v>
      </c>
      <c r="AP14" s="23">
        <f t="shared" si="31"/>
        <v>98764.909619124897</v>
      </c>
      <c r="AQ14" s="23"/>
      <c r="AR14" s="11">
        <f>IF($B$10="3BR_H",
INDEX('ns-combined'!$C:$D,MATCH($L14,'ns-combined'!$B:$B,0),MATCH(Council_Area,'ns-combined'!$C$1:$D$1,0))*1000,
INDEX('s-combined'!$C:$D,MATCH($L14,'s-combined'!$B:$B,0),MATCH(Council_Area,'s-combined'!$C$1:$D$1,0))*1000)</f>
        <v>385000</v>
      </c>
      <c r="AS14" s="23">
        <f t="shared" si="35"/>
        <v>9900</v>
      </c>
      <c r="AT14" s="11">
        <v>0</v>
      </c>
      <c r="AU14" s="23">
        <f t="shared" si="9"/>
        <v>7700</v>
      </c>
      <c r="AV14" s="23">
        <f t="shared" si="10"/>
        <v>1106.875</v>
      </c>
      <c r="AW14" s="23">
        <f>SUM($AV$3:AV14)</f>
        <v>12716.125</v>
      </c>
      <c r="AX14" s="23">
        <f t="shared" si="32"/>
        <v>354683.875</v>
      </c>
      <c r="AY14" s="23">
        <f t="shared" si="11"/>
        <v>1288.0000000000002</v>
      </c>
      <c r="AZ14" s="25">
        <f t="shared" si="12"/>
        <v>1.3381818181818184E-2</v>
      </c>
      <c r="BA14" s="25">
        <f t="shared" si="13"/>
        <v>0.35000000000000009</v>
      </c>
      <c r="BB14" s="26">
        <f>IF(MortgageRate="Discounted",_xlfn.XLOOKUP(L14,'mortgage-rates'!$A:$A,'mortgage-rates'!$E:$E)/100,_xlfn.XLOOKUP(L14,'mortgage-rates'!$A:$A,'mortgage-rates'!$D:$D)/100)</f>
        <v>6.2E-2</v>
      </c>
      <c r="BC14" s="11">
        <f t="shared" si="37"/>
        <v>253304.97840629387</v>
      </c>
      <c r="BD14" s="11">
        <f t="shared" si="14"/>
        <v>5265.7357125173403</v>
      </c>
      <c r="BE14" s="11">
        <f t="shared" si="15"/>
        <v>3926.2271652975551</v>
      </c>
      <c r="BF14" s="11">
        <f t="shared" si="36"/>
        <v>1339.5085472197852</v>
      </c>
      <c r="BG14" s="13">
        <f t="shared" si="16"/>
        <v>6553.7357125173403</v>
      </c>
      <c r="BH14" s="23">
        <f>INDEX(cpi!B:B,MATCH($L14,cpi!A:A))</f>
        <v>92.6</v>
      </c>
      <c r="BI14" s="23">
        <f t="shared" si="17"/>
        <v>109.45626477541371</v>
      </c>
      <c r="BJ14" s="23">
        <f t="shared" si="18"/>
        <v>99.043604583459881</v>
      </c>
      <c r="BK14" s="23">
        <f t="shared" si="19"/>
        <v>108.80667337781247</v>
      </c>
      <c r="BL14" s="23">
        <f t="shared" si="20"/>
        <v>101.97252522176566</v>
      </c>
      <c r="BM14" s="23">
        <f t="shared" si="21"/>
        <v>139.54149943912211</v>
      </c>
      <c r="BN14" s="23">
        <f t="shared" si="22"/>
        <v>116.66666666666667</v>
      </c>
      <c r="BO14">
        <f t="shared" si="23"/>
        <v>110.27827330636103</v>
      </c>
    </row>
    <row r="15" spans="1:67" x14ac:dyDescent="0.25">
      <c r="A15" t="s">
        <v>491</v>
      </c>
      <c r="B15" s="4">
        <v>1.15E-2</v>
      </c>
      <c r="C15" s="4">
        <v>1.15E-2</v>
      </c>
      <c r="L15" s="1">
        <f t="shared" si="33"/>
        <v>39873</v>
      </c>
      <c r="M15" s="11">
        <f t="shared" si="0"/>
        <v>92061.271961644539</v>
      </c>
      <c r="N15" s="11">
        <f t="shared" si="24"/>
        <v>91015.280140925926</v>
      </c>
      <c r="O15" s="8">
        <f t="shared" si="25"/>
        <v>1.0114924858671974</v>
      </c>
      <c r="P15" s="8">
        <f t="shared" si="1"/>
        <v>0.66243985886396584</v>
      </c>
      <c r="Q15">
        <v>13</v>
      </c>
      <c r="R15">
        <f t="shared" si="2"/>
        <v>90</v>
      </c>
      <c r="S15" s="23"/>
      <c r="T15" s="23">
        <f>IF($B$10="3BR_H",
INDEX('3BR_H-processed'!$C:$D,MATCH($L15,'3BR_H-processed'!$B:$B,0),MATCH(Council_Area,'3BR_H-processed'!$C$1:$D$1,0)),
INDEX('2BR_F-processed'!$C:$D,MATCH($L15,'2BR_F-processed'!$B:$B,0),MATCH(Council_Area,'2BR_F-processed'!$C$1:$D$1,0)))</f>
        <v>310</v>
      </c>
      <c r="U15" s="23">
        <f t="shared" si="26"/>
        <v>310</v>
      </c>
      <c r="V15" s="23">
        <f t="shared" si="34"/>
        <v>3985.7142857142858</v>
      </c>
      <c r="W15" s="23">
        <f>$B$53/4*BH15/_xlfn.XLOOKUP(Q_end,cpi!A:A,cpi!B:B)</f>
        <v>127.85072563925364</v>
      </c>
      <c r="X15" s="23">
        <f t="shared" si="3"/>
        <v>4113.5650113535394</v>
      </c>
      <c r="Y15" s="23">
        <f t="shared" si="4"/>
        <v>2096.1534352507933</v>
      </c>
      <c r="Z15" s="23">
        <f t="shared" si="27"/>
        <v>0</v>
      </c>
      <c r="AA15" s="23" cm="1">
        <f t="array" ref="AA15">(Y15+Z15)*eff_invest</f>
        <v>2096.1534352507933</v>
      </c>
      <c r="AB15" s="23">
        <f>AA15*(_xlfn.XLOOKUP(Q_end,cpi!A:A,cpi!B:B)/BH15)</f>
        <v>3279.063806278808</v>
      </c>
      <c r="AC15" s="23" cm="1">
        <f t="array" ref="AC15">INDEX('msci-indices'!C:C,MATCH($L15,'msci-indices'!$B:$B)-2)</f>
        <v>582.01081599999998</v>
      </c>
      <c r="AD15" s="23" cm="1">
        <f t="array" ref="AD15">INDEX('msci-indices'!D:D,MATCH($L15,'msci-indices'!$B:$B)-2)</f>
        <v>630.66129899999999</v>
      </c>
      <c r="AE15" s="23">
        <f t="shared" si="28"/>
        <v>100861.06305437569</v>
      </c>
      <c r="AF15" s="23" cm="1">
        <f t="array" ref="AF15">INDEX('msci-indices'!C:C,MATCH($L15,'msci-indices'!$B:$B)+1)</f>
        <v>513.55423199999996</v>
      </c>
      <c r="AG15" s="23" cm="1">
        <f t="array" ref="AG15">INDEX('msci-indices'!D:D,MATCH($L15,'msci-indices'!$B:$B)+1)</f>
        <v>621.64895000000001</v>
      </c>
      <c r="AH15" s="23">
        <f t="shared" si="5"/>
        <v>63.038164408984805</v>
      </c>
      <c r="AI15" s="23">
        <f t="shared" si="6"/>
        <v>92061.271961644539</v>
      </c>
      <c r="AJ15" s="23">
        <f t="shared" si="29"/>
        <v>132317.53570368412</v>
      </c>
      <c r="AK15" s="23">
        <f t="shared" si="7"/>
        <v>-40256.263742039577</v>
      </c>
      <c r="AL15" s="23">
        <f>AJ15*(_xlfn.XLOOKUP(Q_end,cpi!A:A,cpi!B:B)/BH15)</f>
        <v>206987.53963592529</v>
      </c>
      <c r="AM15" s="23" cm="1">
        <f t="array" ref="AM15">SUMPRODUCT($AA$3:AA15,_xlfn.SORTBY($BH$3:BH15,_xlfn.SEQUENCE(ROWS($BH$3:BH15)),-1)/$BH$3)</f>
        <v>142772.92371736804</v>
      </c>
      <c r="AN15" s="23">
        <f t="shared" si="30"/>
        <v>-50711.651755723506</v>
      </c>
      <c r="AO15" s="23">
        <f t="shared" si="8"/>
        <v>0</v>
      </c>
      <c r="AP15" s="23">
        <f t="shared" si="31"/>
        <v>92061.271961644539</v>
      </c>
      <c r="AQ15" s="23"/>
      <c r="AR15" s="11">
        <f>IF($B$10="3BR_H",
INDEX('ns-combined'!$C:$D,MATCH($L15,'ns-combined'!$B:$B,0),MATCH(Council_Area,'ns-combined'!$C$1:$D$1,0))*1000,
INDEX('s-combined'!$C:$D,MATCH($L15,'s-combined'!$B:$B,0),MATCH(Council_Area,'s-combined'!$C$1:$D$1,0))*1000)</f>
        <v>375000</v>
      </c>
      <c r="AS15" s="23">
        <f t="shared" si="35"/>
        <v>10725</v>
      </c>
      <c r="AT15" s="11">
        <v>0</v>
      </c>
      <c r="AU15" s="23">
        <f t="shared" si="9"/>
        <v>7500</v>
      </c>
      <c r="AV15" s="23">
        <f t="shared" si="10"/>
        <v>1078.125</v>
      </c>
      <c r="AW15" s="23">
        <f>SUM($AV$3:AV15)</f>
        <v>13794.25</v>
      </c>
      <c r="AX15" s="23">
        <f t="shared" si="32"/>
        <v>342980.75</v>
      </c>
      <c r="AY15" s="23">
        <f t="shared" si="11"/>
        <v>1395.0000000000002</v>
      </c>
      <c r="AZ15" s="25">
        <f t="shared" si="12"/>
        <v>1.4880000000000003E-2</v>
      </c>
      <c r="BA15" s="25">
        <f t="shared" si="13"/>
        <v>0.35000000000000003</v>
      </c>
      <c r="BB15" s="26">
        <f>IF(MortgageRate="Discounted",_xlfn.XLOOKUP(L15,'mortgage-rates'!$A:$A,'mortgage-rates'!$E:$E)/100,_xlfn.XLOOKUP(L15,'mortgage-rates'!$A:$A,'mortgage-rates'!$D:$D)/100)</f>
        <v>5.1799999999999999E-2</v>
      </c>
      <c r="BC15" s="11">
        <f t="shared" si="37"/>
        <v>251965.46985907407</v>
      </c>
      <c r="BD15" s="11">
        <f t="shared" si="14"/>
        <v>4814.7184466043327</v>
      </c>
      <c r="BE15" s="11">
        <f t="shared" si="15"/>
        <v>3262.9528346750094</v>
      </c>
      <c r="BF15" s="11">
        <f t="shared" si="36"/>
        <v>1551.7656119293233</v>
      </c>
      <c r="BG15" s="13">
        <f t="shared" si="16"/>
        <v>6209.7184466043327</v>
      </c>
      <c r="BH15" s="23">
        <f>INDEX(cpi!B:B,MATCH($L15,cpi!A:A))</f>
        <v>92.5</v>
      </c>
      <c r="BI15" s="23">
        <f t="shared" si="17"/>
        <v>109.33806146572105</v>
      </c>
      <c r="BJ15" s="23">
        <f t="shared" si="18"/>
        <v>77.099819298205958</v>
      </c>
      <c r="BK15" s="23">
        <f t="shared" si="19"/>
        <v>88.457223238272576</v>
      </c>
      <c r="BL15" s="23">
        <f t="shared" si="20"/>
        <v>80.507040480225939</v>
      </c>
      <c r="BM15" s="23">
        <f t="shared" si="21"/>
        <v>112.31780193140422</v>
      </c>
      <c r="BN15" s="23">
        <f t="shared" si="22"/>
        <v>113.63636363636364</v>
      </c>
      <c r="BO15">
        <f t="shared" si="23"/>
        <v>106.63953890579516</v>
      </c>
    </row>
    <row r="16" spans="1:67" x14ac:dyDescent="0.25">
      <c r="A16" t="s">
        <v>57</v>
      </c>
      <c r="B16" s="24">
        <v>25</v>
      </c>
      <c r="C16" s="24">
        <v>25</v>
      </c>
      <c r="L16" s="1">
        <f t="shared" si="33"/>
        <v>39965</v>
      </c>
      <c r="M16" s="11">
        <f t="shared" si="0"/>
        <v>111571.44964643057</v>
      </c>
      <c r="N16" s="11">
        <f t="shared" si="24"/>
        <v>115092.04575285525</v>
      </c>
      <c r="O16" s="8">
        <f t="shared" si="25"/>
        <v>0.96941060450011729</v>
      </c>
      <c r="P16" s="8">
        <f t="shared" si="1"/>
        <v>0.66985751294425588</v>
      </c>
      <c r="Q16">
        <v>14</v>
      </c>
      <c r="R16">
        <f t="shared" si="2"/>
        <v>91</v>
      </c>
      <c r="S16" s="23"/>
      <c r="T16" s="23">
        <f>IF($B$10="3BR_H",
INDEX('3BR_H-processed'!$C:$D,MATCH($L16,'3BR_H-processed'!$B:$B,0),MATCH(Council_Area,'3BR_H-processed'!$C$1:$D$1,0)),
INDEX('2BR_F-processed'!$C:$D,MATCH($L16,'2BR_F-processed'!$B:$B,0),MATCH(Council_Area,'2BR_F-processed'!$C$1:$D$1,0)))</f>
        <v>300</v>
      </c>
      <c r="U16" s="23">
        <f t="shared" si="26"/>
        <v>310</v>
      </c>
      <c r="V16" s="23">
        <f t="shared" si="34"/>
        <v>4030</v>
      </c>
      <c r="W16" s="23">
        <f>$B$53/4*BH16/_xlfn.XLOOKUP(Q_end,cpi!A:A,cpi!B:B)</f>
        <v>128.54181064270907</v>
      </c>
      <c r="X16" s="23">
        <f t="shared" si="3"/>
        <v>4158.5418106427087</v>
      </c>
      <c r="Y16" s="23">
        <f t="shared" si="4"/>
        <v>2049.5572705551367</v>
      </c>
      <c r="Z16" s="23">
        <f t="shared" si="27"/>
        <v>0</v>
      </c>
      <c r="AA16" s="23" cm="1">
        <f t="array" ref="AA16">(Y16+Z16)*eff_invest</f>
        <v>2049.5572705551367</v>
      </c>
      <c r="AB16" s="23">
        <f>AA16*(_xlfn.XLOOKUP(Q_end,cpi!A:A,cpi!B:B)/BH16)</f>
        <v>3188.9348069820239</v>
      </c>
      <c r="AC16" s="23" cm="1">
        <f t="array" ref="AC16">INDEX('msci-indices'!C:C,MATCH($L16,'msci-indices'!$B:$B)-2)</f>
        <v>513.55423199999996</v>
      </c>
      <c r="AD16" s="23" cm="1">
        <f t="array" ref="AD16">INDEX('msci-indices'!D:D,MATCH($L16,'msci-indices'!$B:$B)-2)</f>
        <v>621.64895000000001</v>
      </c>
      <c r="AE16" s="23">
        <f t="shared" si="28"/>
        <v>94110.829232199671</v>
      </c>
      <c r="AF16" s="23" cm="1">
        <f t="array" ref="AF16">INDEX('msci-indices'!C:C,MATCH($L16,'msci-indices'!$B:$B)+1)</f>
        <v>624.35597900000005</v>
      </c>
      <c r="AG16" s="23" cm="1">
        <f t="array" ref="AG16">INDEX('msci-indices'!D:D,MATCH($L16,'msci-indices'!$B:$B)+1)</f>
        <v>694.44244900000001</v>
      </c>
      <c r="AH16" s="23">
        <f t="shared" si="5"/>
        <v>58.819268270124795</v>
      </c>
      <c r="AI16" s="23">
        <f t="shared" si="6"/>
        <v>111571.44964643057</v>
      </c>
      <c r="AJ16" s="23">
        <f t="shared" si="29"/>
        <v>134367.09297423926</v>
      </c>
      <c r="AK16" s="23">
        <f t="shared" si="7"/>
        <v>-22795.643327808692</v>
      </c>
      <c r="AL16" s="23">
        <f>AJ16*(_xlfn.XLOOKUP(Q_end,cpi!A:A,cpi!B:B)/BH16)</f>
        <v>209063.63820830558</v>
      </c>
      <c r="AM16" s="23" cm="1">
        <f t="array" ref="AM16">SUMPRODUCT($AA$3:AA16,_xlfn.SORTBY($BH$3:BH16,_xlfn.SEQUENCE(ROWS($BH$3:BH16)),-1)/$BH$3)</f>
        <v>145669.46953343667</v>
      </c>
      <c r="AN16" s="23">
        <f t="shared" si="30"/>
        <v>-34098.019887006099</v>
      </c>
      <c r="AO16" s="23">
        <f t="shared" si="8"/>
        <v>0</v>
      </c>
      <c r="AP16" s="23">
        <f t="shared" si="31"/>
        <v>111571.44964643057</v>
      </c>
      <c r="AQ16" s="23"/>
      <c r="AR16" s="11">
        <f>IF($B$10="3BR_H",
INDEX('ns-combined'!$C:$D,MATCH($L16,'ns-combined'!$B:$B,0),MATCH(Council_Area,'ns-combined'!$C$1:$D$1,0))*1000,
INDEX('s-combined'!$C:$D,MATCH($L16,'s-combined'!$B:$B,0),MATCH(Council_Area,'s-combined'!$C$1:$D$1,0))*1000)</f>
        <v>400000</v>
      </c>
      <c r="AS16" s="23">
        <f t="shared" si="35"/>
        <v>11550</v>
      </c>
      <c r="AT16" s="11">
        <v>0</v>
      </c>
      <c r="AU16" s="23">
        <f t="shared" si="9"/>
        <v>8000</v>
      </c>
      <c r="AV16" s="23">
        <f t="shared" si="10"/>
        <v>1150</v>
      </c>
      <c r="AW16" s="23">
        <f>SUM($AV$3:AV16)</f>
        <v>14944.25</v>
      </c>
      <c r="AX16" s="23">
        <f t="shared" si="32"/>
        <v>365505.75</v>
      </c>
      <c r="AY16" s="23">
        <f t="shared" si="11"/>
        <v>1410.5000000000002</v>
      </c>
      <c r="AZ16" s="25">
        <f t="shared" si="12"/>
        <v>1.4105000000000003E-2</v>
      </c>
      <c r="BA16" s="25">
        <f t="shared" si="13"/>
        <v>0.35000000000000003</v>
      </c>
      <c r="BB16" s="26">
        <f>IF(MortgageRate="Discounted",_xlfn.XLOOKUP(L16,'mortgage-rates'!$A:$A,'mortgage-rates'!$E:$E)/100,_xlfn.XLOOKUP(L16,'mortgage-rates'!$A:$A,'mortgage-rates'!$D:$D)/100)</f>
        <v>5.1399999999999994E-2</v>
      </c>
      <c r="BC16" s="11">
        <f t="shared" si="37"/>
        <v>250413.70424714475</v>
      </c>
      <c r="BD16" s="11">
        <f t="shared" si="14"/>
        <v>4797.5990811978454</v>
      </c>
      <c r="BE16" s="11">
        <f t="shared" si="15"/>
        <v>3217.8160995758099</v>
      </c>
      <c r="BF16" s="11">
        <f t="shared" si="36"/>
        <v>1579.7829816220355</v>
      </c>
      <c r="BG16" s="13">
        <f t="shared" si="16"/>
        <v>6208.0990811978454</v>
      </c>
      <c r="BH16" s="23">
        <f>INDEX(cpi!B:B,MATCH($L16,cpi!A:A))</f>
        <v>93</v>
      </c>
      <c r="BI16" s="23">
        <f t="shared" si="17"/>
        <v>109.9290780141844</v>
      </c>
      <c r="BJ16" s="23">
        <f t="shared" si="18"/>
        <v>68.031276049393796</v>
      </c>
      <c r="BK16" s="23">
        <f t="shared" si="19"/>
        <v>87.193141601016094</v>
      </c>
      <c r="BL16" s="23">
        <f t="shared" si="20"/>
        <v>73.779835714880477</v>
      </c>
      <c r="BM16" s="23">
        <f t="shared" si="21"/>
        <v>104.80081368569151</v>
      </c>
      <c r="BN16" s="23">
        <f t="shared" si="22"/>
        <v>121.21212121212122</v>
      </c>
      <c r="BO16">
        <f t="shared" si="23"/>
        <v>113.64300954912729</v>
      </c>
    </row>
    <row r="17" spans="1:67" x14ac:dyDescent="0.25">
      <c r="L17" s="1">
        <f t="shared" si="33"/>
        <v>40057</v>
      </c>
      <c r="M17" s="11">
        <f t="shared" si="0"/>
        <v>135451.62935925816</v>
      </c>
      <c r="N17" s="11">
        <f t="shared" si="24"/>
        <v>136193.57873447728</v>
      </c>
      <c r="O17" s="8">
        <f t="shared" si="25"/>
        <v>0.99455224407704546</v>
      </c>
      <c r="P17" s="8">
        <f t="shared" si="1"/>
        <v>0.67546045127382526</v>
      </c>
      <c r="Q17">
        <v>15</v>
      </c>
      <c r="R17">
        <f t="shared" si="2"/>
        <v>92</v>
      </c>
      <c r="S17" s="23"/>
      <c r="T17" s="23">
        <f>IF($B$10="3BR_H",
INDEX('3BR_H-processed'!$C:$D,MATCH($L17,'3BR_H-processed'!$B:$B,0),MATCH(Council_Area,'3BR_H-processed'!$C$1:$D$1,0)),
INDEX('2BR_F-processed'!$C:$D,MATCH($L17,'2BR_F-processed'!$B:$B,0),MATCH(Council_Area,'2BR_F-processed'!$C$1:$D$1,0)))</f>
        <v>310</v>
      </c>
      <c r="U17" s="23">
        <f t="shared" si="26"/>
        <v>310</v>
      </c>
      <c r="V17" s="23">
        <f t="shared" si="34"/>
        <v>4074.2857142857142</v>
      </c>
      <c r="W17" s="23">
        <f>$B$53/4*BH17/_xlfn.XLOOKUP(Q_end,cpi!A:A,cpi!B:B)</f>
        <v>129.50932964754665</v>
      </c>
      <c r="X17" s="23">
        <f t="shared" si="3"/>
        <v>4203.7950439332608</v>
      </c>
      <c r="Y17" s="23">
        <f t="shared" si="4"/>
        <v>2019.8040372645846</v>
      </c>
      <c r="Z17" s="23">
        <f t="shared" si="27"/>
        <v>0</v>
      </c>
      <c r="AA17" s="23" cm="1">
        <f t="array" ref="AA17">(Y17+Z17)*eff_invest</f>
        <v>2019.8040372645846</v>
      </c>
      <c r="AB17" s="23">
        <f>AA17*(_xlfn.XLOOKUP(Q_end,cpi!A:A,cpi!B:B)/BH17)</f>
        <v>3119.1637587212949</v>
      </c>
      <c r="AC17" s="23" cm="1">
        <f t="array" ref="AC17">INDEX('msci-indices'!C:C,MATCH($L17,'msci-indices'!$B:$B)-2)</f>
        <v>624.35597900000005</v>
      </c>
      <c r="AD17" s="23" cm="1">
        <f t="array" ref="AD17">INDEX('msci-indices'!D:D,MATCH($L17,'msci-indices'!$B:$B)-2)</f>
        <v>694.44244900000001</v>
      </c>
      <c r="AE17" s="23">
        <f t="shared" si="28"/>
        <v>113591.25368369516</v>
      </c>
      <c r="AF17" s="23" cm="1">
        <f t="array" ref="AF17">INDEX('msci-indices'!C:C,MATCH($L17,'msci-indices'!$B:$B)+1)</f>
        <v>736.86332800000002</v>
      </c>
      <c r="AG17" s="23" cm="1">
        <f t="array" ref="AG17">INDEX('msci-indices'!D:D,MATCH($L17,'msci-indices'!$B:$B)+1)</f>
        <v>849.38296100000002</v>
      </c>
      <c r="AH17" s="23">
        <f t="shared" si="5"/>
        <v>70.994533552309477</v>
      </c>
      <c r="AI17" s="23">
        <f t="shared" si="6"/>
        <v>135451.62935925816</v>
      </c>
      <c r="AJ17" s="23">
        <f t="shared" si="29"/>
        <v>136386.89701150384</v>
      </c>
      <c r="AK17" s="23">
        <f t="shared" si="7"/>
        <v>-935.26765224567498</v>
      </c>
      <c r="AL17" s="23">
        <f>AJ17*(_xlfn.XLOOKUP(Q_end,cpi!A:A,cpi!B:B)/BH17)</f>
        <v>210620.96048628178</v>
      </c>
      <c r="AM17" s="23" cm="1">
        <f t="array" ref="AM17">SUMPRODUCT($AA$3:AA17,_xlfn.SORTBY($BH$3:BH17,_xlfn.SEQUENCE(ROWS($BH$3:BH17)),-1)/$BH$3)</f>
        <v>148764.32961846807</v>
      </c>
      <c r="AN17" s="23">
        <f t="shared" si="30"/>
        <v>-13312.700259209902</v>
      </c>
      <c r="AO17" s="23">
        <f t="shared" si="8"/>
        <v>0</v>
      </c>
      <c r="AP17" s="23">
        <f t="shared" si="31"/>
        <v>135451.62935925816</v>
      </c>
      <c r="AQ17" s="23"/>
      <c r="AR17" s="11">
        <f>IF($B$10="3BR_H",
INDEX('ns-combined'!$C:$D,MATCH($L17,'ns-combined'!$B:$B,0),MATCH(Council_Area,'ns-combined'!$C$1:$D$1,0))*1000,
INDEX('s-combined'!$C:$D,MATCH($L17,'s-combined'!$B:$B,0),MATCH(Council_Area,'s-combined'!$C$1:$D$1,0))*1000)</f>
        <v>422000</v>
      </c>
      <c r="AS17" s="23">
        <f t="shared" si="35"/>
        <v>12375</v>
      </c>
      <c r="AT17" s="11">
        <v>0</v>
      </c>
      <c r="AU17" s="23">
        <f t="shared" si="9"/>
        <v>8440</v>
      </c>
      <c r="AV17" s="23">
        <f t="shared" si="10"/>
        <v>1213.25</v>
      </c>
      <c r="AW17" s="23">
        <f>SUM($AV$3:AV17)</f>
        <v>16157.5</v>
      </c>
      <c r="AX17" s="23">
        <f t="shared" si="32"/>
        <v>385027.5</v>
      </c>
      <c r="AY17" s="23">
        <f t="shared" si="11"/>
        <v>1426</v>
      </c>
      <c r="AZ17" s="25">
        <f t="shared" si="12"/>
        <v>1.3516587677725119E-2</v>
      </c>
      <c r="BA17" s="25">
        <f t="shared" si="13"/>
        <v>0.35000000000000003</v>
      </c>
      <c r="BB17" s="26">
        <f>IF(MortgageRate="Discounted",_xlfn.XLOOKUP(L17,'mortgage-rates'!$A:$A,'mortgage-rates'!$E:$E)/100,_xlfn.XLOOKUP(L17,'mortgage-rates'!$A:$A,'mortgage-rates'!$D:$D)/100)</f>
        <v>5.1399999999999994E-2</v>
      </c>
      <c r="BC17" s="11">
        <f t="shared" si="37"/>
        <v>248833.92126552272</v>
      </c>
      <c r="BD17" s="11">
        <f t="shared" si="14"/>
        <v>4797.5990811978454</v>
      </c>
      <c r="BE17" s="11">
        <f t="shared" si="15"/>
        <v>3197.5158882619667</v>
      </c>
      <c r="BF17" s="11">
        <f t="shared" si="36"/>
        <v>1600.0831929358787</v>
      </c>
      <c r="BG17" s="13">
        <f t="shared" si="16"/>
        <v>6223.5990811978454</v>
      </c>
      <c r="BH17" s="23">
        <f>INDEX(cpi!B:B,MATCH($L17,cpi!A:A))</f>
        <v>93.7</v>
      </c>
      <c r="BI17" s="23">
        <f t="shared" si="17"/>
        <v>110.75650118203311</v>
      </c>
      <c r="BJ17" s="23">
        <f t="shared" si="18"/>
        <v>82.709344629523997</v>
      </c>
      <c r="BK17" s="23">
        <f t="shared" si="19"/>
        <v>97.403235040312381</v>
      </c>
      <c r="BL17" s="23">
        <f t="shared" si="20"/>
        <v>87.117511752760507</v>
      </c>
      <c r="BM17" s="23">
        <f t="shared" si="21"/>
        <v>126.49400617071591</v>
      </c>
      <c r="BN17" s="23">
        <f t="shared" si="22"/>
        <v>127.87878787878788</v>
      </c>
      <c r="BO17">
        <f t="shared" si="23"/>
        <v>119.71271001667309</v>
      </c>
    </row>
    <row r="18" spans="1:67" x14ac:dyDescent="0.25">
      <c r="A18" s="6" t="s">
        <v>325</v>
      </c>
      <c r="L18" s="1">
        <f t="shared" si="33"/>
        <v>40148</v>
      </c>
      <c r="M18" s="11">
        <f t="shared" si="0"/>
        <v>142943.52655706758</v>
      </c>
      <c r="N18" s="11">
        <f t="shared" si="24"/>
        <v>189985.84942741317</v>
      </c>
      <c r="O18" s="8">
        <f t="shared" si="25"/>
        <v>0.75239038585176954</v>
      </c>
      <c r="P18" s="8">
        <f t="shared" si="1"/>
        <v>0.63790899238822196</v>
      </c>
      <c r="Q18">
        <v>16</v>
      </c>
      <c r="R18">
        <f t="shared" si="2"/>
        <v>92</v>
      </c>
      <c r="S18" s="23"/>
      <c r="T18" s="23">
        <f>IF($B$10="3BR_H",
INDEX('3BR_H-processed'!$C:$D,MATCH($L18,'3BR_H-processed'!$B:$B,0),MATCH(Council_Area,'3BR_H-processed'!$C$1:$D$1,0)),
INDEX('2BR_F-processed'!$C:$D,MATCH($L18,'2BR_F-processed'!$B:$B,0),MATCH(Council_Area,'2BR_F-processed'!$C$1:$D$1,0)))</f>
        <v>320</v>
      </c>
      <c r="U18" s="23">
        <f t="shared" si="26"/>
        <v>310</v>
      </c>
      <c r="V18" s="23">
        <f t="shared" si="34"/>
        <v>4074.2857142857142</v>
      </c>
      <c r="W18" s="23">
        <f>$B$53/4*BH18/_xlfn.XLOOKUP(Q_end,cpi!A:A,cpi!B:B)</f>
        <v>130.61506565307533</v>
      </c>
      <c r="X18" s="23">
        <f t="shared" si="3"/>
        <v>4204.9007799387891</v>
      </c>
      <c r="Y18" s="23">
        <f t="shared" si="4"/>
        <v>2386.7930668533072</v>
      </c>
      <c r="Z18" s="23">
        <f t="shared" si="27"/>
        <v>0</v>
      </c>
      <c r="AA18" s="23" cm="1">
        <f t="array" ref="AA18">(Y18+Z18)*eff_invest</f>
        <v>2386.7930668533072</v>
      </c>
      <c r="AB18" s="23">
        <f>AA18*(_xlfn.XLOOKUP(Q_end,cpi!A:A,cpi!B:B)/BH18)</f>
        <v>3654.6979552769685</v>
      </c>
      <c r="AC18" s="23" cm="1">
        <f t="array" ref="AC18">INDEX('msci-indices'!C:C,MATCH($L18,'msci-indices'!$B:$B)-2)</f>
        <v>736.86332800000002</v>
      </c>
      <c r="AD18" s="23" cm="1">
        <f t="array" ref="AD18">INDEX('msci-indices'!D:D,MATCH($L18,'msci-indices'!$B:$B)-2)</f>
        <v>849.38296100000002</v>
      </c>
      <c r="AE18" s="23">
        <f t="shared" si="28"/>
        <v>137838.42242611147</v>
      </c>
      <c r="AF18" s="23" cm="1">
        <f t="array" ref="AF18">INDEX('msci-indices'!C:C,MATCH($L18,'msci-indices'!$B:$B)+1)</f>
        <v>765.74116200000003</v>
      </c>
      <c r="AG18" s="23" cm="1">
        <f t="array" ref="AG18">INDEX('msci-indices'!D:D,MATCH($L18,'msci-indices'!$B:$B)+1)</f>
        <v>878.343298</v>
      </c>
      <c r="AH18" s="23">
        <f t="shared" si="5"/>
        <v>86.149014016319668</v>
      </c>
      <c r="AI18" s="23">
        <f t="shared" si="6"/>
        <v>142943.52655706758</v>
      </c>
      <c r="AJ18" s="23">
        <f t="shared" si="29"/>
        <v>138773.69007835715</v>
      </c>
      <c r="AK18" s="23">
        <f t="shared" si="7"/>
        <v>4169.8364787104365</v>
      </c>
      <c r="AL18" s="23">
        <f>AJ18*(_xlfn.XLOOKUP(Q_end,cpi!A:A,cpi!B:B)/BH18)</f>
        <v>212492.62385543151</v>
      </c>
      <c r="AM18" s="23" cm="1">
        <f t="array" ref="AM18">SUMPRODUCT($AA$3:AA18,_xlfn.SORTBY($BH$3:BH18,_xlfn.SEQUENCE(ROWS($BH$3:BH18)),-1)/$BH$3)</f>
        <v>152364.45250277594</v>
      </c>
      <c r="AN18" s="23">
        <f t="shared" si="30"/>
        <v>-9420.9259457083535</v>
      </c>
      <c r="AO18" s="23">
        <f t="shared" si="8"/>
        <v>0</v>
      </c>
      <c r="AP18" s="23">
        <f t="shared" si="31"/>
        <v>142943.52655706758</v>
      </c>
      <c r="AQ18" s="23"/>
      <c r="AR18" s="11">
        <f>IF($B$10="3BR_H",
INDEX('ns-combined'!$C:$D,MATCH($L18,'ns-combined'!$B:$B,0),MATCH(Council_Area,'ns-combined'!$C$1:$D$1,0))*1000,
INDEX('s-combined'!$C:$D,MATCH($L18,'s-combined'!$B:$B,0),MATCH(Council_Area,'s-combined'!$C$1:$D$1,0))*1000)</f>
        <v>477500</v>
      </c>
      <c r="AS18" s="23">
        <f t="shared" si="35"/>
        <v>13200</v>
      </c>
      <c r="AT18" s="11">
        <v>0</v>
      </c>
      <c r="AU18" s="23">
        <f t="shared" si="9"/>
        <v>9550</v>
      </c>
      <c r="AV18" s="23">
        <f t="shared" si="10"/>
        <v>1372.8125</v>
      </c>
      <c r="AW18" s="23">
        <f>SUM($AV$3:AV18)</f>
        <v>17530.3125</v>
      </c>
      <c r="AX18" s="23">
        <f t="shared" si="32"/>
        <v>437219.6875</v>
      </c>
      <c r="AY18" s="23">
        <f>$B$36*V18</f>
        <v>1426</v>
      </c>
      <c r="AZ18" s="25">
        <f t="shared" si="12"/>
        <v>1.1945549738219895E-2</v>
      </c>
      <c r="BA18" s="25">
        <f t="shared" si="13"/>
        <v>0.35000000000000003</v>
      </c>
      <c r="BB18" s="26">
        <f>IF(MortgageRate="Discounted",_xlfn.XLOOKUP(L18,'mortgage-rates'!$A:$A,'mortgage-rates'!$E:$E)/100,_xlfn.XLOOKUP(L18,'mortgage-rates'!$A:$A,'mortgage-rates'!$D:$D)/100)</f>
        <v>0.06</v>
      </c>
      <c r="BC18" s="11">
        <f t="shared" si="37"/>
        <v>247233.83807258683</v>
      </c>
      <c r="BD18" s="11">
        <f t="shared" si="14"/>
        <v>5165.6938467920963</v>
      </c>
      <c r="BE18" s="11">
        <f t="shared" si="15"/>
        <v>3708.5075710888023</v>
      </c>
      <c r="BF18" s="11">
        <f t="shared" si="36"/>
        <v>1457.1862757032941</v>
      </c>
      <c r="BG18" s="13">
        <f t="shared" si="16"/>
        <v>6591.6938467920963</v>
      </c>
      <c r="BH18" s="23">
        <f>INDEX(cpi!B:B,MATCH($L18,cpi!A:A))</f>
        <v>94.5</v>
      </c>
      <c r="BI18" s="23">
        <f t="shared" si="17"/>
        <v>111.70212765957447</v>
      </c>
      <c r="BJ18" s="23">
        <f t="shared" si="18"/>
        <v>97.613356787298372</v>
      </c>
      <c r="BK18" s="23">
        <f t="shared" si="19"/>
        <v>119.1353557212046</v>
      </c>
      <c r="BL18" s="23">
        <f t="shared" si="20"/>
        <v>104.06995646747023</v>
      </c>
      <c r="BM18" s="23">
        <f t="shared" si="21"/>
        <v>153.49539415668065</v>
      </c>
      <c r="BN18" s="23">
        <f t="shared" si="22"/>
        <v>144.69696969696969</v>
      </c>
      <c r="BO18">
        <f t="shared" si="23"/>
        <v>135.94029949358921</v>
      </c>
    </row>
    <row r="19" spans="1:67" x14ac:dyDescent="0.25">
      <c r="A19" t="s">
        <v>326</v>
      </c>
      <c r="B19" t="s">
        <v>331</v>
      </c>
      <c r="C19" t="s">
        <v>331</v>
      </c>
      <c r="L19" s="1">
        <f>DATE(YEAR(L18),MONTH(L18)+3,1)</f>
        <v>40238</v>
      </c>
      <c r="M19" s="11">
        <f t="shared" si="0"/>
        <v>149833.80699855846</v>
      </c>
      <c r="N19" s="11">
        <f t="shared" si="24"/>
        <v>179962.53570311645</v>
      </c>
      <c r="O19" s="8">
        <f t="shared" si="25"/>
        <v>0.83258332859756301</v>
      </c>
      <c r="P19" s="8">
        <f t="shared" si="1"/>
        <v>0.64717371120963585</v>
      </c>
      <c r="Q19">
        <v>17</v>
      </c>
      <c r="R19">
        <f t="shared" si="2"/>
        <v>90</v>
      </c>
      <c r="S19" s="23"/>
      <c r="T19" s="23">
        <f>IF($B$10="3BR_H",
INDEX('3BR_H-processed'!$C:$D,MATCH($L19,'3BR_H-processed'!$B:$B,0),MATCH(Council_Area,'3BR_H-processed'!$C$1:$D$1,0)),
INDEX('2BR_F-processed'!$C:$D,MATCH($L19,'2BR_F-processed'!$B:$B,0),MATCH(Council_Area,'2BR_F-processed'!$C$1:$D$1,0)))</f>
        <v>330</v>
      </c>
      <c r="U19" s="23">
        <f t="shared" si="26"/>
        <v>330</v>
      </c>
      <c r="V19" s="23">
        <f t="shared" si="34"/>
        <v>4242.8571428571431</v>
      </c>
      <c r="W19" s="23">
        <f>$B$53/4*BH19/_xlfn.XLOOKUP(Q_end,cpi!A:A,cpi!B:B)</f>
        <v>131.58258465791295</v>
      </c>
      <c r="X19" s="23">
        <f t="shared" si="3"/>
        <v>4374.4397275150559</v>
      </c>
      <c r="Y19" s="23">
        <f t="shared" si="4"/>
        <v>2384.8578949714438</v>
      </c>
      <c r="Z19" s="23">
        <f t="shared" si="27"/>
        <v>0</v>
      </c>
      <c r="AA19" s="23" cm="1">
        <f t="array" ref="AA19">(Y19+Z19)*eff_invest</f>
        <v>2384.8578949714438</v>
      </c>
      <c r="AB19" s="23">
        <f>AA19*(_xlfn.XLOOKUP(Q_end,cpi!A:A,cpi!B:B)/BH19)</f>
        <v>3624.8837962433604</v>
      </c>
      <c r="AC19" s="23" cm="1">
        <f t="array" ref="AC19">INDEX('msci-indices'!C:C,MATCH($L19,'msci-indices'!$B:$B)-2)</f>
        <v>765.74116200000003</v>
      </c>
      <c r="AD19" s="23" cm="1">
        <f t="array" ref="AD19">INDEX('msci-indices'!D:D,MATCH($L19,'msci-indices'!$B:$B)-2)</f>
        <v>878.343298</v>
      </c>
      <c r="AE19" s="23">
        <f t="shared" si="28"/>
        <v>145328.38445203903</v>
      </c>
      <c r="AF19" s="23" cm="1">
        <f t="array" ref="AF19">INDEX('msci-indices'!C:C,MATCH($L19,'msci-indices'!$B:$B)+1)</f>
        <v>794.63717599999995</v>
      </c>
      <c r="AG19" s="23" cm="1">
        <f t="array" ref="AG19">INDEX('msci-indices'!D:D,MATCH($L19,'msci-indices'!$B:$B)+1)</f>
        <v>893.60148100000004</v>
      </c>
      <c r="AH19" s="23">
        <f t="shared" si="5"/>
        <v>90.8302402825244</v>
      </c>
      <c r="AI19" s="23">
        <f t="shared" si="6"/>
        <v>149833.80699855846</v>
      </c>
      <c r="AJ19" s="23">
        <f t="shared" si="29"/>
        <v>141158.54797332859</v>
      </c>
      <c r="AK19" s="23">
        <f t="shared" si="7"/>
        <v>8675.2590252298687</v>
      </c>
      <c r="AL19" s="23">
        <f>AJ19*(_xlfn.XLOOKUP(Q_end,cpi!A:A,cpi!B:B)/BH19)</f>
        <v>214555.06188803201</v>
      </c>
      <c r="AM19" s="23" cm="1">
        <f t="array" ref="AM19">SUMPRODUCT($AA$3:AA19,_xlfn.SORTBY($BH$3:BH19,_xlfn.SEQUENCE(ROWS($BH$3:BH19)),-1)/$BH$3)</f>
        <v>155887.65165051678</v>
      </c>
      <c r="AN19" s="23">
        <f t="shared" si="30"/>
        <v>-6053.8446519583231</v>
      </c>
      <c r="AO19" s="23">
        <f t="shared" si="8"/>
        <v>0</v>
      </c>
      <c r="AP19" s="23">
        <f t="shared" si="31"/>
        <v>149833.80699855846</v>
      </c>
      <c r="AQ19" s="23"/>
      <c r="AR19" s="11">
        <f>IF($B$10="3BR_H",
INDEX('ns-combined'!$C:$D,MATCH($L19,'ns-combined'!$B:$B,0),MATCH(Council_Area,'ns-combined'!$C$1:$D$1,0))*1000,
INDEX('s-combined'!$C:$D,MATCH($L19,'s-combined'!$B:$B,0),MATCH(Council_Area,'s-combined'!$C$1:$D$1,0))*1000)</f>
        <v>468000</v>
      </c>
      <c r="AS19" s="23">
        <f t="shared" si="35"/>
        <v>14025</v>
      </c>
      <c r="AT19" s="11">
        <v>0</v>
      </c>
      <c r="AU19" s="23">
        <f t="shared" si="9"/>
        <v>9360</v>
      </c>
      <c r="AV19" s="23">
        <f t="shared" si="10"/>
        <v>1345.5</v>
      </c>
      <c r="AW19" s="23">
        <f>SUM($AV$3:AV19)</f>
        <v>18875.8125</v>
      </c>
      <c r="AX19" s="23">
        <f t="shared" si="32"/>
        <v>425739.1875</v>
      </c>
      <c r="AY19" s="23">
        <f t="shared" si="11"/>
        <v>1485.0000000000002</v>
      </c>
      <c r="AZ19" s="25">
        <f t="shared" si="12"/>
        <v>1.2692307692307694E-2</v>
      </c>
      <c r="BA19" s="25">
        <f t="shared" si="13"/>
        <v>0.35000000000000003</v>
      </c>
      <c r="BB19" s="26">
        <f>IF(MortgageRate="Discounted",_xlfn.XLOOKUP(L19,'mortgage-rates'!$A:$A,'mortgage-rates'!$E:$E)/100,_xlfn.XLOOKUP(L19,'mortgage-rates'!$A:$A,'mortgage-rates'!$D:$D)/100)</f>
        <v>6.25E-2</v>
      </c>
      <c r="BC19" s="11">
        <f t="shared" si="37"/>
        <v>245776.65179688355</v>
      </c>
      <c r="BD19" s="11">
        <f t="shared" si="14"/>
        <v>5274.2976224864997</v>
      </c>
      <c r="BE19" s="11">
        <f t="shared" si="15"/>
        <v>3840.2601843263055</v>
      </c>
      <c r="BF19" s="11">
        <f t="shared" si="36"/>
        <v>1434.0374381601941</v>
      </c>
      <c r="BG19" s="13">
        <f t="shared" si="16"/>
        <v>6759.2976224864997</v>
      </c>
      <c r="BH19" s="23">
        <f>INDEX(cpi!B:B,MATCH($L19,cpi!A:A))</f>
        <v>95.2</v>
      </c>
      <c r="BI19" s="23">
        <f t="shared" si="17"/>
        <v>112.52955082742318</v>
      </c>
      <c r="BJ19" s="23">
        <f t="shared" si="18"/>
        <v>101.43884545849789</v>
      </c>
      <c r="BK19" s="23">
        <f t="shared" si="19"/>
        <v>123.19736332992677</v>
      </c>
      <c r="BL19" s="23">
        <f t="shared" si="20"/>
        <v>107.96640081992655</v>
      </c>
      <c r="BM19" s="23">
        <f t="shared" si="21"/>
        <v>161.83613582473478</v>
      </c>
      <c r="BN19" s="23">
        <f t="shared" si="22"/>
        <v>141.81818181818181</v>
      </c>
      <c r="BO19">
        <f t="shared" si="23"/>
        <v>132.37078363473131</v>
      </c>
    </row>
    <row r="20" spans="1:67" x14ac:dyDescent="0.25">
      <c r="A20" t="s">
        <v>337</v>
      </c>
      <c r="B20" s="9">
        <v>0.2</v>
      </c>
      <c r="C20" s="9">
        <v>0.2</v>
      </c>
      <c r="L20" s="1">
        <f t="shared" si="33"/>
        <v>40330</v>
      </c>
      <c r="M20" s="11">
        <f t="shared" si="0"/>
        <v>133626.08155631606</v>
      </c>
      <c r="N20" s="11">
        <f t="shared" si="24"/>
        <v>210494.07314127663</v>
      </c>
      <c r="O20" s="8">
        <f t="shared" si="25"/>
        <v>0.63482111188294921</v>
      </c>
      <c r="P20" s="8">
        <f t="shared" si="1"/>
        <v>0.63228131092414452</v>
      </c>
      <c r="Q20">
        <v>18</v>
      </c>
      <c r="R20">
        <f t="shared" si="2"/>
        <v>91</v>
      </c>
      <c r="S20" s="23"/>
      <c r="T20" s="23">
        <f>IF($B$10="3BR_H",
INDEX('3BR_H-processed'!$C:$D,MATCH($L20,'3BR_H-processed'!$B:$B,0),MATCH(Council_Area,'3BR_H-processed'!$C$1:$D$1,0)),
INDEX('2BR_F-processed'!$C:$D,MATCH($L20,'2BR_F-processed'!$B:$B,0),MATCH(Council_Area,'2BR_F-processed'!$C$1:$D$1,0)))</f>
        <v>330</v>
      </c>
      <c r="U20" s="23">
        <f t="shared" si="26"/>
        <v>330</v>
      </c>
      <c r="V20" s="23">
        <f t="shared" si="34"/>
        <v>4290</v>
      </c>
      <c r="W20" s="23">
        <f>$B$53/4*BH20/_xlfn.XLOOKUP(Q_end,cpi!A:A,cpi!B:B)</f>
        <v>132.41188666205943</v>
      </c>
      <c r="X20" s="23">
        <f t="shared" si="3"/>
        <v>4422.4118866620593</v>
      </c>
      <c r="Y20" s="23">
        <f t="shared" si="4"/>
        <v>2571.9619944799388</v>
      </c>
      <c r="Z20" s="23">
        <f t="shared" si="27"/>
        <v>0</v>
      </c>
      <c r="AA20" s="23" cm="1">
        <f t="array" ref="AA20">(Y20+Z20)*eff_invest</f>
        <v>2571.9619944799388</v>
      </c>
      <c r="AB20" s="23">
        <f>AA20*(_xlfn.XLOOKUP(Q_end,cpi!A:A,cpi!B:B)/BH20)</f>
        <v>3884.7901941675063</v>
      </c>
      <c r="AC20" s="23" cm="1">
        <f t="array" ref="AC20">INDEX('msci-indices'!C:C,MATCH($L20,'msci-indices'!$B:$B)-2)</f>
        <v>794.63717599999995</v>
      </c>
      <c r="AD20" s="23" cm="1">
        <f t="array" ref="AD20">INDEX('msci-indices'!D:D,MATCH($L20,'msci-indices'!$B:$B)-2)</f>
        <v>893.60148100000004</v>
      </c>
      <c r="AE20" s="23">
        <f t="shared" si="28"/>
        <v>152405.76899303839</v>
      </c>
      <c r="AF20" s="23" cm="1">
        <f t="array" ref="AF20">INDEX('msci-indices'!C:C,MATCH($L20,'msci-indices'!$B:$B)+1)</f>
        <v>696.18017999999995</v>
      </c>
      <c r="AG20" s="23" cm="1">
        <f t="array" ref="AG20">INDEX('msci-indices'!D:D,MATCH($L20,'msci-indices'!$B:$B)+1)</f>
        <v>786.77036999999996</v>
      </c>
      <c r="AH20" s="23">
        <f t="shared" si="5"/>
        <v>95.253605620648997</v>
      </c>
      <c r="AI20" s="23">
        <f t="shared" si="6"/>
        <v>133626.08155631606</v>
      </c>
      <c r="AJ20" s="23">
        <f t="shared" si="29"/>
        <v>143730.50996780852</v>
      </c>
      <c r="AK20" s="23">
        <f t="shared" si="7"/>
        <v>-10104.428411492467</v>
      </c>
      <c r="AL20" s="23">
        <f>AJ20*(_xlfn.XLOOKUP(Q_end,cpi!A:A,cpi!B:B)/BH20)</f>
        <v>217096.0834273684</v>
      </c>
      <c r="AM20" s="23" cm="1">
        <f t="array" ref="AM20">SUMPRODUCT($AA$3:AA20,_xlfn.SORTBY($BH$3:BH20,_xlfn.SEQUENCE(ROWS($BH$3:BH20)),-1)/$BH$3)</f>
        <v>159513.80581843382</v>
      </c>
      <c r="AN20" s="23">
        <f t="shared" si="30"/>
        <v>-25887.724262117757</v>
      </c>
      <c r="AO20" s="23">
        <f t="shared" si="8"/>
        <v>0</v>
      </c>
      <c r="AP20" s="23">
        <f t="shared" si="31"/>
        <v>133626.08155631606</v>
      </c>
      <c r="AQ20" s="23"/>
      <c r="AR20" s="11">
        <f>IF($B$10="3BR_H",
INDEX('ns-combined'!$C:$D,MATCH($L20,'ns-combined'!$B:$B,0),MATCH(Council_Area,'ns-combined'!$C$1:$D$1,0))*1000,
INDEX('s-combined'!$C:$D,MATCH($L20,'s-combined'!$B:$B,0),MATCH(Council_Area,'s-combined'!$C$1:$D$1,0))*1000)</f>
        <v>500000</v>
      </c>
      <c r="AS20" s="23">
        <f t="shared" si="35"/>
        <v>14850</v>
      </c>
      <c r="AT20" s="11">
        <v>0</v>
      </c>
      <c r="AU20" s="23">
        <f t="shared" si="9"/>
        <v>10000</v>
      </c>
      <c r="AV20" s="23">
        <f t="shared" si="10"/>
        <v>1437.5</v>
      </c>
      <c r="AW20" s="23">
        <f>SUM($AV$3:AV20)</f>
        <v>20313.3125</v>
      </c>
      <c r="AX20" s="23">
        <f t="shared" si="32"/>
        <v>454836.6875</v>
      </c>
      <c r="AY20" s="23">
        <f t="shared" si="11"/>
        <v>1501.5000000000002</v>
      </c>
      <c r="AZ20" s="25">
        <f t="shared" si="12"/>
        <v>1.2012000000000002E-2</v>
      </c>
      <c r="BA20" s="25">
        <f t="shared" si="13"/>
        <v>0.35000000000000003</v>
      </c>
      <c r="BB20" s="26">
        <f>IF(MortgageRate="Discounted",_xlfn.XLOOKUP(L20,'mortgage-rates'!$A:$A,'mortgage-rates'!$E:$E)/100,_xlfn.XLOOKUP(L20,'mortgage-rates'!$A:$A,'mortgage-rates'!$D:$D)/100)</f>
        <v>6.7500000000000004E-2</v>
      </c>
      <c r="BC20" s="11">
        <f t="shared" si="37"/>
        <v>244342.61435872337</v>
      </c>
      <c r="BD20" s="11">
        <f t="shared" si="14"/>
        <v>5492.873881141998</v>
      </c>
      <c r="BE20" s="11">
        <f t="shared" si="15"/>
        <v>4123.2816173034571</v>
      </c>
      <c r="BF20" s="11">
        <f t="shared" si="36"/>
        <v>1369.5922638385409</v>
      </c>
      <c r="BG20" s="13">
        <f t="shared" si="16"/>
        <v>6994.373881141998</v>
      </c>
      <c r="BH20" s="23">
        <f>INDEX(cpi!B:B,MATCH($L20,cpi!A:A))</f>
        <v>95.8</v>
      </c>
      <c r="BI20" s="23">
        <f t="shared" si="17"/>
        <v>113.2387706855792</v>
      </c>
      <c r="BJ20" s="23">
        <f t="shared" si="18"/>
        <v>105.26674246073921</v>
      </c>
      <c r="BK20" s="23">
        <f t="shared" si="19"/>
        <v>125.3374922739123</v>
      </c>
      <c r="BL20" s="23">
        <f t="shared" si="20"/>
        <v>111.28796740469113</v>
      </c>
      <c r="BM20" s="23">
        <f t="shared" si="21"/>
        <v>169.71743561472212</v>
      </c>
      <c r="BN20" s="23">
        <f t="shared" si="22"/>
        <v>151.5151515151515</v>
      </c>
      <c r="BO20">
        <f t="shared" si="23"/>
        <v>141.4177752904186</v>
      </c>
    </row>
    <row r="21" spans="1:67" x14ac:dyDescent="0.25">
      <c r="A21" t="s">
        <v>336</v>
      </c>
      <c r="B21" s="4">
        <v>0</v>
      </c>
      <c r="C21" s="4">
        <v>0</v>
      </c>
      <c r="L21" s="1">
        <f t="shared" si="33"/>
        <v>40422</v>
      </c>
      <c r="M21" s="11">
        <f t="shared" si="0"/>
        <v>152910.44611777822</v>
      </c>
      <c r="N21" s="11">
        <f t="shared" si="24"/>
        <v>198168.80290511518</v>
      </c>
      <c r="O21" s="8">
        <f t="shared" si="25"/>
        <v>0.77161714596920172</v>
      </c>
      <c r="P21" s="8">
        <f t="shared" si="1"/>
        <v>0.63763578144425037</v>
      </c>
      <c r="Q21">
        <v>19</v>
      </c>
      <c r="R21">
        <f t="shared" si="2"/>
        <v>92</v>
      </c>
      <c r="S21" s="23"/>
      <c r="T21" s="23">
        <f>IF($B$10="3BR_H",
INDEX('3BR_H-processed'!$C:$D,MATCH($L21,'3BR_H-processed'!$B:$B,0),MATCH(Council_Area,'3BR_H-processed'!$C$1:$D$1,0)),
INDEX('2BR_F-processed'!$C:$D,MATCH($L21,'2BR_F-processed'!$B:$B,0),MATCH(Council_Area,'2BR_F-processed'!$C$1:$D$1,0)))</f>
        <v>330</v>
      </c>
      <c r="U21" s="23">
        <f t="shared" si="26"/>
        <v>330</v>
      </c>
      <c r="V21" s="23">
        <f t="shared" si="34"/>
        <v>4337.1428571428569</v>
      </c>
      <c r="W21" s="23">
        <f>$B$53/4*BH21/_xlfn.XLOOKUP(Q_end,cpi!A:A,cpi!B:B)</f>
        <v>133.24118866620594</v>
      </c>
      <c r="X21" s="23">
        <f t="shared" si="3"/>
        <v>4470.3840458090626</v>
      </c>
      <c r="Y21" s="23">
        <f t="shared" si="4"/>
        <v>2540.4898353329354</v>
      </c>
      <c r="Z21" s="23">
        <f t="shared" si="27"/>
        <v>0</v>
      </c>
      <c r="AA21" s="23" cm="1">
        <f t="array" ref="AA21">(Y21+Z21)*eff_invest</f>
        <v>2540.4898353329354</v>
      </c>
      <c r="AB21" s="23">
        <f>AA21*(_xlfn.XLOOKUP(Q_end,cpi!A:A,cpi!B:B)/BH21)</f>
        <v>3813.3701158991253</v>
      </c>
      <c r="AC21" s="23" cm="1">
        <f t="array" ref="AC21">INDEX('msci-indices'!C:C,MATCH($L21,'msci-indices'!$B:$B)-2)</f>
        <v>696.18017999999995</v>
      </c>
      <c r="AD21" s="23" cm="1">
        <f t="array" ref="AD21">INDEX('msci-indices'!D:D,MATCH($L21,'msci-indices'!$B:$B)-2)</f>
        <v>786.77036999999996</v>
      </c>
      <c r="AE21" s="23">
        <f t="shared" si="28"/>
        <v>136166.57139164899</v>
      </c>
      <c r="AF21" s="23" cm="1">
        <f t="array" ref="AF21">INDEX('msci-indices'!C:C,MATCH($L21,'msci-indices'!$B:$B)+1)</f>
        <v>792.86985700000002</v>
      </c>
      <c r="AG21" s="23" cm="1">
        <f t="array" ref="AG21">INDEX('msci-indices'!D:D,MATCH($L21,'msci-indices'!$B:$B)+1)</f>
        <v>855.92990299999997</v>
      </c>
      <c r="AH21" s="23">
        <f t="shared" si="5"/>
        <v>85.104107119780622</v>
      </c>
      <c r="AI21" s="23">
        <f t="shared" si="6"/>
        <v>152910.44611777822</v>
      </c>
      <c r="AJ21" s="23">
        <f t="shared" si="29"/>
        <v>146270.99980314146</v>
      </c>
      <c r="AK21" s="23">
        <f t="shared" si="7"/>
        <v>6639.4463146367634</v>
      </c>
      <c r="AL21" s="23">
        <f>AJ21*(_xlfn.XLOOKUP(Q_end,cpi!A:A,cpi!B:B)/BH21)</f>
        <v>219558.23310699756</v>
      </c>
      <c r="AM21" s="23" cm="1">
        <f t="array" ref="AM21">SUMPRODUCT($AA$3:AA21,_xlfn.SORTBY($BH$3:BH21,_xlfn.SEQUENCE(ROWS($BH$3:BH21)),-1)/$BH$3)</f>
        <v>163118.97352149955</v>
      </c>
      <c r="AN21" s="23">
        <f t="shared" si="30"/>
        <v>-10208.527403721324</v>
      </c>
      <c r="AO21" s="23">
        <f t="shared" si="8"/>
        <v>0</v>
      </c>
      <c r="AP21" s="23">
        <f t="shared" si="31"/>
        <v>152910.44611777822</v>
      </c>
      <c r="AQ21" s="23"/>
      <c r="AR21" s="11">
        <f>IF($B$10="3BR_H",
INDEX('ns-combined'!$C:$D,MATCH($L21,'ns-combined'!$B:$B,0),MATCH(Council_Area,'ns-combined'!$C$1:$D$1,0))*1000,
INDEX('s-combined'!$C:$D,MATCH($L21,'s-combined'!$B:$B,0),MATCH(Council_Area,'s-combined'!$C$1:$D$1,0))*1000)</f>
        <v>488300</v>
      </c>
      <c r="AS21" s="23">
        <f t="shared" si="35"/>
        <v>15675</v>
      </c>
      <c r="AT21" s="11">
        <v>0</v>
      </c>
      <c r="AU21" s="23">
        <f t="shared" si="9"/>
        <v>9766</v>
      </c>
      <c r="AV21" s="23">
        <f t="shared" si="10"/>
        <v>1403.8625</v>
      </c>
      <c r="AW21" s="23">
        <f>SUM($AV$3:AV21)</f>
        <v>21717.174999999999</v>
      </c>
      <c r="AX21" s="23">
        <f t="shared" si="32"/>
        <v>441141.82500000001</v>
      </c>
      <c r="AY21" s="23">
        <f t="shared" si="11"/>
        <v>1518</v>
      </c>
      <c r="AZ21" s="25">
        <f t="shared" si="12"/>
        <v>1.2434978496825722E-2</v>
      </c>
      <c r="BA21" s="25">
        <f t="shared" si="13"/>
        <v>0.35000000000000003</v>
      </c>
      <c r="BB21" s="26">
        <f>IF(MortgageRate="Discounted",_xlfn.XLOOKUP(L21,'mortgage-rates'!$A:$A,'mortgage-rates'!$E:$E)/100,_xlfn.XLOOKUP(L21,'mortgage-rates'!$A:$A,'mortgage-rates'!$D:$D)/100)</f>
        <v>6.7500000000000004E-2</v>
      </c>
      <c r="BC21" s="11">
        <f t="shared" si="37"/>
        <v>242973.02209488483</v>
      </c>
      <c r="BD21" s="11">
        <f t="shared" si="14"/>
        <v>5492.873881141998</v>
      </c>
      <c r="BE21" s="11">
        <f t="shared" si="15"/>
        <v>4100.1697478511815</v>
      </c>
      <c r="BF21" s="11">
        <f t="shared" si="36"/>
        <v>1392.7041332908166</v>
      </c>
      <c r="BG21" s="13">
        <f t="shared" si="16"/>
        <v>7010.873881141998</v>
      </c>
      <c r="BH21" s="23">
        <f>INDEX(cpi!B:B,MATCH($L21,cpi!A:A))</f>
        <v>96.4</v>
      </c>
      <c r="BI21" s="23">
        <f t="shared" si="17"/>
        <v>113.94799054373523</v>
      </c>
      <c r="BJ21" s="23">
        <f t="shared" si="18"/>
        <v>92.224001000339641</v>
      </c>
      <c r="BK21" s="23">
        <f t="shared" si="19"/>
        <v>110.35324724491825</v>
      </c>
      <c r="BL21" s="23">
        <f t="shared" si="20"/>
        <v>97.662774873713232</v>
      </c>
      <c r="BM21" s="23">
        <f t="shared" si="21"/>
        <v>151.63363871150614</v>
      </c>
      <c r="BN21" s="23">
        <f t="shared" si="22"/>
        <v>147.96969696969697</v>
      </c>
      <c r="BO21">
        <f t="shared" si="23"/>
        <v>137.15977007473737</v>
      </c>
    </row>
    <row r="22" spans="1:67" x14ac:dyDescent="0.25">
      <c r="L22" s="1">
        <f t="shared" si="33"/>
        <v>40513</v>
      </c>
      <c r="M22" s="11">
        <f t="shared" si="0"/>
        <v>168163.192453678</v>
      </c>
      <c r="N22" s="11">
        <f t="shared" si="24"/>
        <v>228307.50703840601</v>
      </c>
      <c r="O22" s="8">
        <f t="shared" si="25"/>
        <v>0.73656444606260585</v>
      </c>
      <c r="P22" s="8">
        <f t="shared" si="1"/>
        <v>0.62223796949490129</v>
      </c>
      <c r="Q22">
        <v>20</v>
      </c>
      <c r="R22">
        <f t="shared" si="2"/>
        <v>92</v>
      </c>
      <c r="S22" s="23"/>
      <c r="T22" s="23">
        <f>IF($B$10="3BR_H",
INDEX('3BR_H-processed'!$C:$D,MATCH($L22,'3BR_H-processed'!$B:$B,0),MATCH(Council_Area,'3BR_H-processed'!$C$1:$D$1,0)),
INDEX('2BR_F-processed'!$C:$D,MATCH($L22,'2BR_F-processed'!$B:$B,0),MATCH(Council_Area,'2BR_F-processed'!$C$1:$D$1,0)))</f>
        <v>330</v>
      </c>
      <c r="U22" s="23">
        <f t="shared" si="26"/>
        <v>330</v>
      </c>
      <c r="V22" s="23">
        <f t="shared" si="34"/>
        <v>4337.1428571428569</v>
      </c>
      <c r="W22" s="23">
        <f>$B$53/4*BH22/_xlfn.XLOOKUP(Q_end,cpi!A:A,cpi!B:B)</f>
        <v>134.07049067035246</v>
      </c>
      <c r="X22" s="23">
        <f t="shared" si="3"/>
        <v>4471.2133478132091</v>
      </c>
      <c r="Y22" s="23">
        <f t="shared" si="4"/>
        <v>2714.4833904342095</v>
      </c>
      <c r="Z22" s="23">
        <f t="shared" si="27"/>
        <v>0</v>
      </c>
      <c r="AA22" s="23" cm="1">
        <f t="array" ref="AA22">(Y22+Z22)*eff_invest</f>
        <v>2714.4833904342095</v>
      </c>
      <c r="AB22" s="23">
        <f>AA22*(_xlfn.XLOOKUP(Q_end,cpi!A:A,cpi!B:B)/BH22)</f>
        <v>4049.3375937714441</v>
      </c>
      <c r="AC22" s="23" cm="1">
        <f t="array" ref="AC22">INDEX('msci-indices'!C:C,MATCH($L22,'msci-indices'!$B:$B)-2)</f>
        <v>792.86985700000002</v>
      </c>
      <c r="AD22" s="23" cm="1">
        <f t="array" ref="AD22">INDEX('msci-indices'!D:D,MATCH($L22,'msci-indices'!$B:$B)-2)</f>
        <v>855.92990299999997</v>
      </c>
      <c r="AE22" s="23">
        <f t="shared" si="28"/>
        <v>155624.92950821243</v>
      </c>
      <c r="AF22" s="23" cm="1">
        <f t="array" ref="AF22">INDEX('msci-indices'!C:C,MATCH($L22,'msci-indices'!$B:$B)+1)</f>
        <v>869.423677</v>
      </c>
      <c r="AG22" s="23" cm="1">
        <f t="array" ref="AG22">INDEX('msci-indices'!D:D,MATCH($L22,'msci-indices'!$B:$B)+1)</f>
        <v>894.74693600000001</v>
      </c>
      <c r="AH22" s="23">
        <f t="shared" si="5"/>
        <v>97.265580942632766</v>
      </c>
      <c r="AI22" s="23">
        <f t="shared" si="6"/>
        <v>168163.192453678</v>
      </c>
      <c r="AJ22" s="23">
        <f t="shared" si="29"/>
        <v>148985.48319357567</v>
      </c>
      <c r="AK22" s="23">
        <f t="shared" si="7"/>
        <v>19177.709260102332</v>
      </c>
      <c r="AL22" s="23">
        <f>AJ22*(_xlfn.XLOOKUP(Q_end,cpi!A:A,cpi!B:B)/BH22)</f>
        <v>222249.47853722057</v>
      </c>
      <c r="AM22" s="23" cm="1">
        <f t="array" ref="AM22">SUMPRODUCT($AA$3:AA22,_xlfn.SORTBY($BH$3:BH22,_xlfn.SEQUENCE(ROWS($BH$3:BH22)),-1)/$BH$3)</f>
        <v>166899.92598216038</v>
      </c>
      <c r="AN22" s="23">
        <f t="shared" si="30"/>
        <v>1263.2664715176215</v>
      </c>
      <c r="AO22" s="23">
        <f t="shared" si="8"/>
        <v>0</v>
      </c>
      <c r="AP22" s="23">
        <f t="shared" si="31"/>
        <v>168163.192453678</v>
      </c>
      <c r="AQ22" s="23"/>
      <c r="AR22" s="11">
        <f>IF($B$10="3BR_H",
INDEX('ns-combined'!$C:$D,MATCH($L22,'ns-combined'!$B:$B,0),MATCH(Council_Area,'ns-combined'!$C$1:$D$1,0))*1000,
INDEX('s-combined'!$C:$D,MATCH($L22,'s-combined'!$B:$B,0),MATCH(Council_Area,'s-combined'!$C$1:$D$1,0))*1000)</f>
        <v>520000</v>
      </c>
      <c r="AS22" s="23">
        <f t="shared" si="35"/>
        <v>16500</v>
      </c>
      <c r="AT22" s="11">
        <v>0</v>
      </c>
      <c r="AU22" s="23">
        <f t="shared" si="9"/>
        <v>10400</v>
      </c>
      <c r="AV22" s="23">
        <f t="shared" si="10"/>
        <v>1495</v>
      </c>
      <c r="AW22" s="23">
        <f>SUM($AV$3:AV22)</f>
        <v>23212.174999999999</v>
      </c>
      <c r="AX22" s="23">
        <f t="shared" si="32"/>
        <v>469887.82500000001</v>
      </c>
      <c r="AY22" s="23">
        <f t="shared" si="11"/>
        <v>1518</v>
      </c>
      <c r="AZ22" s="25">
        <f t="shared" si="12"/>
        <v>1.1676923076923076E-2</v>
      </c>
      <c r="BA22" s="25">
        <f t="shared" si="13"/>
        <v>0.35000000000000003</v>
      </c>
      <c r="BB22" s="26">
        <f>IF(MortgageRate="Discounted",_xlfn.XLOOKUP(L22,'mortgage-rates'!$A:$A,'mortgage-rates'!$E:$E)/100,_xlfn.XLOOKUP(L22,'mortgage-rates'!$A:$A,'mortgage-rates'!$D:$D)/100)</f>
        <v>7.1500000000000008E-2</v>
      </c>
      <c r="BC22" s="11">
        <f t="shared" si="37"/>
        <v>241580.317961594</v>
      </c>
      <c r="BD22" s="11">
        <f t="shared" si="14"/>
        <v>5667.6967382474186</v>
      </c>
      <c r="BE22" s="11">
        <f t="shared" si="15"/>
        <v>4318.2481835634935</v>
      </c>
      <c r="BF22" s="11">
        <f t="shared" si="36"/>
        <v>1349.4485546839251</v>
      </c>
      <c r="BG22" s="13">
        <f>AT22+AY22+BD22</f>
        <v>7185.6967382474186</v>
      </c>
      <c r="BH22" s="23">
        <f>INDEX(cpi!B:B,MATCH($L22,cpi!A:A))</f>
        <v>97</v>
      </c>
      <c r="BI22" s="23">
        <f t="shared" si="17"/>
        <v>114.65721040189126</v>
      </c>
      <c r="BJ22" s="23">
        <f t="shared" si="18"/>
        <v>105.03262314234105</v>
      </c>
      <c r="BK22" s="23">
        <f t="shared" si="19"/>
        <v>120.0536367556367</v>
      </c>
      <c r="BL22" s="23">
        <f t="shared" si="20"/>
        <v>109.53892722632975</v>
      </c>
      <c r="BM22" s="23">
        <f t="shared" si="21"/>
        <v>173.30225836176959</v>
      </c>
      <c r="BN22" s="23">
        <f t="shared" si="22"/>
        <v>157.57575757575756</v>
      </c>
      <c r="BO22">
        <f t="shared" si="23"/>
        <v>146.09747338720021</v>
      </c>
    </row>
    <row r="23" spans="1:67" x14ac:dyDescent="0.25">
      <c r="A23" s="6" t="s">
        <v>341</v>
      </c>
      <c r="L23" s="1">
        <f t="shared" si="33"/>
        <v>40603</v>
      </c>
      <c r="M23" s="11">
        <f t="shared" si="0"/>
        <v>178409.86942276693</v>
      </c>
      <c r="N23" s="11">
        <f t="shared" si="24"/>
        <v>193137.58059308992</v>
      </c>
      <c r="O23" s="8">
        <f t="shared" si="25"/>
        <v>0.92374497430745017</v>
      </c>
      <c r="P23" s="8">
        <f t="shared" si="1"/>
        <v>0.62775439636544006</v>
      </c>
      <c r="Q23">
        <v>21</v>
      </c>
      <c r="R23">
        <f t="shared" si="2"/>
        <v>90</v>
      </c>
      <c r="S23" s="23"/>
      <c r="T23" s="23">
        <f>IF($B$10="3BR_H",
INDEX('3BR_H-processed'!$C:$D,MATCH($L23,'3BR_H-processed'!$B:$B,0),MATCH(Council_Area,'3BR_H-processed'!$C$1:$D$1,0)),
INDEX('2BR_F-processed'!$C:$D,MATCH($L23,'2BR_F-processed'!$B:$B,0),MATCH(Council_Area,'2BR_F-processed'!$C$1:$D$1,0)))</f>
        <v>340</v>
      </c>
      <c r="U23" s="23">
        <f t="shared" si="26"/>
        <v>340</v>
      </c>
      <c r="V23" s="23">
        <f t="shared" si="34"/>
        <v>4371.4285714285716</v>
      </c>
      <c r="W23" s="23">
        <f>$B$53/4*BH23/_xlfn.XLOOKUP(Q_end,cpi!A:A,cpi!B:B)</f>
        <v>136.00552868002765</v>
      </c>
      <c r="X23" s="23">
        <f t="shared" si="3"/>
        <v>4507.4341001085995</v>
      </c>
      <c r="Y23" s="23">
        <f t="shared" si="4"/>
        <v>2672.8168486790983</v>
      </c>
      <c r="Z23" s="23">
        <f t="shared" si="27"/>
        <v>0</v>
      </c>
      <c r="AA23" s="23" cm="1">
        <f t="array" ref="AA23">(Y23+Z23)*eff_invest</f>
        <v>2672.8168486790983</v>
      </c>
      <c r="AB23" s="23">
        <f>AA23*(_xlfn.XLOOKUP(Q_end,cpi!A:A,cpi!B:B)/BH23)</f>
        <v>3930.4532317466001</v>
      </c>
      <c r="AC23" s="23" cm="1">
        <f t="array" ref="AC23">INDEX('msci-indices'!C:C,MATCH($L23,'msci-indices'!$B:$B)-2)</f>
        <v>869.423677</v>
      </c>
      <c r="AD23" s="23" cm="1">
        <f t="array" ref="AD23">INDEX('msci-indices'!D:D,MATCH($L23,'msci-indices'!$B:$B)-2)</f>
        <v>894.74693600000001</v>
      </c>
      <c r="AE23" s="23">
        <f t="shared" si="28"/>
        <v>170836.0093023571</v>
      </c>
      <c r="AF23" s="23" cm="1">
        <f t="array" ref="AF23">INDEX('msci-indices'!C:C,MATCH($L23,'msci-indices'!$B:$B)+1)</f>
        <v>912.83803799999998</v>
      </c>
      <c r="AG23" s="23" cm="1">
        <f t="array" ref="AG23">INDEX('msci-indices'!D:D,MATCH($L23,'msci-indices'!$B:$B)+1)</f>
        <v>924.58628799999997</v>
      </c>
      <c r="AH23" s="23">
        <f t="shared" si="5"/>
        <v>106.77250581397318</v>
      </c>
      <c r="AI23" s="23">
        <f t="shared" si="6"/>
        <v>178409.86942276693</v>
      </c>
      <c r="AJ23" s="23">
        <f t="shared" si="29"/>
        <v>151658.30004225476</v>
      </c>
      <c r="AK23" s="23">
        <f t="shared" si="7"/>
        <v>26751.56938051217</v>
      </c>
      <c r="AL23" s="23">
        <f>AJ23*(_xlfn.XLOOKUP(Q_end,cpi!A:A,cpi!B:B)/BH23)</f>
        <v>223017.84569221808</v>
      </c>
      <c r="AM23" s="23" cm="1">
        <f t="array" ref="AM23">SUMPRODUCT($AA$3:AA23,_xlfn.SORTBY($BH$3:BH23,_xlfn.SEQUENCE(ROWS($BH$3:BH23)),-1)/$BH$3)</f>
        <v>171494.73941550773</v>
      </c>
      <c r="AN23" s="23">
        <f t="shared" si="30"/>
        <v>6915.1300072591985</v>
      </c>
      <c r="AO23" s="23">
        <f t="shared" si="8"/>
        <v>0</v>
      </c>
      <c r="AP23" s="23">
        <f t="shared" si="31"/>
        <v>178409.86942276693</v>
      </c>
      <c r="AQ23" s="23"/>
      <c r="AR23" s="11">
        <f>IF($B$10="3BR_H",
INDEX('ns-combined'!$C:$D,MATCH($L23,'ns-combined'!$B:$B,0),MATCH(Council_Area,'ns-combined'!$C$1:$D$1,0))*1000,
INDEX('s-combined'!$C:$D,MATCH($L23,'s-combined'!$B:$B,0),MATCH(Council_Area,'s-combined'!$C$1:$D$1,0))*1000)</f>
        <v>485000</v>
      </c>
      <c r="AS23" s="23">
        <f t="shared" si="35"/>
        <v>17325</v>
      </c>
      <c r="AT23" s="11">
        <v>0</v>
      </c>
      <c r="AU23" s="23">
        <f t="shared" si="9"/>
        <v>9700</v>
      </c>
      <c r="AV23" s="23">
        <f t="shared" si="10"/>
        <v>1394.375</v>
      </c>
      <c r="AW23" s="23">
        <f>SUM($AV$3:AV23)</f>
        <v>24606.55</v>
      </c>
      <c r="AX23" s="23">
        <f t="shared" si="32"/>
        <v>433368.45</v>
      </c>
      <c r="AY23" s="23">
        <f t="shared" si="11"/>
        <v>1530.0000000000002</v>
      </c>
      <c r="AZ23" s="25">
        <f t="shared" si="12"/>
        <v>1.2618556701030929E-2</v>
      </c>
      <c r="BA23" s="25">
        <f t="shared" si="13"/>
        <v>0.35000000000000003</v>
      </c>
      <c r="BB23" s="26">
        <f>IF(MortgageRate="Discounted",_xlfn.XLOOKUP(L23,'mortgage-rates'!$A:$A,'mortgage-rates'!$E:$E)/100,_xlfn.XLOOKUP(L23,'mortgage-rates'!$A:$A,'mortgage-rates'!$D:$D)/100)</f>
        <v>7.1099999999999997E-2</v>
      </c>
      <c r="BC23" s="11">
        <f t="shared" si="37"/>
        <v>240230.86940691009</v>
      </c>
      <c r="BD23" s="11">
        <f t="shared" si="14"/>
        <v>5650.2509487876978</v>
      </c>
      <c r="BE23" s="11">
        <f t="shared" si="15"/>
        <v>4270.1037037078268</v>
      </c>
      <c r="BF23" s="11">
        <f t="shared" si="36"/>
        <v>1380.147245079871</v>
      </c>
      <c r="BG23" s="13">
        <f t="shared" si="16"/>
        <v>7180.2509487876978</v>
      </c>
      <c r="BH23" s="23">
        <f>INDEX(cpi!B:B,MATCH($L23,cpi!A:A))</f>
        <v>98.4</v>
      </c>
      <c r="BI23" s="23">
        <f t="shared" si="17"/>
        <v>116.31205673758866</v>
      </c>
      <c r="BJ23" s="23">
        <f t="shared" si="18"/>
        <v>115.17381902105713</v>
      </c>
      <c r="BK23" s="23">
        <f t="shared" si="19"/>
        <v>125.49815500810108</v>
      </c>
      <c r="BL23" s="23">
        <f t="shared" si="20"/>
        <v>118.2711198171703</v>
      </c>
      <c r="BM23" s="23">
        <f t="shared" si="21"/>
        <v>190.24115426216736</v>
      </c>
      <c r="BN23" s="23">
        <f t="shared" si="22"/>
        <v>146.96969696969697</v>
      </c>
      <c r="BO23">
        <f t="shared" si="23"/>
        <v>134.74287313302318</v>
      </c>
    </row>
    <row r="24" spans="1:67" x14ac:dyDescent="0.25">
      <c r="A24" s="7" t="s">
        <v>496</v>
      </c>
      <c r="L24" s="1">
        <f t="shared" si="33"/>
        <v>40695</v>
      </c>
      <c r="M24" s="11">
        <f t="shared" si="0"/>
        <v>178942.06395459935</v>
      </c>
      <c r="N24" s="11">
        <f t="shared" si="24"/>
        <v>209398.04033816978</v>
      </c>
      <c r="O24" s="8">
        <f t="shared" si="25"/>
        <v>0.85455462556199091</v>
      </c>
      <c r="P24" s="8">
        <f t="shared" si="1"/>
        <v>0.63586083131765547</v>
      </c>
      <c r="Q24">
        <v>22</v>
      </c>
      <c r="R24">
        <f t="shared" si="2"/>
        <v>91</v>
      </c>
      <c r="S24" s="23"/>
      <c r="T24" s="23">
        <f>IF($B$10="3BR_H",
INDEX('3BR_H-processed'!$C:$D,MATCH($L24,'3BR_H-processed'!$B:$B,0),MATCH(Council_Area,'3BR_H-processed'!$C$1:$D$1,0)),
INDEX('2BR_F-processed'!$C:$D,MATCH($L24,'2BR_F-processed'!$B:$B,0),MATCH(Council_Area,'2BR_F-processed'!$C$1:$D$1,0)))</f>
        <v>340</v>
      </c>
      <c r="U24" s="23">
        <f t="shared" si="26"/>
        <v>340</v>
      </c>
      <c r="V24" s="23">
        <f t="shared" si="34"/>
        <v>4420</v>
      </c>
      <c r="W24" s="23">
        <f>$B$53/4*BH24/_xlfn.XLOOKUP(Q_end,cpi!A:A,cpi!B:B)</f>
        <v>137.24948168624741</v>
      </c>
      <c r="X24" s="23">
        <f t="shared" si="3"/>
        <v>4557.2494816862472</v>
      </c>
      <c r="Y24" s="23">
        <f t="shared" si="4"/>
        <v>2609.8054102506221</v>
      </c>
      <c r="Z24" s="23">
        <f t="shared" si="27"/>
        <v>0</v>
      </c>
      <c r="AA24" s="23" cm="1">
        <f t="array" ref="AA24">(Y24+Z24)*eff_invest</f>
        <v>2609.8054102506221</v>
      </c>
      <c r="AB24" s="23">
        <f>AA24*(_xlfn.XLOOKUP(Q_end,cpi!A:A,cpi!B:B)/BH24)</f>
        <v>3803.0094950983384</v>
      </c>
      <c r="AC24" s="23" cm="1">
        <f t="array" ref="AC24">INDEX('msci-indices'!C:C,MATCH($L24,'msci-indices'!$B:$B)-2)</f>
        <v>912.83803799999998</v>
      </c>
      <c r="AD24" s="23" cm="1">
        <f t="array" ref="AD24">INDEX('msci-indices'!D:D,MATCH($L24,'msci-indices'!$B:$B)-2)</f>
        <v>924.58628799999997</v>
      </c>
      <c r="AE24" s="23">
        <f t="shared" si="28"/>
        <v>181019.67483301755</v>
      </c>
      <c r="AF24" s="23" cm="1">
        <f t="array" ref="AF24">INDEX('msci-indices'!C:C,MATCH($L24,'msci-indices'!$B:$B)+1)</f>
        <v>915.80493999999999</v>
      </c>
      <c r="AG24" s="23" cm="1">
        <f t="array" ref="AG24">INDEX('msci-indices'!D:D,MATCH($L24,'msci-indices'!$B:$B)+1)</f>
        <v>884.12823400000002</v>
      </c>
      <c r="AH24" s="23">
        <f t="shared" si="5"/>
        <v>113.13729677063597</v>
      </c>
      <c r="AI24" s="23">
        <f t="shared" si="6"/>
        <v>178942.06395459935</v>
      </c>
      <c r="AJ24" s="23">
        <f t="shared" si="29"/>
        <v>154268.10545250538</v>
      </c>
      <c r="AK24" s="23">
        <f t="shared" si="7"/>
        <v>24673.95850209397</v>
      </c>
      <c r="AL24" s="23">
        <f>AJ24*(_xlfn.XLOOKUP(Q_end,cpi!A:A,cpi!B:B)/BH24)</f>
        <v>224799.54540762867</v>
      </c>
      <c r="AM24" s="23" cm="1">
        <f t="array" ref="AM24">SUMPRODUCT($AA$3:AA24,_xlfn.SORTBY($BH$3:BH24,_xlfn.SEQUENCE(ROWS($BH$3:BH24)),-1)/$BH$3)</f>
        <v>175535.49171109046</v>
      </c>
      <c r="AN24" s="23">
        <f t="shared" si="30"/>
        <v>3406.5722435088828</v>
      </c>
      <c r="AO24" s="23">
        <f t="shared" si="8"/>
        <v>0</v>
      </c>
      <c r="AP24" s="23">
        <f t="shared" si="31"/>
        <v>178942.06395459935</v>
      </c>
      <c r="AQ24" s="23"/>
      <c r="AR24" s="11">
        <f>IF($B$10="3BR_H",
INDEX('ns-combined'!$C:$D,MATCH($L24,'ns-combined'!$B:$B,0),MATCH(Council_Area,'ns-combined'!$C$1:$D$1,0))*1000,
INDEX('s-combined'!$C:$D,MATCH($L24,'s-combined'!$B:$B,0),MATCH(Council_Area,'s-combined'!$C$1:$D$1,0))*1000)</f>
        <v>502500</v>
      </c>
      <c r="AS24" s="23">
        <f t="shared" si="35"/>
        <v>18150</v>
      </c>
      <c r="AT24" s="11">
        <v>0</v>
      </c>
      <c r="AU24" s="23">
        <f t="shared" si="9"/>
        <v>10050</v>
      </c>
      <c r="AV24" s="23">
        <f t="shared" si="10"/>
        <v>1444.6875</v>
      </c>
      <c r="AW24" s="23">
        <f>SUM($AV$3:AV24)</f>
        <v>26051.237499999999</v>
      </c>
      <c r="AX24" s="23">
        <f t="shared" si="32"/>
        <v>448248.76250000001</v>
      </c>
      <c r="AY24" s="23">
        <f t="shared" si="11"/>
        <v>1547.0000000000002</v>
      </c>
      <c r="AZ24" s="25">
        <f t="shared" si="12"/>
        <v>1.2314427860696519E-2</v>
      </c>
      <c r="BA24" s="25">
        <f t="shared" si="13"/>
        <v>0.35000000000000003</v>
      </c>
      <c r="BB24" s="26">
        <f>IF(MortgageRate="Discounted",_xlfn.XLOOKUP(L24,'mortgage-rates'!$A:$A,'mortgage-rates'!$E:$E)/100,_xlfn.XLOOKUP(L24,'mortgage-rates'!$A:$A,'mortgage-rates'!$D:$D)/100)</f>
        <v>7.0400000000000004E-2</v>
      </c>
      <c r="BC24" s="11">
        <f t="shared" si="37"/>
        <v>238850.72216183023</v>
      </c>
      <c r="BD24" s="11">
        <f t="shared" si="14"/>
        <v>5620.0548919368694</v>
      </c>
      <c r="BE24" s="11">
        <f t="shared" si="15"/>
        <v>4203.7727100482125</v>
      </c>
      <c r="BF24" s="11">
        <f t="shared" si="36"/>
        <v>1416.2821818886569</v>
      </c>
      <c r="BG24" s="13">
        <f>AT24+AY24+BD24</f>
        <v>7167.0548919368694</v>
      </c>
      <c r="BH24" s="23">
        <f>INDEX(cpi!B:B,MATCH($L24,cpi!A:A))</f>
        <v>99.3</v>
      </c>
      <c r="BI24" s="23">
        <f t="shared" si="17"/>
        <v>117.3758865248227</v>
      </c>
      <c r="BJ24" s="23">
        <f t="shared" si="18"/>
        <v>120.92498256652478</v>
      </c>
      <c r="BK24" s="23">
        <f t="shared" si="19"/>
        <v>129.68345419378869</v>
      </c>
      <c r="BL24" s="23">
        <f t="shared" si="20"/>
        <v>123.55252405470395</v>
      </c>
      <c r="BM24" s="23">
        <f t="shared" si="21"/>
        <v>201.58157536591625</v>
      </c>
      <c r="BN24" s="23">
        <f t="shared" si="22"/>
        <v>152.27272727272728</v>
      </c>
      <c r="BO24">
        <f t="shared" si="23"/>
        <v>139.36945833867728</v>
      </c>
    </row>
    <row r="25" spans="1:67" x14ac:dyDescent="0.25">
      <c r="A25" t="s">
        <v>338</v>
      </c>
      <c r="B25" s="4">
        <v>1.4999999999999999E-2</v>
      </c>
      <c r="C25" s="4">
        <v>1.4999999999999999E-2</v>
      </c>
      <c r="L25" s="1">
        <f t="shared" si="33"/>
        <v>40787</v>
      </c>
      <c r="M25" s="11">
        <f t="shared" si="0"/>
        <v>152968.33589863067</v>
      </c>
      <c r="N25" s="11">
        <f t="shared" si="24"/>
        <v>193399.19752005843</v>
      </c>
      <c r="O25" s="8">
        <f t="shared" si="25"/>
        <v>0.79094607351080415</v>
      </c>
      <c r="P25" s="8">
        <f t="shared" si="1"/>
        <v>0.64157528086814009</v>
      </c>
      <c r="Q25">
        <v>23</v>
      </c>
      <c r="R25">
        <f t="shared" si="2"/>
        <v>92</v>
      </c>
      <c r="S25" s="23"/>
      <c r="T25" s="23">
        <f>IF($B$10="3BR_H",
INDEX('3BR_H-processed'!$C:$D,MATCH($L25,'3BR_H-processed'!$B:$B,0),MATCH(Council_Area,'3BR_H-processed'!$C$1:$D$1,0)),
INDEX('2BR_F-processed'!$C:$D,MATCH($L25,'2BR_F-processed'!$B:$B,0),MATCH(Council_Area,'2BR_F-processed'!$C$1:$D$1,0)))</f>
        <v>339</v>
      </c>
      <c r="U25" s="23">
        <f t="shared" si="26"/>
        <v>340</v>
      </c>
      <c r="V25" s="23">
        <f t="shared" si="34"/>
        <v>4468.5714285714284</v>
      </c>
      <c r="W25" s="23">
        <f>$B$53/4*BH25/_xlfn.XLOOKUP(Q_end,cpi!A:A,cpi!B:B)</f>
        <v>137.80234968901175</v>
      </c>
      <c r="X25" s="23">
        <f t="shared" si="3"/>
        <v>4606.3737782604403</v>
      </c>
      <c r="Y25" s="23">
        <f t="shared" si="4"/>
        <v>2573.4130926230191</v>
      </c>
      <c r="Z25" s="23">
        <f t="shared" si="27"/>
        <v>0</v>
      </c>
      <c r="AA25" s="23" cm="1">
        <f t="array" ref="AA25">(Y25+Z25)*eff_invest</f>
        <v>2573.4130926230191</v>
      </c>
      <c r="AB25" s="23">
        <f>AA25*(_xlfn.XLOOKUP(Q_end,cpi!A:A,cpi!B:B)/BH25)</f>
        <v>3734.9335456624958</v>
      </c>
      <c r="AC25" s="23" cm="1">
        <f t="array" ref="AC25">INDEX('msci-indices'!C:C,MATCH($L25,'msci-indices'!$B:$B)-2)</f>
        <v>915.80493999999999</v>
      </c>
      <c r="AD25" s="23" cm="1">
        <f t="array" ref="AD25">INDEX('msci-indices'!D:D,MATCH($L25,'msci-indices'!$B:$B)-2)</f>
        <v>884.12823400000002</v>
      </c>
      <c r="AE25" s="23">
        <f t="shared" si="28"/>
        <v>181515.47704722238</v>
      </c>
      <c r="AF25" s="23" cm="1">
        <f t="array" ref="AF25">INDEX('msci-indices'!C:C,MATCH($L25,'msci-indices'!$B:$B)+1)</f>
        <v>758.748516</v>
      </c>
      <c r="AG25" s="23" cm="1">
        <f t="array" ref="AG25">INDEX('msci-indices'!D:D,MATCH($L25,'msci-indices'!$B:$B)+1)</f>
        <v>776.26675599999999</v>
      </c>
      <c r="AH25" s="23">
        <f t="shared" si="5"/>
        <v>113.44717315451399</v>
      </c>
      <c r="AI25" s="23">
        <f t="shared" si="6"/>
        <v>152968.33589863067</v>
      </c>
      <c r="AJ25" s="23">
        <f t="shared" si="29"/>
        <v>156841.51854512841</v>
      </c>
      <c r="AK25" s="23">
        <f t="shared" si="7"/>
        <v>-3873.1826464977348</v>
      </c>
      <c r="AL25" s="23">
        <f>AJ25*(_xlfn.XLOOKUP(Q_end,cpi!A:A,cpi!B:B)/BH25)</f>
        <v>227632.57505998071</v>
      </c>
      <c r="AM25" s="23" cm="1">
        <f t="array" ref="AM25">SUMPRODUCT($AA$3:AA25,_xlfn.SORTBY($BH$3:BH25,_xlfn.SEQUENCE(ROWS($BH$3:BH25)),-1)/$BH$3)</f>
        <v>179049.0869167796</v>
      </c>
      <c r="AN25" s="23">
        <f t="shared" si="30"/>
        <v>-26080.751018148934</v>
      </c>
      <c r="AO25" s="23">
        <f t="shared" si="8"/>
        <v>0</v>
      </c>
      <c r="AP25" s="23">
        <f t="shared" si="31"/>
        <v>152968.33589863067</v>
      </c>
      <c r="AQ25" s="23"/>
      <c r="AR25" s="11">
        <f>IF($B$10="3BR_H",
INDEX('ns-combined'!$C:$D,MATCH($L25,'ns-combined'!$B:$B,0),MATCH(Council_Area,'ns-combined'!$C$1:$D$1,0))*1000,
INDEX('s-combined'!$C:$D,MATCH($L25,'s-combined'!$B:$B,0),MATCH(Council_Area,'s-combined'!$C$1:$D$1,0))*1000)</f>
        <v>487000</v>
      </c>
      <c r="AS25" s="23">
        <f t="shared" si="35"/>
        <v>18975</v>
      </c>
      <c r="AT25" s="11">
        <v>0</v>
      </c>
      <c r="AU25" s="23">
        <f t="shared" si="9"/>
        <v>9740</v>
      </c>
      <c r="AV25" s="23">
        <f t="shared" si="10"/>
        <v>1400.125</v>
      </c>
      <c r="AW25" s="23">
        <f>SUM($AV$3:AV25)</f>
        <v>27451.362499999999</v>
      </c>
      <c r="AX25" s="23">
        <f t="shared" si="32"/>
        <v>430833.63750000001</v>
      </c>
      <c r="AY25" s="23">
        <f t="shared" si="11"/>
        <v>1564</v>
      </c>
      <c r="AZ25" s="25">
        <f t="shared" si="12"/>
        <v>1.2845995893223819E-2</v>
      </c>
      <c r="BA25" s="25">
        <f t="shared" si="13"/>
        <v>0.35000000000000003</v>
      </c>
      <c r="BB25" s="26">
        <f>IF(MortgageRate="Discounted",_xlfn.XLOOKUP(L25,'mortgage-rates'!$A:$A,'mortgage-rates'!$E:$E)/100,_xlfn.XLOOKUP(L25,'mortgage-rates'!$A:$A,'mortgage-rates'!$D:$D)/100)</f>
        <v>7.0300000000000001E-2</v>
      </c>
      <c r="BC25" s="11">
        <f t="shared" si="37"/>
        <v>237434.43997994158</v>
      </c>
      <c r="BD25" s="11">
        <f t="shared" si="14"/>
        <v>5615.7868708834594</v>
      </c>
      <c r="BE25" s="11">
        <f t="shared" si="15"/>
        <v>4172.9102826474737</v>
      </c>
      <c r="BF25" s="11">
        <f t="shared" si="36"/>
        <v>1442.8765882359858</v>
      </c>
      <c r="BG25" s="13">
        <f t="shared" si="16"/>
        <v>7179.7868708834594</v>
      </c>
      <c r="BH25" s="23">
        <f>INDEX(cpi!B:B,MATCH($L25,cpi!A:A))</f>
        <v>99.7</v>
      </c>
      <c r="BI25" s="23">
        <f t="shared" si="17"/>
        <v>117.84869976359339</v>
      </c>
      <c r="BJ25" s="23">
        <f t="shared" si="18"/>
        <v>121.31801238966038</v>
      </c>
      <c r="BK25" s="23">
        <f t="shared" si="19"/>
        <v>124.0087645939373</v>
      </c>
      <c r="BL25" s="23">
        <f t="shared" si="20"/>
        <v>122.12523805094347</v>
      </c>
      <c r="BM25" s="23">
        <f t="shared" si="21"/>
        <v>202.13369541309626</v>
      </c>
      <c r="BN25" s="23">
        <f t="shared" si="22"/>
        <v>147.57575757575756</v>
      </c>
      <c r="BO25">
        <f t="shared" si="23"/>
        <v>133.95474949572679</v>
      </c>
    </row>
    <row r="26" spans="1:67" x14ac:dyDescent="0.25">
      <c r="A26" t="s">
        <v>339</v>
      </c>
      <c r="B26" s="4">
        <f>(2560+(0.06*(AR3-115000)))/AR3</f>
        <v>4.6848484848484848E-2</v>
      </c>
      <c r="C26" s="4">
        <v>0.03</v>
      </c>
      <c r="L26" s="1">
        <f t="shared" si="33"/>
        <v>40878</v>
      </c>
      <c r="M26" s="11">
        <f t="shared" si="0"/>
        <v>164437.76507360389</v>
      </c>
      <c r="N26" s="11">
        <f t="shared" si="24"/>
        <v>200433.94910829442</v>
      </c>
      <c r="O26" s="8">
        <f t="shared" si="25"/>
        <v>0.82040874714671319</v>
      </c>
      <c r="P26" s="8">
        <f t="shared" si="1"/>
        <v>0.66049822095677635</v>
      </c>
      <c r="Q26">
        <v>24</v>
      </c>
      <c r="R26">
        <f t="shared" si="2"/>
        <v>92</v>
      </c>
      <c r="S26" s="23"/>
      <c r="T26" s="23">
        <f>IF($B$10="3BR_H",
INDEX('3BR_H-processed'!$C:$D,MATCH($L26,'3BR_H-processed'!$B:$B,0),MATCH(Council_Area,'3BR_H-processed'!$C$1:$D$1,0)),
INDEX('2BR_F-processed'!$C:$D,MATCH($L26,'2BR_F-processed'!$B:$B,0),MATCH(Council_Area,'2BR_F-processed'!$C$1:$D$1,0)))</f>
        <v>340</v>
      </c>
      <c r="U26" s="23">
        <f t="shared" si="26"/>
        <v>340</v>
      </c>
      <c r="V26" s="23">
        <f t="shared" si="34"/>
        <v>4468.5714285714284</v>
      </c>
      <c r="W26" s="23">
        <f>$B$53/4*BH26/_xlfn.XLOOKUP(Q_end,cpi!A:A,cpi!B:B)</f>
        <v>138.07878369039392</v>
      </c>
      <c r="X26" s="23">
        <f t="shared" si="3"/>
        <v>4606.6502122618222</v>
      </c>
      <c r="Y26" s="23">
        <f t="shared" si="4"/>
        <v>2367.8579182654303</v>
      </c>
      <c r="Z26" s="23">
        <f t="shared" si="27"/>
        <v>0</v>
      </c>
      <c r="AA26" s="23" cm="1">
        <f t="array" ref="AA26">(Y26+Z26)*eff_invest</f>
        <v>2367.8579182654303</v>
      </c>
      <c r="AB26" s="23">
        <f>AA26*(_xlfn.XLOOKUP(Q_end,cpi!A:A,cpi!B:B)/BH26)</f>
        <v>3429.720127857935</v>
      </c>
      <c r="AC26" s="23" cm="1">
        <f t="array" ref="AC26">INDEX('msci-indices'!C:C,MATCH($L26,'msci-indices'!$B:$B)-2)</f>
        <v>758.748516</v>
      </c>
      <c r="AD26" s="23" cm="1">
        <f t="array" ref="AD26">INDEX('msci-indices'!D:D,MATCH($L26,'msci-indices'!$B:$B)-2)</f>
        <v>776.26675599999999</v>
      </c>
      <c r="AE26" s="23">
        <f t="shared" si="28"/>
        <v>155336.19381689609</v>
      </c>
      <c r="AF26" s="23" cm="1">
        <f t="array" ref="AF26">INDEX('msci-indices'!C:C,MATCH($L26,'msci-indices'!$B:$B)+1)</f>
        <v>816.97540400000003</v>
      </c>
      <c r="AG26" s="23" cm="1">
        <f t="array" ref="AG26">INDEX('msci-indices'!D:D,MATCH($L26,'msci-indices'!$B:$B)+1)</f>
        <v>790.49635000000001</v>
      </c>
      <c r="AH26" s="23">
        <f t="shared" si="5"/>
        <v>97.085121135560058</v>
      </c>
      <c r="AI26" s="23">
        <f t="shared" si="6"/>
        <v>164437.76507360389</v>
      </c>
      <c r="AJ26" s="23">
        <f t="shared" si="29"/>
        <v>159209.37646339383</v>
      </c>
      <c r="AK26" s="23">
        <f t="shared" si="7"/>
        <v>5228.388610210066</v>
      </c>
      <c r="AL26" s="23">
        <f>AJ26*(_xlfn.XLOOKUP(Q_end,cpi!A:A,cpi!B:B)/BH26)</f>
        <v>230606.57431684769</v>
      </c>
      <c r="AM26" s="23" cm="1">
        <f t="array" ref="AM26">SUMPRODUCT($AA$3:AA26,_xlfn.SORTBY($BH$3:BH26,_xlfn.SEQUENCE(ROWS($BH$3:BH26)),-1)/$BH$3)</f>
        <v>182171.77830544414</v>
      </c>
      <c r="AN26" s="23">
        <f t="shared" si="30"/>
        <v>-17734.013231840247</v>
      </c>
      <c r="AO26" s="23">
        <f t="shared" si="8"/>
        <v>0</v>
      </c>
      <c r="AP26" s="23">
        <f t="shared" si="31"/>
        <v>164437.76507360389</v>
      </c>
      <c r="AQ26" s="23"/>
      <c r="AR26" s="11">
        <f>IF($B$10="3BR_H",
INDEX('ns-combined'!$C:$D,MATCH($L26,'ns-combined'!$B:$B,0),MATCH(Council_Area,'ns-combined'!$C$1:$D$1,0))*1000,
INDEX('s-combined'!$C:$D,MATCH($L26,'s-combined'!$B:$B,0),MATCH(Council_Area,'s-combined'!$C$1:$D$1,0))*1000)</f>
        <v>495000</v>
      </c>
      <c r="AS26" s="23">
        <f t="shared" si="35"/>
        <v>19800</v>
      </c>
      <c r="AT26" s="11">
        <v>0</v>
      </c>
      <c r="AU26" s="23">
        <f t="shared" si="9"/>
        <v>9900</v>
      </c>
      <c r="AV26" s="23">
        <f t="shared" si="10"/>
        <v>1423.125</v>
      </c>
      <c r="AW26" s="23">
        <f>SUM($AV$3:AV26)</f>
        <v>28874.487499999999</v>
      </c>
      <c r="AX26" s="23">
        <f t="shared" si="32"/>
        <v>436425.51250000001</v>
      </c>
      <c r="AY26" s="23">
        <f t="shared" si="11"/>
        <v>1564</v>
      </c>
      <c r="AZ26" s="25">
        <f t="shared" si="12"/>
        <v>1.2638383838383838E-2</v>
      </c>
      <c r="BA26" s="25">
        <f t="shared" si="13"/>
        <v>0.35000000000000003</v>
      </c>
      <c r="BB26" s="26">
        <f>IF(MortgageRate="Discounted",_xlfn.XLOOKUP(L26,'mortgage-rates'!$A:$A,'mortgage-rates'!$E:$E)/100,_xlfn.XLOOKUP(L26,'mortgage-rates'!$A:$A,'mortgage-rates'!$D:$D)/100)</f>
        <v>6.54E-2</v>
      </c>
      <c r="BC26" s="11">
        <f t="shared" si="37"/>
        <v>235991.5633917056</v>
      </c>
      <c r="BD26" s="11">
        <f t="shared" si="14"/>
        <v>5410.5081305272524</v>
      </c>
      <c r="BE26" s="11">
        <f t="shared" si="15"/>
        <v>3858.4620614543865</v>
      </c>
      <c r="BF26" s="11">
        <f t="shared" si="36"/>
        <v>1552.046069072866</v>
      </c>
      <c r="BG26" s="13">
        <f t="shared" si="16"/>
        <v>6974.5081305272524</v>
      </c>
      <c r="BH26" s="23">
        <f>INDEX(cpi!B:B,MATCH($L26,cpi!A:A))</f>
        <v>99.9</v>
      </c>
      <c r="BI26" s="23">
        <f t="shared" si="17"/>
        <v>118.08510638297874</v>
      </c>
      <c r="BJ26" s="23">
        <f t="shared" si="18"/>
        <v>100.5125194724593</v>
      </c>
      <c r="BK26" s="23">
        <f t="shared" si="19"/>
        <v>108.87999919579919</v>
      </c>
      <c r="BL26" s="23">
        <f t="shared" si="20"/>
        <v>103.02276338946128</v>
      </c>
      <c r="BM26" s="23">
        <f t="shared" si="21"/>
        <v>172.98072538159158</v>
      </c>
      <c r="BN26" s="23">
        <f t="shared" si="22"/>
        <v>150</v>
      </c>
      <c r="BO26">
        <f t="shared" si="23"/>
        <v>135.69337468567943</v>
      </c>
    </row>
    <row r="27" spans="1:67" x14ac:dyDescent="0.25">
      <c r="A27" s="7" t="s">
        <v>497</v>
      </c>
      <c r="L27" s="1">
        <f t="shared" si="33"/>
        <v>40969</v>
      </c>
      <c r="M27" s="11">
        <f t="shared" si="0"/>
        <v>184928.91833417313</v>
      </c>
      <c r="N27" s="11">
        <f t="shared" si="24"/>
        <v>183126.74517736729</v>
      </c>
      <c r="O27" s="8">
        <f t="shared" si="25"/>
        <v>1.009841124818007</v>
      </c>
      <c r="P27" s="8">
        <f t="shared" si="1"/>
        <v>0.64859572650072161</v>
      </c>
      <c r="Q27">
        <v>25</v>
      </c>
      <c r="R27">
        <f t="shared" si="2"/>
        <v>91</v>
      </c>
      <c r="S27" s="23"/>
      <c r="T27" s="23">
        <f>IF($B$10="3BR_H",
INDEX('3BR_H-processed'!$C:$D,MATCH($L27,'3BR_H-processed'!$B:$B,0),MATCH(Council_Area,'3BR_H-processed'!$C$1:$D$1,0)),
INDEX('2BR_F-processed'!$C:$D,MATCH($L27,'2BR_F-processed'!$B:$B,0),MATCH(Council_Area,'2BR_F-processed'!$C$1:$D$1,0)))</f>
        <v>340</v>
      </c>
      <c r="U27" s="23">
        <f t="shared" si="26"/>
        <v>340</v>
      </c>
      <c r="V27" s="23">
        <f t="shared" si="34"/>
        <v>4420</v>
      </c>
      <c r="W27" s="23">
        <f>$B$53/4*BH27/_xlfn.XLOOKUP(Q_end,cpi!A:A,cpi!B:B)</f>
        <v>138.07878369039392</v>
      </c>
      <c r="X27" s="23">
        <f t="shared" si="3"/>
        <v>4558.0787836903937</v>
      </c>
      <c r="Y27" s="23">
        <f t="shared" si="4"/>
        <v>2469.5327121206601</v>
      </c>
      <c r="Z27" s="23">
        <f t="shared" si="27"/>
        <v>0</v>
      </c>
      <c r="AA27" s="23" cm="1">
        <f t="array" ref="AA27">(Y27+Z27)*eff_invest</f>
        <v>2469.5327121206601</v>
      </c>
      <c r="AB27" s="23">
        <f>AA27*(_xlfn.XLOOKUP(Q_end,cpi!A:A,cpi!B:B)/BH27)</f>
        <v>3576.9908252638588</v>
      </c>
      <c r="AC27" s="23" cm="1">
        <f t="array" ref="AC27">INDEX('msci-indices'!C:C,MATCH($L27,'msci-indices'!$B:$B)-2)</f>
        <v>816.97540400000003</v>
      </c>
      <c r="AD27" s="23" cm="1">
        <f t="array" ref="AD27">INDEX('msci-indices'!D:D,MATCH($L27,'msci-indices'!$B:$B)-2)</f>
        <v>790.49635000000001</v>
      </c>
      <c r="AE27" s="23">
        <f t="shared" si="28"/>
        <v>166907.29778572454</v>
      </c>
      <c r="AF27" s="23" cm="1">
        <f t="array" ref="AF27">INDEX('msci-indices'!C:C,MATCH($L27,'msci-indices'!$B:$B)+1)</f>
        <v>913.58723299999997</v>
      </c>
      <c r="AG27" s="23" cm="1">
        <f t="array" ref="AG27">INDEX('msci-indices'!D:D,MATCH($L27,'msci-indices'!$B:$B)+1)</f>
        <v>858.531702</v>
      </c>
      <c r="AH27" s="23">
        <f t="shared" si="5"/>
        <v>104.31706111607784</v>
      </c>
      <c r="AI27" s="23">
        <f t="shared" si="6"/>
        <v>184928.91833417313</v>
      </c>
      <c r="AJ27" s="23">
        <f t="shared" si="29"/>
        <v>161678.90917551448</v>
      </c>
      <c r="AK27" s="23">
        <f t="shared" si="7"/>
        <v>23250.00915865865</v>
      </c>
      <c r="AL27" s="23">
        <f>AJ27*(_xlfn.XLOOKUP(Q_end,cpi!A:A,cpi!B:B)/BH27)</f>
        <v>234183.56514211153</v>
      </c>
      <c r="AM27" s="23" cm="1">
        <f t="array" ref="AM27">SUMPRODUCT($AA$3:AA27,_xlfn.SORTBY($BH$3:BH27,_xlfn.SEQUENCE(ROWS($BH$3:BH27)),-1)/$BH$3)</f>
        <v>185193.76128019471</v>
      </c>
      <c r="AN27" s="23">
        <f t="shared" si="30"/>
        <v>-264.84294602158479</v>
      </c>
      <c r="AO27" s="23">
        <f t="shared" si="8"/>
        <v>0</v>
      </c>
      <c r="AP27" s="23">
        <f t="shared" si="31"/>
        <v>184928.91833417313</v>
      </c>
      <c r="AQ27" s="23"/>
      <c r="AR27" s="11">
        <f>IF($B$10="3BR_H",
INDEX('ns-combined'!$C:$D,MATCH($L27,'ns-combined'!$B:$B,0),MATCH(Council_Area,'ns-combined'!$C$1:$D$1,0))*1000,
INDEX('s-combined'!$C:$D,MATCH($L27,'s-combined'!$B:$B,0),MATCH(Council_Area,'s-combined'!$C$1:$D$1,0))*1000)</f>
        <v>478000</v>
      </c>
      <c r="AS27" s="23">
        <f t="shared" si="35"/>
        <v>20625</v>
      </c>
      <c r="AT27" s="11">
        <v>0</v>
      </c>
      <c r="AU27" s="23">
        <f t="shared" si="9"/>
        <v>9560</v>
      </c>
      <c r="AV27" s="23">
        <f t="shared" si="10"/>
        <v>1374.25</v>
      </c>
      <c r="AW27" s="23">
        <f>SUM($AV$3:AV27)</f>
        <v>30248.737499999999</v>
      </c>
      <c r="AX27" s="23">
        <f t="shared" si="32"/>
        <v>417566.26250000001</v>
      </c>
      <c r="AY27" s="23">
        <f t="shared" si="11"/>
        <v>1547.0000000000002</v>
      </c>
      <c r="AZ27" s="25">
        <f t="shared" si="12"/>
        <v>1.2945606694560671E-2</v>
      </c>
      <c r="BA27" s="25">
        <f t="shared" si="13"/>
        <v>0.35000000000000003</v>
      </c>
      <c r="BB27" s="26">
        <f>IF(MortgageRate="Discounted",_xlfn.XLOOKUP(L27,'mortgage-rates'!$A:$A,'mortgage-rates'!$E:$E)/100,_xlfn.XLOOKUP(L27,'mortgage-rates'!$A:$A,'mortgage-rates'!$D:$D)/100)</f>
        <v>6.7099999999999993E-2</v>
      </c>
      <c r="BC27" s="11">
        <f t="shared" si="37"/>
        <v>234439.51732263272</v>
      </c>
      <c r="BD27" s="11">
        <f t="shared" si="14"/>
        <v>5480.6114958110538</v>
      </c>
      <c r="BE27" s="11">
        <f t="shared" si="15"/>
        <v>3932.7229030871636</v>
      </c>
      <c r="BF27" s="11">
        <f t="shared" si="36"/>
        <v>1547.8885927238903</v>
      </c>
      <c r="BG27" s="13">
        <f t="shared" si="16"/>
        <v>7027.6114958110538</v>
      </c>
      <c r="BH27" s="23">
        <f>INDEX(cpi!B:B,MATCH($L27,cpi!A:A))</f>
        <v>99.9</v>
      </c>
      <c r="BI27" s="23">
        <f t="shared" si="17"/>
        <v>118.08510638297874</v>
      </c>
      <c r="BJ27" s="23">
        <f t="shared" si="18"/>
        <v>108.22592001362189</v>
      </c>
      <c r="BK27" s="23">
        <f t="shared" si="19"/>
        <v>110.87585715480799</v>
      </c>
      <c r="BL27" s="23">
        <f t="shared" si="20"/>
        <v>109.02090115597773</v>
      </c>
      <c r="BM27" s="23">
        <f t="shared" si="21"/>
        <v>185.86618310275307</v>
      </c>
      <c r="BN27" s="23">
        <f t="shared" si="22"/>
        <v>144.84848484848484</v>
      </c>
      <c r="BO27">
        <f t="shared" si="23"/>
        <v>129.82965864881987</v>
      </c>
    </row>
    <row r="28" spans="1:67" x14ac:dyDescent="0.25">
      <c r="A28" t="s">
        <v>340</v>
      </c>
      <c r="B28" s="4">
        <v>1.4999999999999999E-2</v>
      </c>
      <c r="C28" s="4">
        <v>1.4999999999999999E-2</v>
      </c>
      <c r="L28" s="1">
        <f t="shared" si="33"/>
        <v>41061</v>
      </c>
      <c r="M28" s="11">
        <f t="shared" si="0"/>
        <v>177221.91411850631</v>
      </c>
      <c r="N28" s="11">
        <f t="shared" si="24"/>
        <v>189315.2587700912</v>
      </c>
      <c r="O28" s="8">
        <f t="shared" si="25"/>
        <v>0.93612060258559859</v>
      </c>
      <c r="P28" s="8">
        <f t="shared" si="1"/>
        <v>0.67115727694149585</v>
      </c>
      <c r="Q28">
        <v>26</v>
      </c>
      <c r="R28">
        <f t="shared" si="2"/>
        <v>91</v>
      </c>
      <c r="S28" s="23"/>
      <c r="T28" s="23">
        <f>IF($B$10="3BR_H",
INDEX('3BR_H-processed'!$C:$D,MATCH($L28,'3BR_H-processed'!$B:$B,0),MATCH(Council_Area,'3BR_H-processed'!$C$1:$D$1,0)),
INDEX('2BR_F-processed'!$C:$D,MATCH($L28,'2BR_F-processed'!$B:$B,0),MATCH(Council_Area,'2BR_F-processed'!$C$1:$D$1,0)))</f>
        <v>335</v>
      </c>
      <c r="U28" s="23">
        <f t="shared" si="26"/>
        <v>340</v>
      </c>
      <c r="V28" s="23">
        <f t="shared" si="34"/>
        <v>4420</v>
      </c>
      <c r="W28" s="23">
        <f>$B$53/4*BH28/_xlfn.XLOOKUP(Q_end,cpi!A:A,cpi!B:B)</f>
        <v>138.90808569454043</v>
      </c>
      <c r="X28" s="23">
        <f t="shared" si="3"/>
        <v>4558.9080856945402</v>
      </c>
      <c r="Y28" s="23">
        <f t="shared" si="4"/>
        <v>2233.699611967264</v>
      </c>
      <c r="Z28" s="23">
        <f t="shared" si="27"/>
        <v>0</v>
      </c>
      <c r="AA28" s="23" cm="1">
        <f t="array" ref="AA28">(Y28+Z28)*eff_invest</f>
        <v>2233.699611967264</v>
      </c>
      <c r="AB28" s="23">
        <f>AA28*(_xlfn.XLOOKUP(Q_end,cpi!A:A,cpi!B:B)/BH28)</f>
        <v>3216.0829238971451</v>
      </c>
      <c r="AC28" s="23" cm="1">
        <f t="array" ref="AC28">INDEX('msci-indices'!C:C,MATCH($L28,'msci-indices'!$B:$B)-2)</f>
        <v>913.58723299999997</v>
      </c>
      <c r="AD28" s="23" cm="1">
        <f t="array" ref="AD28">INDEX('msci-indices'!D:D,MATCH($L28,'msci-indices'!$B:$B)-2)</f>
        <v>858.531702</v>
      </c>
      <c r="AE28" s="23">
        <f t="shared" si="28"/>
        <v>187162.61794614038</v>
      </c>
      <c r="AF28" s="23" cm="1">
        <f t="array" ref="AF28">INDEX('msci-indices'!C:C,MATCH($L28,'msci-indices'!$B:$B)+1)</f>
        <v>865.80589099999997</v>
      </c>
      <c r="AG28" s="23" cm="1">
        <f t="array" ref="AG28">INDEX('msci-indices'!D:D,MATCH($L28,'msci-indices'!$B:$B)+1)</f>
        <v>813.09506399999998</v>
      </c>
      <c r="AH28" s="23">
        <f t="shared" si="5"/>
        <v>116.97663621633774</v>
      </c>
      <c r="AI28" s="23">
        <f t="shared" si="6"/>
        <v>177221.91411850631</v>
      </c>
      <c r="AJ28" s="23">
        <f t="shared" si="29"/>
        <v>163912.60878748173</v>
      </c>
      <c r="AK28" s="23">
        <f t="shared" si="7"/>
        <v>13309.305331024574</v>
      </c>
      <c r="AL28" s="23">
        <f>AJ28*(_xlfn.XLOOKUP(Q_end,cpi!A:A,cpi!B:B)/BH28)</f>
        <v>236001.53722933936</v>
      </c>
      <c r="AM28" s="23" cm="1">
        <f t="array" ref="AM28">SUMPRODUCT($AA$3:AA28,_xlfn.SORTBY($BH$3:BH28,_xlfn.SEQUENCE(ROWS($BH$3:BH28)),-1)/$BH$3)</f>
        <v>188611.1859847939</v>
      </c>
      <c r="AN28" s="23">
        <f t="shared" si="30"/>
        <v>-11389.2718662876</v>
      </c>
      <c r="AO28" s="23">
        <f t="shared" si="8"/>
        <v>0</v>
      </c>
      <c r="AP28" s="23">
        <f t="shared" si="31"/>
        <v>177221.91411850631</v>
      </c>
      <c r="AQ28" s="23"/>
      <c r="AR28" s="11">
        <f>IF($B$10="3BR_H",
INDEX('ns-combined'!$C:$D,MATCH($L28,'ns-combined'!$B:$B,0),MATCH(Council_Area,'ns-combined'!$C$1:$D$1,0))*1000,
INDEX('s-combined'!$C:$D,MATCH($L28,'s-combined'!$B:$B,0),MATCH(Council_Area,'s-combined'!$C$1:$D$1,0))*1000)</f>
        <v>485000</v>
      </c>
      <c r="AS28" s="23">
        <f t="shared" si="35"/>
        <v>21450</v>
      </c>
      <c r="AT28" s="11">
        <v>0</v>
      </c>
      <c r="AU28" s="23">
        <f t="shared" si="9"/>
        <v>9700</v>
      </c>
      <c r="AV28" s="23">
        <f t="shared" si="10"/>
        <v>1394.375</v>
      </c>
      <c r="AW28" s="23">
        <f>SUM($AV$3:AV28)</f>
        <v>31643.112499999999</v>
      </c>
      <c r="AX28" s="23">
        <f t="shared" si="32"/>
        <v>422206.88750000001</v>
      </c>
      <c r="AY28" s="23">
        <f t="shared" si="11"/>
        <v>1547.0000000000002</v>
      </c>
      <c r="AZ28" s="25">
        <f t="shared" si="12"/>
        <v>1.2758762886597941E-2</v>
      </c>
      <c r="BA28" s="25">
        <f t="shared" si="13"/>
        <v>0.35000000000000003</v>
      </c>
      <c r="BB28" s="26">
        <f>IF(MortgageRate="Discounted",_xlfn.XLOOKUP(L28,'mortgage-rates'!$A:$A,'mortgage-rates'!$E:$E)/100,_xlfn.XLOOKUP(L28,'mortgage-rates'!$A:$A,'mortgage-rates'!$D:$D)/100)</f>
        <v>6.13E-2</v>
      </c>
      <c r="BC28" s="11">
        <f t="shared" si="37"/>
        <v>232891.62872990881</v>
      </c>
      <c r="BD28" s="11">
        <f t="shared" si="14"/>
        <v>5245.6076976618042</v>
      </c>
      <c r="BE28" s="11">
        <f t="shared" si="15"/>
        <v>3569.0642102858528</v>
      </c>
      <c r="BF28" s="11">
        <f t="shared" si="36"/>
        <v>1676.5434873759514</v>
      </c>
      <c r="BG28" s="13">
        <f t="shared" si="16"/>
        <v>6792.6076976618042</v>
      </c>
      <c r="BH28" s="23">
        <f>INDEX(cpi!B:B,MATCH($L28,cpi!A:A))</f>
        <v>100.5</v>
      </c>
      <c r="BI28" s="23">
        <f t="shared" si="17"/>
        <v>118.79432624113475</v>
      </c>
      <c r="BJ28" s="23">
        <f t="shared" si="18"/>
        <v>121.02422951783765</v>
      </c>
      <c r="BK28" s="23">
        <f t="shared" si="19"/>
        <v>120.41856784515979</v>
      </c>
      <c r="BL28" s="23">
        <f t="shared" si="20"/>
        <v>120.8425310160343</v>
      </c>
      <c r="BM28" s="23">
        <f t="shared" si="21"/>
        <v>208.42229116804543</v>
      </c>
      <c r="BN28" s="23">
        <f t="shared" si="22"/>
        <v>146.96969696969697</v>
      </c>
      <c r="BO28">
        <f t="shared" si="23"/>
        <v>131.27252128829659</v>
      </c>
    </row>
    <row r="29" spans="1:67" x14ac:dyDescent="0.25">
      <c r="A29" t="s">
        <v>347</v>
      </c>
      <c r="B29" s="4">
        <v>5.0000000000000001E-3</v>
      </c>
      <c r="C29" s="4">
        <v>5.0000000000000001E-3</v>
      </c>
      <c r="L29" s="1">
        <f t="shared" si="33"/>
        <v>41153</v>
      </c>
      <c r="M29" s="11">
        <f t="shared" si="0"/>
        <v>192366.30305325185</v>
      </c>
      <c r="N29" s="11">
        <f t="shared" si="24"/>
        <v>183886.80225746715</v>
      </c>
      <c r="O29" s="8">
        <f t="shared" si="25"/>
        <v>1.0461126121705691</v>
      </c>
      <c r="P29" s="8">
        <f t="shared" si="1"/>
        <v>0.67881245651881117</v>
      </c>
      <c r="Q29">
        <v>27</v>
      </c>
      <c r="R29">
        <f t="shared" si="2"/>
        <v>92</v>
      </c>
      <c r="S29" s="23"/>
      <c r="T29" s="23">
        <f>IF($B$10="3BR_H",
INDEX('3BR_H-processed'!$C:$D,MATCH($L29,'3BR_H-processed'!$B:$B,0),MATCH(Council_Area,'3BR_H-processed'!$C$1:$D$1,0)),
INDEX('2BR_F-processed'!$C:$D,MATCH($L29,'2BR_F-processed'!$B:$B,0),MATCH(Council_Area,'2BR_F-processed'!$C$1:$D$1,0)))</f>
        <v>340</v>
      </c>
      <c r="U29" s="23">
        <f t="shared" si="26"/>
        <v>340</v>
      </c>
      <c r="V29" s="23">
        <f t="shared" si="34"/>
        <v>4468.5714285714284</v>
      </c>
      <c r="W29" s="23">
        <f>$B$53/4*BH29/_xlfn.XLOOKUP(Q_end,cpi!A:A,cpi!B:B)</f>
        <v>140.42847270214239</v>
      </c>
      <c r="X29" s="23">
        <f t="shared" si="3"/>
        <v>4608.9999012735707</v>
      </c>
      <c r="Y29" s="23">
        <f t="shared" si="4"/>
        <v>2180.7987493141654</v>
      </c>
      <c r="Z29" s="23">
        <f t="shared" si="27"/>
        <v>0</v>
      </c>
      <c r="AA29" s="23" cm="1">
        <f t="array" ref="AA29">(Y29+Z29)*eff_invest</f>
        <v>2180.7987493141654</v>
      </c>
      <c r="AB29" s="23">
        <f>AA29*(_xlfn.XLOOKUP(Q_end,cpi!A:A,cpi!B:B)/BH29)</f>
        <v>3105.9210534031467</v>
      </c>
      <c r="AC29" s="23" cm="1">
        <f t="array" ref="AC29">INDEX('msci-indices'!C:C,MATCH($L29,'msci-indices'!$B:$B)-2)</f>
        <v>865.80589099999997</v>
      </c>
      <c r="AD29" s="23" cm="1">
        <f t="array" ref="AD29">INDEX('msci-indices'!D:D,MATCH($L29,'msci-indices'!$B:$B)-2)</f>
        <v>813.09506399999998</v>
      </c>
      <c r="AE29" s="23">
        <f t="shared" si="28"/>
        <v>179402.71286782046</v>
      </c>
      <c r="AF29" s="23" cm="1">
        <f t="array" ref="AF29">INDEX('msci-indices'!C:C,MATCH($L29,'msci-indices'!$B:$B)+1)</f>
        <v>923.89950299999998</v>
      </c>
      <c r="AG29" s="23" cm="1">
        <f t="array" ref="AG29">INDEX('msci-indices'!D:D,MATCH($L29,'msci-indices'!$B:$B)+1)</f>
        <v>883.33647499999995</v>
      </c>
      <c r="AH29" s="23">
        <f t="shared" si="5"/>
        <v>112.12669554238779</v>
      </c>
      <c r="AI29" s="23">
        <f t="shared" si="6"/>
        <v>192366.30305325185</v>
      </c>
      <c r="AJ29" s="23">
        <f t="shared" si="29"/>
        <v>166093.40753679589</v>
      </c>
      <c r="AK29" s="23">
        <f t="shared" si="7"/>
        <v>26272.895516455959</v>
      </c>
      <c r="AL29" s="23">
        <f>AJ29*(_xlfn.XLOOKUP(Q_end,cpi!A:A,cpi!B:B)/BH29)</f>
        <v>236552.32352927522</v>
      </c>
      <c r="AM29" s="23" cm="1">
        <f t="array" ref="AM29">SUMPRODUCT($AA$3:AA29,_xlfn.SORTBY($BH$3:BH29,_xlfn.SEQUENCE(ROWS($BH$3:BH29)),-1)/$BH$3)</f>
        <v>192517.48033105111</v>
      </c>
      <c r="AN29" s="23">
        <f t="shared" si="30"/>
        <v>-151.17727779925917</v>
      </c>
      <c r="AO29" s="23">
        <f t="shared" si="8"/>
        <v>0</v>
      </c>
      <c r="AP29" s="23">
        <f t="shared" si="31"/>
        <v>192366.30305325185</v>
      </c>
      <c r="AQ29" s="23"/>
      <c r="AR29" s="11">
        <f>IF($B$10="3BR_H",
INDEX('ns-combined'!$C:$D,MATCH($L29,'ns-combined'!$B:$B,0),MATCH(Council_Area,'ns-combined'!$C$1:$D$1,0))*1000,
INDEX('s-combined'!$C:$D,MATCH($L29,'s-combined'!$B:$B,0),MATCH(Council_Area,'s-combined'!$C$1:$D$1,0))*1000)</f>
        <v>480000</v>
      </c>
      <c r="AS29" s="23">
        <f t="shared" si="35"/>
        <v>22275</v>
      </c>
      <c r="AT29" s="11">
        <v>0</v>
      </c>
      <c r="AU29" s="23">
        <f t="shared" si="9"/>
        <v>9600</v>
      </c>
      <c r="AV29" s="23">
        <f t="shared" si="10"/>
        <v>1380</v>
      </c>
      <c r="AW29" s="23">
        <f>SUM($AV$3:AV29)</f>
        <v>33023.112500000003</v>
      </c>
      <c r="AX29" s="23">
        <f t="shared" si="32"/>
        <v>415101.88750000001</v>
      </c>
      <c r="AY29" s="23">
        <f t="shared" si="11"/>
        <v>1564</v>
      </c>
      <c r="AZ29" s="25">
        <f t="shared" si="12"/>
        <v>1.3033333333333333E-2</v>
      </c>
      <c r="BA29" s="25">
        <f t="shared" si="13"/>
        <v>0.35000000000000003</v>
      </c>
      <c r="BB29" s="26">
        <f>IF(MortgageRate="Discounted",_xlfn.XLOOKUP(L29,'mortgage-rates'!$A:$A,'mortgage-rates'!$E:$E)/100,_xlfn.XLOOKUP(L29,'mortgage-rates'!$A:$A,'mortgage-rates'!$D:$D)/100)</f>
        <v>6.08E-2</v>
      </c>
      <c r="BC29" s="11">
        <f t="shared" si="37"/>
        <v>231215.08524253286</v>
      </c>
      <c r="BD29" s="11">
        <f t="shared" si="14"/>
        <v>5225.7986505877361</v>
      </c>
      <c r="BE29" s="11">
        <f t="shared" si="15"/>
        <v>3514.4692956864997</v>
      </c>
      <c r="BF29" s="11">
        <f t="shared" si="36"/>
        <v>1711.3293549012365</v>
      </c>
      <c r="BG29" s="13">
        <f t="shared" si="16"/>
        <v>6789.7986505877361</v>
      </c>
      <c r="BH29" s="23">
        <f>INDEX(cpi!B:B,MATCH($L29,cpi!A:A))</f>
        <v>101.6</v>
      </c>
      <c r="BI29" s="23">
        <f t="shared" si="17"/>
        <v>120.09456264775415</v>
      </c>
      <c r="BJ29" s="23">
        <f t="shared" si="18"/>
        <v>114.69456564776658</v>
      </c>
      <c r="BK29" s="23">
        <f t="shared" si="19"/>
        <v>114.04557676875227</v>
      </c>
      <c r="BL29" s="23">
        <f t="shared" si="20"/>
        <v>114.49986898406229</v>
      </c>
      <c r="BM29" s="23">
        <f t="shared" si="21"/>
        <v>199.78094380168505</v>
      </c>
      <c r="BN29" s="23">
        <f t="shared" si="22"/>
        <v>145.45454545454547</v>
      </c>
      <c r="BO29">
        <f t="shared" si="23"/>
        <v>129.06343543165397</v>
      </c>
    </row>
    <row r="30" spans="1:67" x14ac:dyDescent="0.25">
      <c r="L30" s="1">
        <f t="shared" si="33"/>
        <v>41244</v>
      </c>
      <c r="M30" s="11">
        <f t="shared" si="0"/>
        <v>201826.42193909769</v>
      </c>
      <c r="N30" s="11">
        <f t="shared" si="24"/>
        <v>210752.63161236839</v>
      </c>
      <c r="O30" s="8">
        <f t="shared" si="25"/>
        <v>0.95764603457152353</v>
      </c>
      <c r="P30" s="8">
        <f t="shared" si="1"/>
        <v>0.69480020084975858</v>
      </c>
      <c r="Q30">
        <v>28</v>
      </c>
      <c r="R30">
        <f t="shared" si="2"/>
        <v>92</v>
      </c>
      <c r="S30" s="23"/>
      <c r="T30" s="23">
        <f>IF($B$10="3BR_H",
INDEX('3BR_H-processed'!$C:$D,MATCH($L30,'3BR_H-processed'!$B:$B,0),MATCH(Council_Area,'3BR_H-processed'!$C$1:$D$1,0)),
INDEX('2BR_F-processed'!$C:$D,MATCH($L30,'2BR_F-processed'!$B:$B,0),MATCH(Council_Area,'2BR_F-processed'!$C$1:$D$1,0)))</f>
        <v>340</v>
      </c>
      <c r="U30" s="23">
        <f t="shared" si="26"/>
        <v>340</v>
      </c>
      <c r="V30" s="23">
        <f t="shared" si="34"/>
        <v>4468.5714285714284</v>
      </c>
      <c r="W30" s="23">
        <f>$B$53/4*BH30/_xlfn.XLOOKUP(Q_end,cpi!A:A,cpi!B:B)</f>
        <v>140.98134070490673</v>
      </c>
      <c r="X30" s="23">
        <f t="shared" si="3"/>
        <v>4609.5527692763353</v>
      </c>
      <c r="Y30" s="23">
        <f t="shared" si="4"/>
        <v>2024.8045087421988</v>
      </c>
      <c r="Z30" s="23">
        <f t="shared" si="27"/>
        <v>0</v>
      </c>
      <c r="AA30" s="23" cm="1">
        <f t="array" ref="AA30">(Y30+Z30)*eff_invest</f>
        <v>2024.8045087421988</v>
      </c>
      <c r="AB30" s="23">
        <f>AA30*(_xlfn.XLOOKUP(Q_end,cpi!A:A,cpi!B:B)/BH30)</f>
        <v>2872.4432589705502</v>
      </c>
      <c r="AC30" s="23" cm="1">
        <f t="array" ref="AC30">INDEX('msci-indices'!C:C,MATCH($L30,'msci-indices'!$B:$B)-2)</f>
        <v>923.89950299999998</v>
      </c>
      <c r="AD30" s="23" cm="1">
        <f t="array" ref="AD30">INDEX('msci-indices'!D:D,MATCH($L30,'msci-indices'!$B:$B)-2)</f>
        <v>883.33647499999995</v>
      </c>
      <c r="AE30" s="23">
        <f t="shared" si="28"/>
        <v>194391.10756199405</v>
      </c>
      <c r="AF30" s="23" cm="1">
        <f t="array" ref="AF30">INDEX('msci-indices'!C:C,MATCH($L30,'msci-indices'!$B:$B)+1)</f>
        <v>948.15110700000002</v>
      </c>
      <c r="AG30" s="23" cm="1">
        <f t="array" ref="AG30">INDEX('msci-indices'!D:D,MATCH($L30,'msci-indices'!$B:$B)+1)</f>
        <v>943.69728799999996</v>
      </c>
      <c r="AH30" s="23">
        <f t="shared" si="5"/>
        <v>121.49444222624629</v>
      </c>
      <c r="AI30" s="23">
        <f t="shared" si="6"/>
        <v>201826.42193909769</v>
      </c>
      <c r="AJ30" s="23">
        <f t="shared" si="29"/>
        <v>168118.21204553809</v>
      </c>
      <c r="AK30" s="23">
        <f t="shared" si="7"/>
        <v>33708.2098935596</v>
      </c>
      <c r="AL30" s="23">
        <f>AJ30*(_xlfn.XLOOKUP(Q_end,cpi!A:A,cpi!B:B)/BH30)</f>
        <v>238497.11061754273</v>
      </c>
      <c r="AM30" s="23" cm="1">
        <f t="array" ref="AM30">SUMPRODUCT($AA$3:AA30,_xlfn.SORTBY($BH$3:BH30,_xlfn.SEQUENCE(ROWS($BH$3:BH30)),-1)/$BH$3)</f>
        <v>195557.71001649147</v>
      </c>
      <c r="AN30" s="23">
        <f t="shared" si="30"/>
        <v>6268.7119226062205</v>
      </c>
      <c r="AO30" s="23">
        <f t="shared" si="8"/>
        <v>0</v>
      </c>
      <c r="AP30" s="23">
        <f t="shared" si="31"/>
        <v>201826.42193909769</v>
      </c>
      <c r="AQ30" s="23"/>
      <c r="AR30" s="11">
        <f>IF($B$10="3BR_H",
INDEX('ns-combined'!$C:$D,MATCH($L30,'ns-combined'!$B:$B,0),MATCH(Council_Area,'ns-combined'!$C$1:$D$1,0))*1000,
INDEX('s-combined'!$C:$D,MATCH($L30,'s-combined'!$B:$B,0),MATCH(Council_Area,'s-combined'!$C$1:$D$1,0))*1000)</f>
        <v>508000</v>
      </c>
      <c r="AS30" s="23">
        <f t="shared" si="35"/>
        <v>23100</v>
      </c>
      <c r="AT30" s="11">
        <v>0</v>
      </c>
      <c r="AU30" s="23">
        <f t="shared" si="9"/>
        <v>10160</v>
      </c>
      <c r="AV30" s="23">
        <f t="shared" si="10"/>
        <v>1460.5</v>
      </c>
      <c r="AW30" s="23">
        <f>SUM($AV$3:AV30)</f>
        <v>34483.612500000003</v>
      </c>
      <c r="AX30" s="23">
        <f t="shared" si="32"/>
        <v>440256.38750000001</v>
      </c>
      <c r="AY30" s="23">
        <f t="shared" si="11"/>
        <v>1564</v>
      </c>
      <c r="AZ30" s="25">
        <f t="shared" si="12"/>
        <v>1.2314960629921259E-2</v>
      </c>
      <c r="BA30" s="25">
        <f t="shared" si="13"/>
        <v>0.35000000000000003</v>
      </c>
      <c r="BB30" s="26">
        <f>IF(MortgageRate="Discounted",_xlfn.XLOOKUP(L30,'mortgage-rates'!$A:$A,'mortgage-rates'!$E:$E)/100,_xlfn.XLOOKUP(L30,'mortgage-rates'!$A:$A,'mortgage-rates'!$D:$D)/100)</f>
        <v>5.6799999999999996E-2</v>
      </c>
      <c r="BC30" s="11">
        <f t="shared" si="37"/>
        <v>229503.75588763162</v>
      </c>
      <c r="BD30" s="11">
        <f t="shared" si="14"/>
        <v>5070.3572780185341</v>
      </c>
      <c r="BE30" s="11">
        <f t="shared" si="15"/>
        <v>3258.9533336043687</v>
      </c>
      <c r="BF30" s="11">
        <f t="shared" si="36"/>
        <v>1811.4039444141654</v>
      </c>
      <c r="BG30" s="13">
        <f t="shared" si="16"/>
        <v>6634.3572780185341</v>
      </c>
      <c r="BH30" s="23">
        <f>INDEX(cpi!B:B,MATCH($L30,cpi!A:A))</f>
        <v>102</v>
      </c>
      <c r="BI30" s="23">
        <f t="shared" si="17"/>
        <v>120.56737588652483</v>
      </c>
      <c r="BJ30" s="23">
        <f t="shared" si="18"/>
        <v>122.39031092336657</v>
      </c>
      <c r="BK30" s="23">
        <f t="shared" si="19"/>
        <v>123.89771163615318</v>
      </c>
      <c r="BL30" s="23">
        <f t="shared" si="20"/>
        <v>122.84253113720254</v>
      </c>
      <c r="BM30" s="23">
        <f t="shared" si="21"/>
        <v>216.47185995455487</v>
      </c>
      <c r="BN30" s="23">
        <f t="shared" si="22"/>
        <v>153.93939393939394</v>
      </c>
      <c r="BO30">
        <f t="shared" si="23"/>
        <v>136.88446993987586</v>
      </c>
    </row>
    <row r="31" spans="1:67" x14ac:dyDescent="0.25">
      <c r="A31" s="6" t="s">
        <v>22</v>
      </c>
      <c r="L31" s="1">
        <f t="shared" si="33"/>
        <v>41334</v>
      </c>
      <c r="M31" s="11">
        <f t="shared" si="0"/>
        <v>220253.09980844148</v>
      </c>
      <c r="N31" s="11">
        <f t="shared" si="24"/>
        <v>188781.78555678256</v>
      </c>
      <c r="O31" s="8">
        <f t="shared" si="25"/>
        <v>1.1667073661732734</v>
      </c>
      <c r="P31" s="8">
        <f t="shared" si="1"/>
        <v>0.69940688059473954</v>
      </c>
      <c r="Q31">
        <v>29</v>
      </c>
      <c r="R31">
        <f t="shared" si="2"/>
        <v>90</v>
      </c>
      <c r="S31" s="23"/>
      <c r="T31" s="23">
        <f>IF($B$10="3BR_H",
INDEX('3BR_H-processed'!$C:$D,MATCH($L31,'3BR_H-processed'!$B:$B,0),MATCH(Council_Area,'3BR_H-processed'!$C$1:$D$1,0)),
INDEX('2BR_F-processed'!$C:$D,MATCH($L31,'2BR_F-processed'!$B:$B,0),MATCH(Council_Area,'2BR_F-processed'!$C$1:$D$1,0)))</f>
        <v>349</v>
      </c>
      <c r="U31" s="23">
        <f t="shared" si="26"/>
        <v>349</v>
      </c>
      <c r="V31" s="23">
        <f t="shared" si="34"/>
        <v>4487.1428571428569</v>
      </c>
      <c r="W31" s="23">
        <f>$B$53/4*BH31/_xlfn.XLOOKUP(Q_end,cpi!A:A,cpi!B:B)</f>
        <v>141.53420870767104</v>
      </c>
      <c r="X31" s="23">
        <f t="shared" si="3"/>
        <v>4628.6770658505284</v>
      </c>
      <c r="Y31" s="23">
        <f t="shared" si="4"/>
        <v>1989.3262656502138</v>
      </c>
      <c r="Z31" s="23">
        <f t="shared" si="27"/>
        <v>0</v>
      </c>
      <c r="AA31" s="23" cm="1">
        <f t="array" ref="AA31">(Y31+Z31)*eff_invest</f>
        <v>1989.3262656502138</v>
      </c>
      <c r="AB31" s="23">
        <f>AA31*(_xlfn.XLOOKUP(Q_end,cpi!A:A,cpi!B:B)/BH31)</f>
        <v>2811.0889710897059</v>
      </c>
      <c r="AC31" s="23" cm="1">
        <f t="array" ref="AC31">INDEX('msci-indices'!C:C,MATCH($L31,'msci-indices'!$B:$B)-2)</f>
        <v>948.15110700000002</v>
      </c>
      <c r="AD31" s="23" cm="1">
        <f t="array" ref="AD31">INDEX('msci-indices'!D:D,MATCH($L31,'msci-indices'!$B:$B)-2)</f>
        <v>943.69728799999996</v>
      </c>
      <c r="AE31" s="23">
        <f t="shared" si="28"/>
        <v>203815.74820474791</v>
      </c>
      <c r="AF31" s="23" cm="1">
        <f t="array" ref="AF31">INDEX('msci-indices'!C:C,MATCH($L31,'msci-indices'!$B:$B)+1)</f>
        <v>1024.705295</v>
      </c>
      <c r="AG31" s="23" cm="1">
        <f t="array" ref="AG31">INDEX('msci-indices'!D:D,MATCH($L31,'msci-indices'!$B:$B)+1)</f>
        <v>1021.5672520000001</v>
      </c>
      <c r="AH31" s="23">
        <f t="shared" si="5"/>
        <v>127.38484262796744</v>
      </c>
      <c r="AI31" s="23">
        <f t="shared" si="6"/>
        <v>220253.09980844148</v>
      </c>
      <c r="AJ31" s="23">
        <f t="shared" si="29"/>
        <v>170107.53831118831</v>
      </c>
      <c r="AK31" s="23">
        <f t="shared" si="7"/>
        <v>50145.561497253162</v>
      </c>
      <c r="AL31" s="23">
        <f>AJ31*(_xlfn.XLOOKUP(Q_end,cpi!A:A,cpi!B:B)/BH31)</f>
        <v>240376.57025028268</v>
      </c>
      <c r="AM31" s="23" cm="1">
        <f t="array" ref="AM31">SUMPRODUCT($AA$3:AA31,_xlfn.SORTBY($BH$3:BH31,_xlfn.SEQUENCE(ROWS($BH$3:BH31)),-1)/$BH$3)</f>
        <v>198567.92825037631</v>
      </c>
      <c r="AN31" s="23">
        <f t="shared" si="30"/>
        <v>21685.171558065165</v>
      </c>
      <c r="AO31" s="23">
        <f t="shared" si="8"/>
        <v>0</v>
      </c>
      <c r="AP31" s="23">
        <f t="shared" si="31"/>
        <v>220253.09980844148</v>
      </c>
      <c r="AQ31" s="23"/>
      <c r="AR31" s="11">
        <f>IF($B$10="3BR_H",
INDEX('ns-combined'!$C:$D,MATCH($L31,'ns-combined'!$B:$B,0),MATCH(Council_Area,'ns-combined'!$C$1:$D$1,0))*1000,
INDEX('s-combined'!$C:$D,MATCH($L31,'s-combined'!$B:$B,0),MATCH(Council_Area,'s-combined'!$C$1:$D$1,0))*1000)</f>
        <v>486000</v>
      </c>
      <c r="AS31" s="23">
        <f t="shared" si="35"/>
        <v>23925</v>
      </c>
      <c r="AT31" s="11">
        <v>0</v>
      </c>
      <c r="AU31" s="23">
        <f t="shared" si="9"/>
        <v>9720</v>
      </c>
      <c r="AV31" s="23">
        <f t="shared" si="10"/>
        <v>1397.25</v>
      </c>
      <c r="AW31" s="23">
        <f>SUM($AV$3:AV31)</f>
        <v>35880.862500000003</v>
      </c>
      <c r="AX31" s="23">
        <f t="shared" si="32"/>
        <v>416474.13750000001</v>
      </c>
      <c r="AY31" s="23">
        <f t="shared" si="11"/>
        <v>1570.5</v>
      </c>
      <c r="AZ31" s="25">
        <f t="shared" si="12"/>
        <v>1.2925925925925926E-2</v>
      </c>
      <c r="BA31" s="25">
        <f t="shared" si="13"/>
        <v>0.35000000000000003</v>
      </c>
      <c r="BB31" s="26">
        <f>IF(MortgageRate="Discounted",_xlfn.XLOOKUP(L31,'mortgage-rates'!$A:$A,'mortgage-rates'!$E:$E)/100,_xlfn.XLOOKUP(L31,'mortgage-rates'!$A:$A,'mortgage-rates'!$D:$D)/100)</f>
        <v>5.62E-2</v>
      </c>
      <c r="BC31" s="11">
        <f t="shared" si="37"/>
        <v>227692.35194321745</v>
      </c>
      <c r="BD31" s="11">
        <f t="shared" si="14"/>
        <v>5047.5033315007422</v>
      </c>
      <c r="BE31" s="11">
        <f t="shared" si="15"/>
        <v>3199.077544802205</v>
      </c>
      <c r="BF31" s="11">
        <f t="shared" si="36"/>
        <v>1848.4257866985372</v>
      </c>
      <c r="BG31" s="13">
        <f t="shared" si="16"/>
        <v>6618.0033315007422</v>
      </c>
      <c r="BH31" s="23">
        <f>INDEX(cpi!B:B,MATCH($L31,cpi!A:A))</f>
        <v>102.4</v>
      </c>
      <c r="BI31" s="23">
        <f t="shared" si="17"/>
        <v>121.04018912529551</v>
      </c>
      <c r="BJ31" s="23">
        <f t="shared" si="18"/>
        <v>125.60295617786929</v>
      </c>
      <c r="BK31" s="23">
        <f t="shared" si="19"/>
        <v>132.36398333992017</v>
      </c>
      <c r="BL31" s="23">
        <f t="shared" si="20"/>
        <v>127.63126432648455</v>
      </c>
      <c r="BM31" s="23">
        <f t="shared" si="21"/>
        <v>226.96703905470781</v>
      </c>
      <c r="BN31" s="23">
        <f t="shared" si="22"/>
        <v>147.27272727272728</v>
      </c>
      <c r="BO31">
        <f t="shared" si="23"/>
        <v>129.49009525808296</v>
      </c>
    </row>
    <row r="32" spans="1:67" x14ac:dyDescent="0.25">
      <c r="A32" t="s">
        <v>17</v>
      </c>
      <c r="B32" s="9">
        <v>7.0000000000000007E-2</v>
      </c>
      <c r="C32" s="9">
        <v>7.0000000000000007E-2</v>
      </c>
      <c r="L32" s="1">
        <f t="shared" si="33"/>
        <v>41426</v>
      </c>
      <c r="M32" s="11">
        <f t="shared" si="0"/>
        <v>220688.64686611856</v>
      </c>
      <c r="N32" s="11">
        <f t="shared" si="24"/>
        <v>202087.71134348109</v>
      </c>
      <c r="O32" s="8">
        <f t="shared" si="25"/>
        <v>1.0920438724303336</v>
      </c>
      <c r="P32" s="8">
        <f t="shared" si="1"/>
        <v>0.71568167134031357</v>
      </c>
      <c r="Q32">
        <v>30</v>
      </c>
      <c r="R32">
        <f t="shared" si="2"/>
        <v>91</v>
      </c>
      <c r="S32" s="23"/>
      <c r="T32" s="23">
        <f>IF($B$10="3BR_H",
INDEX('3BR_H-processed'!$C:$D,MATCH($L32,'3BR_H-processed'!$B:$B,0),MATCH(Council_Area,'3BR_H-processed'!$C$1:$D$1,0)),
INDEX('2BR_F-processed'!$C:$D,MATCH($L32,'2BR_F-processed'!$B:$B,0),MATCH(Council_Area,'2BR_F-processed'!$C$1:$D$1,0)))</f>
        <v>340</v>
      </c>
      <c r="U32" s="23">
        <f t="shared" si="26"/>
        <v>349</v>
      </c>
      <c r="V32" s="23">
        <f t="shared" si="34"/>
        <v>4537</v>
      </c>
      <c r="W32" s="23">
        <f>$B$53/4*BH32/_xlfn.XLOOKUP(Q_end,cpi!A:A,cpi!B:B)</f>
        <v>142.22529371112648</v>
      </c>
      <c r="X32" s="23">
        <f t="shared" si="3"/>
        <v>4679.2252937111261</v>
      </c>
      <c r="Y32" s="23">
        <f>BG32-X32</f>
        <v>1858.9123743221653</v>
      </c>
      <c r="Z32" s="23">
        <f t="shared" si="27"/>
        <v>0</v>
      </c>
      <c r="AA32" s="23" cm="1">
        <f t="array" ref="AA32">(Y32+Z32)*eff_invest</f>
        <v>1858.9123743221653</v>
      </c>
      <c r="AB32" s="23">
        <f>AA32*(_xlfn.XLOOKUP(Q_end,cpi!A:A,cpi!B:B)/BH32)</f>
        <v>2614.0390725404982</v>
      </c>
      <c r="AC32" s="23" cm="1">
        <f t="array" ref="AC32">INDEX('msci-indices'!C:C,MATCH($L32,'msci-indices'!$B:$B)-2)</f>
        <v>1024.705295</v>
      </c>
      <c r="AD32" s="23" cm="1">
        <f t="array" ref="AD32">INDEX('msci-indices'!D:D,MATCH($L32,'msci-indices'!$B:$B)-2)</f>
        <v>1021.5672520000001</v>
      </c>
      <c r="AE32" s="23">
        <f t="shared" si="28"/>
        <v>222112.01218276363</v>
      </c>
      <c r="AF32" s="23" cm="1">
        <f t="array" ref="AF32">INDEX('msci-indices'!C:C,MATCH($L32,'msci-indices'!$B:$B)+1)</f>
        <v>1030.5183939999999</v>
      </c>
      <c r="AG32" s="23" cm="1">
        <f t="array" ref="AG32">INDEX('msci-indices'!D:D,MATCH($L32,'msci-indices'!$B:$B)+1)</f>
        <v>988.35138400000005</v>
      </c>
      <c r="AH32" s="23">
        <f t="shared" si="5"/>
        <v>138.82000761422728</v>
      </c>
      <c r="AI32" s="23">
        <f t="shared" si="6"/>
        <v>220688.64686611856</v>
      </c>
      <c r="AJ32" s="23">
        <f t="shared" si="29"/>
        <v>171966.45068551047</v>
      </c>
      <c r="AK32" s="23">
        <f t="shared" si="7"/>
        <v>48722.196180608094</v>
      </c>
      <c r="AL32" s="23">
        <f>AJ32*(_xlfn.XLOOKUP(Q_end,cpi!A:A,cpi!B:B)/BH32)</f>
        <v>241822.5987773893</v>
      </c>
      <c r="AM32" s="23" cm="1">
        <f t="array" ref="AM32">SUMPRODUCT($AA$3:AA32,_xlfn.SORTBY($BH$3:BH32,_xlfn.SEQUENCE(ROWS($BH$3:BH32)),-1)/$BH$3)</f>
        <v>201561.84068081251</v>
      </c>
      <c r="AN32" s="23">
        <f t="shared" si="30"/>
        <v>19126.80618530605</v>
      </c>
      <c r="AO32" s="23">
        <f t="shared" si="8"/>
        <v>0</v>
      </c>
      <c r="AP32" s="23">
        <f t="shared" si="31"/>
        <v>220688.64686611856</v>
      </c>
      <c r="AQ32" s="23"/>
      <c r="AR32" s="11">
        <f>IF($B$10="3BR_H",
INDEX('ns-combined'!$C:$D,MATCH($L32,'ns-combined'!$B:$B,0),MATCH(Council_Area,'ns-combined'!$C$1:$D$1,0))*1000,
INDEX('s-combined'!$C:$D,MATCH($L32,'s-combined'!$B:$B,0),MATCH(Council_Area,'s-combined'!$C$1:$D$1,0))*1000)</f>
        <v>500000</v>
      </c>
      <c r="AS32" s="23">
        <f t="shared" si="35"/>
        <v>24750</v>
      </c>
      <c r="AT32" s="11">
        <v>0</v>
      </c>
      <c r="AU32" s="23">
        <f t="shared" si="9"/>
        <v>10000</v>
      </c>
      <c r="AV32" s="23">
        <f t="shared" si="10"/>
        <v>1437.5</v>
      </c>
      <c r="AW32" s="23">
        <f>SUM($AV$3:AV32)</f>
        <v>37318.362500000003</v>
      </c>
      <c r="AX32" s="23">
        <f t="shared" si="32"/>
        <v>427931.63750000001</v>
      </c>
      <c r="AY32" s="23">
        <f t="shared" si="11"/>
        <v>1587.95</v>
      </c>
      <c r="AZ32" s="25">
        <f t="shared" si="12"/>
        <v>1.2703600000000001E-2</v>
      </c>
      <c r="BA32" s="25">
        <f t="shared" si="13"/>
        <v>0.35000000000000003</v>
      </c>
      <c r="BB32" s="26">
        <f>IF(MortgageRate="Discounted",_xlfn.XLOOKUP(L32,'mortgage-rates'!$A:$A,'mortgage-rates'!$E:$E)/100,_xlfn.XLOOKUP(L32,'mortgage-rates'!$A:$A,'mortgage-rates'!$D:$D)/100)</f>
        <v>5.3600000000000002E-2</v>
      </c>
      <c r="BC32" s="11">
        <f t="shared" si="37"/>
        <v>225843.92615651892</v>
      </c>
      <c r="BD32" s="11">
        <f t="shared" si="14"/>
        <v>4950.1876680332916</v>
      </c>
      <c r="BE32" s="11">
        <f t="shared" si="15"/>
        <v>3026.3086104973536</v>
      </c>
      <c r="BF32" s="11">
        <f t="shared" si="36"/>
        <v>1923.879057535938</v>
      </c>
      <c r="BG32" s="13">
        <f t="shared" si="16"/>
        <v>6538.1376680332914</v>
      </c>
      <c r="BH32" s="23">
        <f>INDEX(cpi!B:B,MATCH($L32,cpi!A:A))</f>
        <v>102.9</v>
      </c>
      <c r="BI32" s="23">
        <f t="shared" si="17"/>
        <v>121.63120567375887</v>
      </c>
      <c r="BJ32" s="23">
        <f t="shared" si="18"/>
        <v>135.74420080608061</v>
      </c>
      <c r="BK32" s="23">
        <f t="shared" si="19"/>
        <v>143.28610714873224</v>
      </c>
      <c r="BL32" s="23">
        <f t="shared" si="20"/>
        <v>138.0067727088761</v>
      </c>
      <c r="BM32" s="23">
        <f t="shared" si="21"/>
        <v>247.34156309139752</v>
      </c>
      <c r="BN32" s="23">
        <f t="shared" si="22"/>
        <v>151.5151515151515</v>
      </c>
      <c r="BO32">
        <f t="shared" si="23"/>
        <v>133.05245995934723</v>
      </c>
    </row>
    <row r="33" spans="1:67" x14ac:dyDescent="0.25">
      <c r="A33" t="s">
        <v>19</v>
      </c>
      <c r="B33" s="9">
        <v>0.16</v>
      </c>
      <c r="C33" s="9">
        <v>0.16</v>
      </c>
      <c r="L33" s="1">
        <f t="shared" si="33"/>
        <v>41518</v>
      </c>
      <c r="M33" s="11">
        <f t="shared" si="0"/>
        <v>242464.05199129949</v>
      </c>
      <c r="N33" s="11">
        <f t="shared" si="24"/>
        <v>221291.59040101702</v>
      </c>
      <c r="O33" s="8">
        <f t="shared" si="25"/>
        <v>1.0956767564095611</v>
      </c>
      <c r="P33" s="8">
        <f t="shared" si="1"/>
        <v>0.73305335454505938</v>
      </c>
      <c r="Q33">
        <v>31</v>
      </c>
      <c r="R33">
        <f t="shared" si="2"/>
        <v>92</v>
      </c>
      <c r="S33" s="23"/>
      <c r="T33" s="23">
        <f>IF($B$10="3BR_H",
INDEX('3BR_H-processed'!$C:$D,MATCH($L33,'3BR_H-processed'!$B:$B,0),MATCH(Council_Area,'3BR_H-processed'!$C$1:$D$1,0)),
INDEX('2BR_F-processed'!$C:$D,MATCH($L33,'2BR_F-processed'!$B:$B,0),MATCH(Council_Area,'2BR_F-processed'!$C$1:$D$1,0)))</f>
        <v>345</v>
      </c>
      <c r="U33" s="23">
        <f t="shared" si="26"/>
        <v>349</v>
      </c>
      <c r="V33" s="23">
        <f t="shared" si="34"/>
        <v>4586.8571428571431</v>
      </c>
      <c r="W33" s="23">
        <f>$B$53/4*BH33/_xlfn.XLOOKUP(Q_end,cpi!A:A,cpi!B:B)</f>
        <v>143.60746371803734</v>
      </c>
      <c r="X33" s="23">
        <f t="shared" si="3"/>
        <v>4730.4646065751804</v>
      </c>
      <c r="Y33" s="23">
        <f t="shared" si="4"/>
        <v>1722.632671058801</v>
      </c>
      <c r="Z33" s="23">
        <f t="shared" si="27"/>
        <v>0</v>
      </c>
      <c r="AA33" s="23" cm="1">
        <f t="array" ref="AA33">(Y33+Z33)*eff_invest</f>
        <v>1722.632671058801</v>
      </c>
      <c r="AB33" s="23">
        <f>AA33*(_xlfn.XLOOKUP(Q_end,cpi!A:A,cpi!B:B)/BH33)</f>
        <v>2399.0851540154808</v>
      </c>
      <c r="AC33" s="23" cm="1">
        <f t="array" ref="AC33">INDEX('msci-indices'!C:C,MATCH($L33,'msci-indices'!$B:$B)-2)</f>
        <v>1030.5183939999999</v>
      </c>
      <c r="AD33" s="23" cm="1">
        <f t="array" ref="AD33">INDEX('msci-indices'!D:D,MATCH($L33,'msci-indices'!$B:$B)-2)</f>
        <v>988.35138400000005</v>
      </c>
      <c r="AE33" s="23">
        <f t="shared" si="28"/>
        <v>222411.27953717735</v>
      </c>
      <c r="AF33" s="23" cm="1">
        <f t="array" ref="AF33">INDEX('msci-indices'!C:C,MATCH($L33,'msci-indices'!$B:$B)+1)</f>
        <v>1119.437079</v>
      </c>
      <c r="AG33" s="23" cm="1">
        <f t="array" ref="AG33">INDEX('msci-indices'!D:D,MATCH($L33,'msci-indices'!$B:$B)+1)</f>
        <v>1088.458187</v>
      </c>
      <c r="AH33" s="23">
        <f t="shared" si="5"/>
        <v>139.00704971073586</v>
      </c>
      <c r="AI33" s="23">
        <f t="shared" si="6"/>
        <v>242464.05199129949</v>
      </c>
      <c r="AJ33" s="23">
        <f t="shared" si="29"/>
        <v>173689.08335656926</v>
      </c>
      <c r="AK33" s="23">
        <f t="shared" si="7"/>
        <v>68774.968634730234</v>
      </c>
      <c r="AL33" s="23">
        <f>AJ33*(_xlfn.XLOOKUP(Q_end,cpi!A:A,cpi!B:B)/BH33)</f>
        <v>241894.2286977437</v>
      </c>
      <c r="AM33" s="23" cm="1">
        <f t="array" ref="AM33">SUMPRODUCT($AA$3:AA33,_xlfn.SORTBY($BH$3:BH33,_xlfn.SEQUENCE(ROWS($BH$3:BH33)),-1)/$BH$3)</f>
        <v>204952.40794792937</v>
      </c>
      <c r="AN33" s="23">
        <f t="shared" si="30"/>
        <v>37511.644043370121</v>
      </c>
      <c r="AO33" s="23">
        <f t="shared" si="8"/>
        <v>0</v>
      </c>
      <c r="AP33" s="23">
        <f t="shared" si="31"/>
        <v>242464.05199129949</v>
      </c>
      <c r="AQ33" s="23"/>
      <c r="AR33" s="11">
        <f>IF($B$10="3BR_H",
INDEX('ns-combined'!$C:$D,MATCH($L33,'ns-combined'!$B:$B,0),MATCH(Council_Area,'ns-combined'!$C$1:$D$1,0))*1000,
INDEX('s-combined'!$C:$D,MATCH($L33,'s-combined'!$B:$B,0),MATCH(Council_Area,'s-combined'!$C$1:$D$1,0))*1000)</f>
        <v>520000</v>
      </c>
      <c r="AS33" s="23">
        <f t="shared" si="35"/>
        <v>25575</v>
      </c>
      <c r="AT33" s="11">
        <v>0</v>
      </c>
      <c r="AU33" s="23">
        <f t="shared" si="9"/>
        <v>10400</v>
      </c>
      <c r="AV33" s="23">
        <f t="shared" si="10"/>
        <v>1495</v>
      </c>
      <c r="AW33" s="23">
        <f>SUM($AV$3:AV33)</f>
        <v>38813.362500000003</v>
      </c>
      <c r="AX33" s="23">
        <f t="shared" si="32"/>
        <v>445211.63750000001</v>
      </c>
      <c r="AY33" s="23">
        <f t="shared" si="11"/>
        <v>1605.4000000000003</v>
      </c>
      <c r="AZ33" s="25">
        <f t="shared" si="12"/>
        <v>1.2349230769230772E-2</v>
      </c>
      <c r="BA33" s="25">
        <f t="shared" si="13"/>
        <v>0.35000000000000003</v>
      </c>
      <c r="BB33" s="26">
        <f>IF(MortgageRate="Discounted",_xlfn.XLOOKUP(L33,'mortgage-rates'!$A:$A,'mortgage-rates'!$E:$E)/100,_xlfn.XLOOKUP(L33,'mortgage-rates'!$A:$A,'mortgage-rates'!$D:$D)/100)</f>
        <v>5.0799999999999998E-2</v>
      </c>
      <c r="BC33" s="11">
        <f t="shared" si="37"/>
        <v>223920.04709898299</v>
      </c>
      <c r="BD33" s="11">
        <f t="shared" si="14"/>
        <v>4847.6972776339808</v>
      </c>
      <c r="BE33" s="11">
        <f t="shared" si="15"/>
        <v>2843.784598157084</v>
      </c>
      <c r="BF33" s="11">
        <f t="shared" si="36"/>
        <v>2003.9126794768968</v>
      </c>
      <c r="BG33" s="13">
        <f t="shared" si="16"/>
        <v>6453.0972776339813</v>
      </c>
      <c r="BH33" s="23">
        <f>INDEX(cpi!B:B,MATCH($L33,cpi!A:A))</f>
        <v>103.9</v>
      </c>
      <c r="BI33" s="23">
        <f t="shared" si="17"/>
        <v>122.81323877068559</v>
      </c>
      <c r="BJ33" s="23">
        <f t="shared" si="18"/>
        <v>136.51427048544301</v>
      </c>
      <c r="BK33" s="23">
        <f t="shared" si="19"/>
        <v>138.62721424474736</v>
      </c>
      <c r="BL33" s="23">
        <f t="shared" si="20"/>
        <v>137.14815361323431</v>
      </c>
      <c r="BM33" s="23">
        <f t="shared" si="21"/>
        <v>247.67482401905059</v>
      </c>
      <c r="BN33" s="23">
        <f t="shared" si="22"/>
        <v>157.57575757575756</v>
      </c>
      <c r="BO33">
        <f t="shared" si="23"/>
        <v>138.42515575143508</v>
      </c>
    </row>
    <row r="34" spans="1:67" x14ac:dyDescent="0.25">
      <c r="A34" t="s">
        <v>18</v>
      </c>
      <c r="B34" s="9">
        <v>7.0000000000000007E-2</v>
      </c>
      <c r="C34" s="9">
        <v>7.0000000000000007E-2</v>
      </c>
      <c r="L34" s="1">
        <f t="shared" si="33"/>
        <v>41609</v>
      </c>
      <c r="M34" s="11">
        <f t="shared" si="0"/>
        <v>260023.62012436442</v>
      </c>
      <c r="N34" s="11">
        <f t="shared" si="24"/>
        <v>261037.62808049392</v>
      </c>
      <c r="O34" s="8">
        <f t="shared" si="25"/>
        <v>0.99611547207356321</v>
      </c>
      <c r="P34" s="8">
        <f t="shared" si="1"/>
        <v>0.73240789829786201</v>
      </c>
      <c r="Q34">
        <v>32</v>
      </c>
      <c r="R34">
        <f t="shared" si="2"/>
        <v>92</v>
      </c>
      <c r="S34" s="23"/>
      <c r="T34" s="23">
        <f>IF($B$10="3BR_H",
INDEX('3BR_H-processed'!$C:$D,MATCH($L34,'3BR_H-processed'!$B:$B,0),MATCH(Council_Area,'3BR_H-processed'!$C$1:$D$1,0)),
INDEX('2BR_F-processed'!$C:$D,MATCH($L34,'2BR_F-processed'!$B:$B,0),MATCH(Council_Area,'2BR_F-processed'!$C$1:$D$1,0)))</f>
        <v>350</v>
      </c>
      <c r="U34" s="23">
        <f t="shared" si="26"/>
        <v>349</v>
      </c>
      <c r="V34" s="23">
        <f t="shared" si="34"/>
        <v>4586.8571428571431</v>
      </c>
      <c r="W34" s="23">
        <f>$B$53/4*BH34/_xlfn.XLOOKUP(Q_end,cpi!A:A,cpi!B:B)</f>
        <v>144.71319972356602</v>
      </c>
      <c r="X34" s="23">
        <f t="shared" si="3"/>
        <v>4731.5703425807087</v>
      </c>
      <c r="Y34" s="23">
        <f t="shared" si="4"/>
        <v>1728.7236460245758</v>
      </c>
      <c r="Z34" s="23">
        <f t="shared" si="27"/>
        <v>0</v>
      </c>
      <c r="AA34" s="23" cm="1">
        <f t="array" ref="AA34">(Y34+Z34)*eff_invest</f>
        <v>1728.7236460245758</v>
      </c>
      <c r="AB34" s="23">
        <f>AA34*(_xlfn.XLOOKUP(Q_end,cpi!A:A,cpi!B:B)/BH34)</f>
        <v>2389.1720303701632</v>
      </c>
      <c r="AC34" s="23" cm="1">
        <f t="array" ref="AC34">INDEX('msci-indices'!C:C,MATCH($L34,'msci-indices'!$B:$B)-2)</f>
        <v>1119.437079</v>
      </c>
      <c r="AD34" s="23" cm="1">
        <f t="array" ref="AD34">INDEX('msci-indices'!D:D,MATCH($L34,'msci-indices'!$B:$B)-2)</f>
        <v>1088.458187</v>
      </c>
      <c r="AE34" s="23">
        <f t="shared" si="28"/>
        <v>244192.77563732406</v>
      </c>
      <c r="AF34" s="23" cm="1">
        <f t="array" ref="AF34">INDEX('msci-indices'!C:C,MATCH($L34,'msci-indices'!$B:$B)+1)</f>
        <v>1208.107446</v>
      </c>
      <c r="AG34" s="23" cm="1">
        <f t="array" ref="AG34">INDEX('msci-indices'!D:D,MATCH($L34,'msci-indices'!$B:$B)+1)</f>
        <v>1124.7671330000001</v>
      </c>
      <c r="AH34" s="23">
        <f t="shared" si="5"/>
        <v>152.62048477332755</v>
      </c>
      <c r="AI34" s="23">
        <f t="shared" si="6"/>
        <v>260023.62012436442</v>
      </c>
      <c r="AJ34" s="23">
        <f t="shared" si="29"/>
        <v>175417.80700259382</v>
      </c>
      <c r="AK34" s="23">
        <f t="shared" si="7"/>
        <v>84605.813121770596</v>
      </c>
      <c r="AL34" s="23">
        <f>AJ34*(_xlfn.XLOOKUP(Q_end,cpi!A:A,cpi!B:B)/BH34)</f>
        <v>242435.11626815016</v>
      </c>
      <c r="AM34" s="23" cm="1">
        <f t="array" ref="AM34">SUMPRODUCT($AA$3:AA34,_xlfn.SORTBY($BH$3:BH34,_xlfn.SEQUENCE(ROWS($BH$3:BH34)),-1)/$BH$3)</f>
        <v>208150.22560235698</v>
      </c>
      <c r="AN34" s="23">
        <f t="shared" si="30"/>
        <v>51873.394522007438</v>
      </c>
      <c r="AO34" s="23">
        <f t="shared" si="8"/>
        <v>0</v>
      </c>
      <c r="AP34" s="23">
        <f t="shared" si="31"/>
        <v>260023.62012436442</v>
      </c>
      <c r="AQ34" s="23"/>
      <c r="AR34" s="11">
        <f>IF($B$10="3BR_H",
INDEX('ns-combined'!$C:$D,MATCH($L34,'ns-combined'!$B:$B,0),MATCH(Council_Area,'ns-combined'!$C$1:$D$1,0))*1000,
INDEX('s-combined'!$C:$D,MATCH($L34,'s-combined'!$B:$B,0),MATCH(Council_Area,'s-combined'!$C$1:$D$1,0))*1000)</f>
        <v>561000</v>
      </c>
      <c r="AS34" s="23">
        <f t="shared" si="35"/>
        <v>26400</v>
      </c>
      <c r="AT34" s="11">
        <v>0</v>
      </c>
      <c r="AU34" s="23">
        <f t="shared" si="9"/>
        <v>11220</v>
      </c>
      <c r="AV34" s="23">
        <f t="shared" si="10"/>
        <v>1612.875</v>
      </c>
      <c r="AW34" s="23">
        <f>SUM($AV$3:AV34)</f>
        <v>40426.237500000003</v>
      </c>
      <c r="AX34" s="23">
        <f t="shared" si="32"/>
        <v>482953.76250000001</v>
      </c>
      <c r="AY34" s="23">
        <f t="shared" si="11"/>
        <v>1605.4000000000003</v>
      </c>
      <c r="AZ34" s="25">
        <f t="shared" si="12"/>
        <v>1.1446702317290555E-2</v>
      </c>
      <c r="BA34" s="25">
        <f t="shared" si="13"/>
        <v>0.35000000000000003</v>
      </c>
      <c r="BB34" s="26">
        <f>IF(MortgageRate="Discounted",_xlfn.XLOOKUP(L34,'mortgage-rates'!$A:$A,'mortgage-rates'!$E:$E)/100,_xlfn.XLOOKUP(L34,'mortgage-rates'!$A:$A,'mortgage-rates'!$D:$D)/100)</f>
        <v>5.0999999999999997E-2</v>
      </c>
      <c r="BC34" s="11">
        <f t="shared" si="37"/>
        <v>221916.1344195061</v>
      </c>
      <c r="BD34" s="11">
        <f t="shared" si="14"/>
        <v>4854.893988605284</v>
      </c>
      <c r="BE34" s="11">
        <f t="shared" si="15"/>
        <v>2829.4307138487025</v>
      </c>
      <c r="BF34" s="11">
        <f t="shared" si="36"/>
        <v>2025.4632747565815</v>
      </c>
      <c r="BG34" s="13">
        <f t="shared" si="16"/>
        <v>6460.2939886052845</v>
      </c>
      <c r="BH34" s="23">
        <f>INDEX(cpi!B:B,MATCH($L34,cpi!A:A))</f>
        <v>104.7</v>
      </c>
      <c r="BI34" s="23">
        <f t="shared" si="17"/>
        <v>123.75886524822695</v>
      </c>
      <c r="BJ34" s="23">
        <f t="shared" si="18"/>
        <v>148.29345801472445</v>
      </c>
      <c r="BK34" s="23">
        <f t="shared" si="19"/>
        <v>152.66830069587706</v>
      </c>
      <c r="BL34" s="23">
        <f t="shared" si="20"/>
        <v>149.60591081907023</v>
      </c>
      <c r="BM34" s="23">
        <f t="shared" si="21"/>
        <v>271.93046530083058</v>
      </c>
      <c r="BN34" s="23">
        <f t="shared" si="22"/>
        <v>170</v>
      </c>
      <c r="BO34">
        <f t="shared" si="23"/>
        <v>150.15993330768245</v>
      </c>
    </row>
    <row r="35" spans="1:67" x14ac:dyDescent="0.25">
      <c r="A35" t="s">
        <v>20</v>
      </c>
      <c r="B35" s="9">
        <v>0.05</v>
      </c>
      <c r="C35" s="9">
        <v>0.05</v>
      </c>
      <c r="L35" s="1">
        <f t="shared" si="33"/>
        <v>41699</v>
      </c>
      <c r="M35" s="11">
        <f t="shared" ref="M35:M66" si="38">AP35</f>
        <v>266068.85678251297</v>
      </c>
      <c r="N35" s="11">
        <f t="shared" ref="N35:N66" si="39">AX35-BC35</f>
        <v>204929.09135525051</v>
      </c>
      <c r="O35" s="8">
        <f t="shared" si="25"/>
        <v>1.2983459548028489</v>
      </c>
      <c r="P35" s="8">
        <f t="shared" ref="P35:P66" si="40">X35/BG35</f>
        <v>0.72331270514495816</v>
      </c>
      <c r="Q35">
        <v>33</v>
      </c>
      <c r="R35">
        <f t="shared" ref="R35:R66" si="41">EOMONTH(L35,0)-EOMONTH(L35,-3)</f>
        <v>90</v>
      </c>
      <c r="S35" s="23"/>
      <c r="T35" s="23">
        <f>IF($B$10="3BR_H",
INDEX('3BR_H-processed'!$C:$D,MATCH($L35,'3BR_H-processed'!$B:$B,0),MATCH(Council_Area,'3BR_H-processed'!$C$1:$D$1,0)),
INDEX('2BR_F-processed'!$C:$D,MATCH($L35,'2BR_F-processed'!$B:$B,0),MATCH(Council_Area,'2BR_F-processed'!$C$1:$D$1,0)))</f>
        <v>350</v>
      </c>
      <c r="U35" s="23">
        <f t="shared" si="26"/>
        <v>350</v>
      </c>
      <c r="V35" s="23">
        <f t="shared" si="34"/>
        <v>4500</v>
      </c>
      <c r="W35" s="23">
        <f>$B$53/4*BH35/_xlfn.XLOOKUP(Q_end,cpi!A:A,cpi!B:B)</f>
        <v>145.6807187284036</v>
      </c>
      <c r="X35" s="23">
        <f t="shared" ref="X35:X66" si="42">V35+W35</f>
        <v>4645.6807187284039</v>
      </c>
      <c r="Y35" s="23">
        <f t="shared" ref="Y35:Y66" si="43">BG35-X35</f>
        <v>1777.1025196738156</v>
      </c>
      <c r="Z35" s="23">
        <f t="shared" si="27"/>
        <v>0</v>
      </c>
      <c r="AA35" s="23" cm="1">
        <f t="array" ref="AA35">(Y35+Z35)*eff_invest</f>
        <v>1777.1025196738156</v>
      </c>
      <c r="AB35" s="23">
        <f>AA35*(_xlfn.XLOOKUP(Q_end,cpi!A:A,cpi!B:B)/BH35)</f>
        <v>2439.7223396280933</v>
      </c>
      <c r="AC35" s="23" cm="1">
        <f t="array" ref="AC35">INDEX('msci-indices'!C:C,MATCH($L35,'msci-indices'!$B:$B)-2)</f>
        <v>1208.107446</v>
      </c>
      <c r="AD35" s="23" cm="1">
        <f t="array" ref="AD35">INDEX('msci-indices'!D:D,MATCH($L35,'msci-indices'!$B:$B)-2)</f>
        <v>1124.7671330000001</v>
      </c>
      <c r="AE35" s="23">
        <f t="shared" si="28"/>
        <v>261800.72264403824</v>
      </c>
      <c r="AF35" s="23" cm="1">
        <f t="array" ref="AF35">INDEX('msci-indices'!C:C,MATCH($L35,'msci-indices'!$B:$B)+1)</f>
        <v>1225.920044</v>
      </c>
      <c r="AG35" s="23" cm="1">
        <f t="array" ref="AG35">INDEX('msci-indices'!D:D,MATCH($L35,'msci-indices'!$B:$B)+1)</f>
        <v>1149.5383919999999</v>
      </c>
      <c r="AH35" s="23">
        <f t="shared" ref="AH35:AH66" si="44">(InvestFees/4)*AE35</f>
        <v>163.62545165252391</v>
      </c>
      <c r="AI35" s="23">
        <f t="shared" ref="AI35:AI66" si="45">((AF35/AC35)*GlobalPortfolio+(AG35/AD35)*AusPortfolio)*AE35-AH35</f>
        <v>266068.85678251297</v>
      </c>
      <c r="AJ35" s="23">
        <f t="shared" si="29"/>
        <v>177194.90952226764</v>
      </c>
      <c r="AK35" s="23">
        <f t="shared" ref="AK35:AK66" si="46">AI35-AJ35</f>
        <v>88873.947260245332</v>
      </c>
      <c r="AL35" s="23">
        <f>AJ35*(_xlfn.XLOOKUP(Q_end,cpi!A:A,cpi!B:B)/BH35)</f>
        <v>243264.73821510552</v>
      </c>
      <c r="AM35" s="23" cm="1">
        <f t="array" ref="AM35">SUMPRODUCT($AA$3:AA35,_xlfn.SORTBY($BH$3:BH35,_xlfn.SEQUENCE(ROWS($BH$3:BH35)),-1)/$BH$3)</f>
        <v>211299.39867095966</v>
      </c>
      <c r="AN35" s="23">
        <f t="shared" si="30"/>
        <v>54769.458111553307</v>
      </c>
      <c r="AO35" s="23">
        <f t="shared" ref="AO35:AO66" si="47">IF($B$49="Real gains",MAX($B$50*AN35,0),IF($B$49="Discounted nominal gains",MAX($B$50*AK35/2,0),0))</f>
        <v>0</v>
      </c>
      <c r="AP35" s="23">
        <f t="shared" si="31"/>
        <v>266068.85678251297</v>
      </c>
      <c r="AQ35" s="23"/>
      <c r="AR35" s="11">
        <f>IF($B$10="3BR_H",
INDEX('ns-combined'!$C:$D,MATCH($L35,'ns-combined'!$B:$B,0),MATCH(Council_Area,'ns-combined'!$C$1:$D$1,0))*1000,
INDEX('s-combined'!$C:$D,MATCH($L35,'s-combined'!$B:$B,0),MATCH(Council_Area,'s-combined'!$C$1:$D$1,0))*1000)</f>
        <v>504000</v>
      </c>
      <c r="AS35" s="23">
        <f t="shared" si="35"/>
        <v>27225</v>
      </c>
      <c r="AT35" s="11">
        <v>0</v>
      </c>
      <c r="AU35" s="23">
        <f t="shared" ref="AU35:AU66" si="48">SUM($B$28:$B$29)*AR35</f>
        <v>10080</v>
      </c>
      <c r="AV35" s="23">
        <f t="shared" ref="AV35:AV66" si="49">AR35*$B$15/4</f>
        <v>1449</v>
      </c>
      <c r="AW35" s="23">
        <f>SUM($AV$3:AV35)</f>
        <v>41875.237500000003</v>
      </c>
      <c r="AX35" s="23">
        <f t="shared" ref="AX35:AX66" si="50">AR35-AS35-AU35-AW35</f>
        <v>424819.76250000001</v>
      </c>
      <c r="AY35" s="23">
        <f t="shared" ref="AY35:AY66" si="51">$B$36*V35</f>
        <v>1575.0000000000002</v>
      </c>
      <c r="AZ35" s="25">
        <f t="shared" ref="AZ35:AZ66" si="52">SUM(AY35:AY35)*4/AR35</f>
        <v>1.2500000000000002E-2</v>
      </c>
      <c r="BA35" s="25">
        <f t="shared" ref="BA35:BA66" si="53">SUM(AY35:AY35)/V35</f>
        <v>0.35000000000000003</v>
      </c>
      <c r="BB35" s="26">
        <f>IF(MortgageRate="Discounted",_xlfn.XLOOKUP(L35,'mortgage-rates'!$A:$A,'mortgage-rates'!$E:$E)/100,_xlfn.XLOOKUP(L35,'mortgage-rates'!$A:$A,'mortgage-rates'!$D:$D)/100)</f>
        <v>5.0799999999999998E-2</v>
      </c>
      <c r="BC35" s="11">
        <f t="shared" si="37"/>
        <v>219890.6711447495</v>
      </c>
      <c r="BD35" s="11">
        <f t="shared" ref="BD35:BD66" si="54">IF($B$16*12/3-Q35+1&gt;0,-PMT($BB35/4,$B$16*12/3-Q35+1,BC35),0)</f>
        <v>4847.7832384022195</v>
      </c>
      <c r="BE35" s="11">
        <f t="shared" ref="BE35:BE67" si="55">BC35*($BB35/4)</f>
        <v>2792.6115235383186</v>
      </c>
      <c r="BF35" s="11">
        <f t="shared" si="36"/>
        <v>2055.1717148639009</v>
      </c>
      <c r="BG35" s="13">
        <f t="shared" ref="BG35:BG66" si="56">AT35+AY35+BD35</f>
        <v>6422.7832384022195</v>
      </c>
      <c r="BH35" s="23">
        <f>INDEX(cpi!B:B,MATCH($L35,cpi!A:A))</f>
        <v>105.4</v>
      </c>
      <c r="BI35" s="23">
        <f t="shared" ref="BI35:BI66" si="57">100*BH35/BH$3</f>
        <v>124.58628841607566</v>
      </c>
      <c r="BJ35" s="23">
        <f t="shared" ref="BJ35:BJ66" si="58">100*AC35/AC$3</f>
        <v>160.03975049738099</v>
      </c>
      <c r="BK35" s="23">
        <f t="shared" ref="BK35:BK66" si="59">100*AD35/AD$3</f>
        <v>157.76103200341271</v>
      </c>
      <c r="BL35" s="23">
        <f t="shared" ref="BL35:BL66" si="60">BJ35*GlobalPortfolio+BK35*AusPortfolio</f>
        <v>159.3561349491905</v>
      </c>
      <c r="BM35" s="23">
        <f t="shared" ref="BM35:BM66" si="61">100*AE35/$AE$3</f>
        <v>291.5384869142116</v>
      </c>
      <c r="BN35" s="23">
        <f t="shared" ref="BN35:BN66" si="62">100*AR35/AR$3</f>
        <v>152.72727272727272</v>
      </c>
      <c r="BO35">
        <f t="shared" ref="BO35:BO66" si="63">100*AX35/AX$3</f>
        <v>132.08491610992573</v>
      </c>
    </row>
    <row r="36" spans="1:67" x14ac:dyDescent="0.25">
      <c r="A36" t="s">
        <v>21</v>
      </c>
      <c r="B36" s="9">
        <f>SUM(B32:B35)</f>
        <v>0.35000000000000003</v>
      </c>
      <c r="C36" s="9">
        <v>0.35000000000000003</v>
      </c>
      <c r="L36" s="1">
        <f t="shared" si="33"/>
        <v>41791</v>
      </c>
      <c r="M36" s="11">
        <f t="shared" si="38"/>
        <v>276977.85965251137</v>
      </c>
      <c r="N36" s="11">
        <f t="shared" si="39"/>
        <v>229040.6755701144</v>
      </c>
      <c r="O36" s="8">
        <f t="shared" si="25"/>
        <v>1.2092955059754107</v>
      </c>
      <c r="P36" s="8">
        <f t="shared" si="40"/>
        <v>0.72926113089685174</v>
      </c>
      <c r="Q36">
        <v>34</v>
      </c>
      <c r="R36">
        <f t="shared" si="41"/>
        <v>91</v>
      </c>
      <c r="S36" s="23"/>
      <c r="T36" s="23">
        <f>IF($B$10="3BR_H",
INDEX('3BR_H-processed'!$C:$D,MATCH($L36,'3BR_H-processed'!$B:$B,0),MATCH(Council_Area,'3BR_H-processed'!$C$1:$D$1,0)),
INDEX('2BR_F-processed'!$C:$D,MATCH($L36,'2BR_F-processed'!$B:$B,0),MATCH(Council_Area,'2BR_F-processed'!$C$1:$D$1,0)))</f>
        <v>350</v>
      </c>
      <c r="U36" s="23">
        <f t="shared" si="26"/>
        <v>350</v>
      </c>
      <c r="V36" s="23">
        <f t="shared" si="34"/>
        <v>4550</v>
      </c>
      <c r="W36" s="23">
        <f>$B$53/4*BH36/_xlfn.XLOOKUP(Q_end,cpi!A:A,cpi!B:B)</f>
        <v>146.64823773324119</v>
      </c>
      <c r="X36" s="23">
        <f t="shared" si="42"/>
        <v>4696.6482377332413</v>
      </c>
      <c r="Y36" s="23">
        <f t="shared" si="43"/>
        <v>1743.6350006689781</v>
      </c>
      <c r="Z36" s="23">
        <f t="shared" ref="Z36:Z67" si="64">Y36*$B$47</f>
        <v>0</v>
      </c>
      <c r="AA36" s="23" cm="1">
        <f t="array" ref="AA36">(Y36+Z36)*eff_invest</f>
        <v>1743.6350006689781</v>
      </c>
      <c r="AB36" s="23">
        <f>AA36*(_xlfn.XLOOKUP(Q_end,cpi!A:A,cpi!B:B)/BH36)</f>
        <v>2377.9828896965232</v>
      </c>
      <c r="AC36" s="23" cm="1">
        <f t="array" ref="AC36">INDEX('msci-indices'!C:C,MATCH($L36,'msci-indices'!$B:$B)-2)</f>
        <v>1225.920044</v>
      </c>
      <c r="AD36" s="23" cm="1">
        <f t="array" ref="AD36">INDEX('msci-indices'!D:D,MATCH($L36,'msci-indices'!$B:$B)-2)</f>
        <v>1149.5383919999999</v>
      </c>
      <c r="AE36" s="23">
        <f t="shared" ref="AE36:AE67" si="65">AI35+AA36</f>
        <v>267812.49178318196</v>
      </c>
      <c r="AF36" s="23" cm="1">
        <f t="array" ref="AF36">INDEX('msci-indices'!C:C,MATCH($L36,'msci-indices'!$B:$B)+1)</f>
        <v>1282.9430809999999</v>
      </c>
      <c r="AG36" s="23" cm="1">
        <f t="array" ref="AG36">INDEX('msci-indices'!D:D,MATCH($L36,'msci-indices'!$B:$B)+1)</f>
        <v>1158.3053090000001</v>
      </c>
      <c r="AH36" s="23">
        <f t="shared" si="44"/>
        <v>167.38280736448874</v>
      </c>
      <c r="AI36" s="23">
        <f t="shared" si="45"/>
        <v>276977.85965251137</v>
      </c>
      <c r="AJ36" s="23">
        <f t="shared" ref="AJ36:AJ67" si="66">AJ35+AA36</f>
        <v>178938.54452293663</v>
      </c>
      <c r="AK36" s="23">
        <f t="shared" si="46"/>
        <v>98039.315129574738</v>
      </c>
      <c r="AL36" s="23">
        <f>AJ36*(_xlfn.XLOOKUP(Q_end,cpi!A:A,cpi!B:B)/BH36)</f>
        <v>244037.76995729434</v>
      </c>
      <c r="AM36" s="23" cm="1">
        <f t="array" ref="AM36">SUMPRODUCT($AA$3:AA36,_xlfn.SORTBY($BH$3:BH36,_xlfn.SEQUENCE(ROWS($BH$3:BH36)),-1)/$BH$3)</f>
        <v>214434.7977059788</v>
      </c>
      <c r="AN36" s="23">
        <f t="shared" si="30"/>
        <v>62543.061946532573</v>
      </c>
      <c r="AO36" s="23">
        <f t="shared" si="47"/>
        <v>0</v>
      </c>
      <c r="AP36" s="23">
        <f t="shared" si="31"/>
        <v>276977.85965251137</v>
      </c>
      <c r="AQ36" s="23"/>
      <c r="AR36" s="11">
        <f>IF($B$10="3BR_H",
INDEX('ns-combined'!$C:$D,MATCH($L36,'ns-combined'!$B:$B,0),MATCH(Council_Area,'ns-combined'!$C$1:$D$1,0))*1000,
INDEX('s-combined'!$C:$D,MATCH($L36,'s-combined'!$B:$B,0),MATCH(Council_Area,'s-combined'!$C$1:$D$1,0))*1000)</f>
        <v>528900</v>
      </c>
      <c r="AS36" s="23">
        <f t="shared" si="35"/>
        <v>28050</v>
      </c>
      <c r="AT36" s="11">
        <v>0</v>
      </c>
      <c r="AU36" s="23">
        <f t="shared" si="48"/>
        <v>10578</v>
      </c>
      <c r="AV36" s="23">
        <f t="shared" si="49"/>
        <v>1520.5874999999999</v>
      </c>
      <c r="AW36" s="23">
        <f>SUM($AV$3:AV36)</f>
        <v>43395.825000000004</v>
      </c>
      <c r="AX36" s="23">
        <f t="shared" si="50"/>
        <v>446876.17499999999</v>
      </c>
      <c r="AY36" s="23">
        <f t="shared" si="51"/>
        <v>1592.5000000000002</v>
      </c>
      <c r="AZ36" s="25">
        <f t="shared" si="52"/>
        <v>1.2043864624692761E-2</v>
      </c>
      <c r="BA36" s="25">
        <f t="shared" si="53"/>
        <v>0.35000000000000003</v>
      </c>
      <c r="BB36" s="26">
        <f>IF(MortgageRate="Discounted",_xlfn.XLOOKUP(L36,'mortgage-rates'!$A:$A,'mortgage-rates'!$E:$E)/100,_xlfn.XLOOKUP(L36,'mortgage-rates'!$A:$A,'mortgage-rates'!$D:$D)/100)</f>
        <v>5.0799999999999998E-2</v>
      </c>
      <c r="BC36" s="11">
        <f t="shared" ref="BC36:BC67" si="67">BC35-BF35</f>
        <v>217835.49942988559</v>
      </c>
      <c r="BD36" s="11">
        <f t="shared" si="54"/>
        <v>4847.7832384022195</v>
      </c>
      <c r="BE36" s="11">
        <f t="shared" si="55"/>
        <v>2766.5108427595469</v>
      </c>
      <c r="BF36" s="11">
        <f t="shared" si="36"/>
        <v>2081.2723956426726</v>
      </c>
      <c r="BG36" s="13">
        <f t="shared" si="56"/>
        <v>6440.2832384022195</v>
      </c>
      <c r="BH36" s="23">
        <f>INDEX(cpi!B:B,MATCH($L36,cpi!A:A))</f>
        <v>106.1</v>
      </c>
      <c r="BI36" s="23">
        <f t="shared" si="57"/>
        <v>125.41371158392435</v>
      </c>
      <c r="BJ36" s="23">
        <f t="shared" si="58"/>
        <v>162.39941126188398</v>
      </c>
      <c r="BK36" s="23">
        <f t="shared" si="59"/>
        <v>161.2354750851913</v>
      </c>
      <c r="BL36" s="23">
        <f t="shared" si="60"/>
        <v>162.05023040887616</v>
      </c>
      <c r="BM36" s="23">
        <f t="shared" si="61"/>
        <v>298.23312878075279</v>
      </c>
      <c r="BN36" s="23">
        <f t="shared" si="62"/>
        <v>160.27272727272728</v>
      </c>
      <c r="BO36">
        <f t="shared" si="63"/>
        <v>138.94269357678363</v>
      </c>
    </row>
    <row r="37" spans="1:67" x14ac:dyDescent="0.25">
      <c r="A37" s="7" t="s">
        <v>333</v>
      </c>
      <c r="B37" s="4" cm="1">
        <f t="array" ref="B37">AVERAGE(_xlfn._xlws.FILTER($AZ$3:$AZ$82,ISNUMBER($AZ$3:$AZ$82)))</f>
        <v>1.1405453029375102E-2</v>
      </c>
      <c r="C37" s="4">
        <v>1.1405453029375102E-2</v>
      </c>
      <c r="L37" s="1">
        <f t="shared" si="33"/>
        <v>41883</v>
      </c>
      <c r="M37" s="11">
        <f t="shared" si="38"/>
        <v>272539.13870708924</v>
      </c>
      <c r="N37" s="11">
        <f t="shared" si="39"/>
        <v>205423.07296575708</v>
      </c>
      <c r="O37" s="8">
        <f t="shared" si="25"/>
        <v>1.3267211651172215</v>
      </c>
      <c r="P37" s="8">
        <f t="shared" si="40"/>
        <v>0.73507030144745211</v>
      </c>
      <c r="Q37">
        <v>35</v>
      </c>
      <c r="R37">
        <f t="shared" si="41"/>
        <v>92</v>
      </c>
      <c r="S37" s="23"/>
      <c r="T37" s="23">
        <f>IF($B$10="3BR_H",
INDEX('3BR_H-processed'!$C:$D,MATCH($L37,'3BR_H-processed'!$B:$B,0),MATCH(Council_Area,'3BR_H-processed'!$C$1:$D$1,0)),
INDEX('2BR_F-processed'!$C:$D,MATCH($L37,'2BR_F-processed'!$B:$B,0),MATCH(Council_Area,'2BR_F-processed'!$C$1:$D$1,0)))</f>
        <v>350</v>
      </c>
      <c r="U37" s="23">
        <f t="shared" si="26"/>
        <v>350</v>
      </c>
      <c r="V37" s="23">
        <f t="shared" si="34"/>
        <v>4600</v>
      </c>
      <c r="W37" s="23">
        <f>$B$53/4*BH37/_xlfn.XLOOKUP(Q_end,cpi!A:A,cpi!B:B)</f>
        <v>146.92467173462336</v>
      </c>
      <c r="X37" s="23">
        <f t="shared" si="42"/>
        <v>4746.9246717346232</v>
      </c>
      <c r="Y37" s="23">
        <f t="shared" si="43"/>
        <v>1710.8585666675963</v>
      </c>
      <c r="Z37" s="23">
        <f t="shared" si="64"/>
        <v>0</v>
      </c>
      <c r="AA37" s="23" cm="1">
        <f t="array" ref="AA37">(Y37+Z37)*eff_invest</f>
        <v>1710.8585666675963</v>
      </c>
      <c r="AB37" s="23">
        <f>AA37*(_xlfn.XLOOKUP(Q_end,cpi!A:A,cpi!B:B)/BH37)</f>
        <v>2328.8921410799735</v>
      </c>
      <c r="AC37" s="23" cm="1">
        <f t="array" ref="AC37">INDEX('msci-indices'!C:C,MATCH($L37,'msci-indices'!$B:$B)-2)</f>
        <v>1282.9430809999999</v>
      </c>
      <c r="AD37" s="23" cm="1">
        <f t="array" ref="AD37">INDEX('msci-indices'!D:D,MATCH($L37,'msci-indices'!$B:$B)-2)</f>
        <v>1158.3053090000001</v>
      </c>
      <c r="AE37" s="23">
        <f t="shared" si="65"/>
        <v>278688.71821917896</v>
      </c>
      <c r="AF37" s="23" cm="1">
        <f t="array" ref="AF37">INDEX('msci-indices'!C:C,MATCH($L37,'msci-indices'!$B:$B)+1)</f>
        <v>1247.292238</v>
      </c>
      <c r="AG37" s="23" cm="1">
        <f t="array" ref="AG37">INDEX('msci-indices'!D:D,MATCH($L37,'msci-indices'!$B:$B)+1)</f>
        <v>1150.6246120000001</v>
      </c>
      <c r="AH37" s="23">
        <f t="shared" si="44"/>
        <v>174.18044888698685</v>
      </c>
      <c r="AI37" s="23">
        <f t="shared" si="45"/>
        <v>272539.13870708924</v>
      </c>
      <c r="AJ37" s="23">
        <f t="shared" si="66"/>
        <v>180649.40308960422</v>
      </c>
      <c r="AK37" s="23">
        <f t="shared" si="46"/>
        <v>91889.735617485014</v>
      </c>
      <c r="AL37" s="23">
        <f>AJ37*(_xlfn.XLOOKUP(Q_end,cpi!A:A,cpi!B:B)/BH37)</f>
        <v>245907.51295452239</v>
      </c>
      <c r="AM37" s="23" cm="1">
        <f t="array" ref="AM37">SUMPRODUCT($AA$3:AA37,_xlfn.SORTBY($BH$3:BH37,_xlfn.SEQUENCE(ROWS($BH$3:BH37)),-1)/$BH$3)</f>
        <v>217030.59491085779</v>
      </c>
      <c r="AN37" s="23">
        <f t="shared" si="30"/>
        <v>55508.543796231446</v>
      </c>
      <c r="AO37" s="23">
        <f t="shared" si="47"/>
        <v>0</v>
      </c>
      <c r="AP37" s="23">
        <f t="shared" si="31"/>
        <v>272539.13870708924</v>
      </c>
      <c r="AQ37" s="23"/>
      <c r="AR37" s="11">
        <f>IF($B$10="3BR_H",
INDEX('ns-combined'!$C:$D,MATCH($L37,'ns-combined'!$B:$B,0),MATCH(Council_Area,'ns-combined'!$C$1:$D$1,0))*1000,
INDEX('s-combined'!$C:$D,MATCH($L37,'s-combined'!$B:$B,0),MATCH(Council_Area,'s-combined'!$C$1:$D$1,0))*1000)</f>
        <v>505000</v>
      </c>
      <c r="AS37" s="23">
        <f t="shared" si="35"/>
        <v>28875</v>
      </c>
      <c r="AT37" s="11">
        <v>0</v>
      </c>
      <c r="AU37" s="23">
        <f t="shared" si="48"/>
        <v>10100</v>
      </c>
      <c r="AV37" s="23">
        <f t="shared" si="49"/>
        <v>1451.875</v>
      </c>
      <c r="AW37" s="23">
        <f>SUM($AV$3:AV37)</f>
        <v>44847.700000000004</v>
      </c>
      <c r="AX37" s="23">
        <f t="shared" si="50"/>
        <v>421177.3</v>
      </c>
      <c r="AY37" s="23">
        <f t="shared" si="51"/>
        <v>1610.0000000000002</v>
      </c>
      <c r="AZ37" s="25">
        <f t="shared" si="52"/>
        <v>1.2752475247524755E-2</v>
      </c>
      <c r="BA37" s="25">
        <f t="shared" si="53"/>
        <v>0.35000000000000003</v>
      </c>
      <c r="BB37" s="26">
        <f>IF(MortgageRate="Discounted",_xlfn.XLOOKUP(L37,'mortgage-rates'!$A:$A,'mortgage-rates'!$E:$E)/100,_xlfn.XLOOKUP(L37,'mortgage-rates'!$A:$A,'mortgage-rates'!$D:$D)/100)</f>
        <v>5.0799999999999998E-2</v>
      </c>
      <c r="BC37" s="11">
        <f t="shared" si="67"/>
        <v>215754.22703424291</v>
      </c>
      <c r="BD37" s="11">
        <f t="shared" si="54"/>
        <v>4847.7832384022195</v>
      </c>
      <c r="BE37" s="11">
        <f t="shared" si="55"/>
        <v>2740.0786833348848</v>
      </c>
      <c r="BF37" s="11">
        <f t="shared" si="36"/>
        <v>2107.7045550673347</v>
      </c>
      <c r="BG37" s="13">
        <f t="shared" si="56"/>
        <v>6457.7832384022195</v>
      </c>
      <c r="BH37" s="23">
        <f>INDEX(cpi!B:B,MATCH($L37,cpi!A:A))</f>
        <v>106.3</v>
      </c>
      <c r="BI37" s="23">
        <f t="shared" si="57"/>
        <v>125.6501182033097</v>
      </c>
      <c r="BJ37" s="23">
        <f t="shared" si="58"/>
        <v>169.95333591014156</v>
      </c>
      <c r="BK37" s="23">
        <f t="shared" si="59"/>
        <v>162.46513216960426</v>
      </c>
      <c r="BL37" s="23">
        <f t="shared" si="60"/>
        <v>167.70687478798038</v>
      </c>
      <c r="BM37" s="23">
        <f t="shared" si="61"/>
        <v>310.34477830739752</v>
      </c>
      <c r="BN37" s="23">
        <f t="shared" si="62"/>
        <v>153.03030303030303</v>
      </c>
      <c r="BO37">
        <f t="shared" si="63"/>
        <v>130.9524020505167</v>
      </c>
    </row>
    <row r="38" spans="1:67" x14ac:dyDescent="0.25">
      <c r="A38" s="7" t="s">
        <v>334</v>
      </c>
      <c r="B38" s="32" cm="1">
        <f t="array" ref="B38">AVERAGE(_xlfn._xlws.FILTER($BA$3:$BA$82,ISNUMBER($BA$3:$BA$82)))</f>
        <v>0.35000000000000048</v>
      </c>
      <c r="C38" s="32">
        <v>0.35000000000000048</v>
      </c>
      <c r="L38" s="1">
        <f t="shared" si="33"/>
        <v>41974</v>
      </c>
      <c r="M38" s="11">
        <f t="shared" si="38"/>
        <v>278644.19131835812</v>
      </c>
      <c r="N38" s="11">
        <f t="shared" si="39"/>
        <v>251667.3400208244</v>
      </c>
      <c r="O38" s="8">
        <f t="shared" si="25"/>
        <v>1.1071924998106688</v>
      </c>
      <c r="P38" s="8">
        <f t="shared" si="40"/>
        <v>0.73511310777760874</v>
      </c>
      <c r="Q38">
        <v>36</v>
      </c>
      <c r="R38">
        <f t="shared" si="41"/>
        <v>92</v>
      </c>
      <c r="S38" s="23"/>
      <c r="T38" s="23">
        <f>IF($B$10="3BR_H",
INDEX('3BR_H-processed'!$C:$D,MATCH($L38,'3BR_H-processed'!$B:$B,0),MATCH(Council_Area,'3BR_H-processed'!$C$1:$D$1,0)),
INDEX('2BR_F-processed'!$C:$D,MATCH($L38,'2BR_F-processed'!$B:$B,0),MATCH(Council_Area,'2BR_F-processed'!$C$1:$D$1,0)))</f>
        <v>360</v>
      </c>
      <c r="U38" s="23">
        <f t="shared" si="26"/>
        <v>350</v>
      </c>
      <c r="V38" s="23">
        <f t="shared" si="34"/>
        <v>4600</v>
      </c>
      <c r="W38" s="23">
        <f>$B$53/4*BH38/_xlfn.XLOOKUP(Q_end,cpi!A:A,cpi!B:B)</f>
        <v>147.20110573600553</v>
      </c>
      <c r="X38" s="23">
        <f t="shared" si="42"/>
        <v>4747.201105736006</v>
      </c>
      <c r="Y38" s="23">
        <f t="shared" si="43"/>
        <v>1710.5821326662135</v>
      </c>
      <c r="Z38" s="23">
        <f t="shared" si="64"/>
        <v>0</v>
      </c>
      <c r="AA38" s="23" cm="1">
        <f t="array" ref="AA38">(Y38+Z38)*eff_invest</f>
        <v>1710.5821326662135</v>
      </c>
      <c r="AB38" s="23">
        <f>AA38*(_xlfn.XLOOKUP(Q_end,cpi!A:A,cpi!B:B)/BH38)</f>
        <v>2324.143047857287</v>
      </c>
      <c r="AC38" s="23" cm="1">
        <f t="array" ref="AC38">INDEX('msci-indices'!C:C,MATCH($L38,'msci-indices'!$B:$B)-2)</f>
        <v>1247.292238</v>
      </c>
      <c r="AD38" s="23" cm="1">
        <f t="array" ref="AD38">INDEX('msci-indices'!D:D,MATCH($L38,'msci-indices'!$B:$B)-2)</f>
        <v>1150.6246120000001</v>
      </c>
      <c r="AE38" s="23">
        <f t="shared" si="65"/>
        <v>274249.72083975544</v>
      </c>
      <c r="AF38" s="23" cm="1">
        <f t="array" ref="AF38">INDEX('msci-indices'!C:C,MATCH($L38,'msci-indices'!$B:$B)+1)</f>
        <v>1262.6926370000001</v>
      </c>
      <c r="AG38" s="23" cm="1">
        <f t="array" ref="AG38">INDEX('msci-indices'!D:D,MATCH($L38,'msci-indices'!$B:$B)+1)</f>
        <v>1181.3296580000001</v>
      </c>
      <c r="AH38" s="23">
        <f t="shared" si="44"/>
        <v>171.40607552484715</v>
      </c>
      <c r="AI38" s="23">
        <f t="shared" si="45"/>
        <v>278644.19131835812</v>
      </c>
      <c r="AJ38" s="23">
        <f t="shared" si="66"/>
        <v>182359.98522227045</v>
      </c>
      <c r="AK38" s="23">
        <f t="shared" si="46"/>
        <v>96284.20609608767</v>
      </c>
      <c r="AL38" s="23">
        <f>AJ38*(_xlfn.XLOOKUP(Q_end,cpi!A:A,cpi!B:B)/BH38)</f>
        <v>247769.85785598622</v>
      </c>
      <c r="AM38" s="23" cm="1">
        <f t="array" ref="AM38">SUMPRODUCT($AA$3:AA38,_xlfn.SORTBY($BH$3:BH38,_xlfn.SEQUENCE(ROWS($BH$3:BH38)),-1)/$BH$3)</f>
        <v>219633.7537853122</v>
      </c>
      <c r="AN38" s="23">
        <f t="shared" si="30"/>
        <v>59010.437533045915</v>
      </c>
      <c r="AO38" s="23">
        <f t="shared" si="47"/>
        <v>0</v>
      </c>
      <c r="AP38" s="23">
        <f t="shared" si="31"/>
        <v>278644.19131835812</v>
      </c>
      <c r="AQ38" s="23"/>
      <c r="AR38" s="11">
        <f>IF($B$10="3BR_H",
INDEX('ns-combined'!$C:$D,MATCH($L38,'ns-combined'!$B:$B,0),MATCH(Council_Area,'ns-combined'!$C$1:$D$1,0))*1000,
INDEX('s-combined'!$C:$D,MATCH($L38,'s-combined'!$B:$B,0),MATCH(Council_Area,'s-combined'!$C$1:$D$1,0))*1000)</f>
        <v>552500</v>
      </c>
      <c r="AS38" s="23">
        <f t="shared" si="35"/>
        <v>29700</v>
      </c>
      <c r="AT38" s="11">
        <v>0</v>
      </c>
      <c r="AU38" s="23">
        <f t="shared" si="48"/>
        <v>11050</v>
      </c>
      <c r="AV38" s="23">
        <f t="shared" si="49"/>
        <v>1588.4375</v>
      </c>
      <c r="AW38" s="23">
        <f>SUM($AV$3:AV38)</f>
        <v>46436.137500000004</v>
      </c>
      <c r="AX38" s="23">
        <f t="shared" si="50"/>
        <v>465313.86249999999</v>
      </c>
      <c r="AY38" s="23">
        <f t="shared" si="51"/>
        <v>1610.0000000000002</v>
      </c>
      <c r="AZ38" s="25">
        <f t="shared" si="52"/>
        <v>1.1656108597285069E-2</v>
      </c>
      <c r="BA38" s="25">
        <f t="shared" si="53"/>
        <v>0.35000000000000003</v>
      </c>
      <c r="BB38" s="26">
        <f>IF(MortgageRate="Discounted",_xlfn.XLOOKUP(L38,'mortgage-rates'!$A:$A,'mortgage-rates'!$E:$E)/100,_xlfn.XLOOKUP(L38,'mortgage-rates'!$A:$A,'mortgage-rates'!$D:$D)/100)</f>
        <v>5.0799999999999998E-2</v>
      </c>
      <c r="BC38" s="11">
        <f t="shared" si="67"/>
        <v>213646.52247917559</v>
      </c>
      <c r="BD38" s="11">
        <f t="shared" si="54"/>
        <v>4847.7832384022195</v>
      </c>
      <c r="BE38" s="11">
        <f t="shared" si="55"/>
        <v>2713.3108354855299</v>
      </c>
      <c r="BF38" s="11">
        <f t="shared" si="36"/>
        <v>2134.4724029166896</v>
      </c>
      <c r="BG38" s="13">
        <f t="shared" si="56"/>
        <v>6457.7832384022195</v>
      </c>
      <c r="BH38" s="23">
        <f>INDEX(cpi!B:B,MATCH($L38,cpi!A:A))</f>
        <v>106.5</v>
      </c>
      <c r="BI38" s="23">
        <f t="shared" si="57"/>
        <v>125.88652482269504</v>
      </c>
      <c r="BJ38" s="23">
        <f t="shared" si="58"/>
        <v>165.23061688574342</v>
      </c>
      <c r="BK38" s="23">
        <f t="shared" si="59"/>
        <v>161.38782945540277</v>
      </c>
      <c r="BL38" s="23">
        <f t="shared" si="60"/>
        <v>164.07778065664121</v>
      </c>
      <c r="BM38" s="23">
        <f t="shared" si="61"/>
        <v>305.40155826452207</v>
      </c>
      <c r="BN38" s="23">
        <f t="shared" si="62"/>
        <v>167.42424242424244</v>
      </c>
      <c r="BO38">
        <f t="shared" si="63"/>
        <v>144.67533744524894</v>
      </c>
    </row>
    <row r="39" spans="1:67" x14ac:dyDescent="0.25">
      <c r="A39" s="7"/>
      <c r="B39" s="32"/>
      <c r="C39" s="32"/>
      <c r="L39" s="1">
        <f t="shared" si="33"/>
        <v>42064</v>
      </c>
      <c r="M39" s="11">
        <f t="shared" si="38"/>
        <v>293754.37157487351</v>
      </c>
      <c r="N39" s="11">
        <f t="shared" si="39"/>
        <v>224517.4374237411</v>
      </c>
      <c r="O39" s="8">
        <f t="shared" si="25"/>
        <v>1.3083810992393374</v>
      </c>
      <c r="P39" s="8">
        <f t="shared" si="40"/>
        <v>0.74857714282365229</v>
      </c>
      <c r="Q39">
        <v>37</v>
      </c>
      <c r="R39">
        <f t="shared" si="41"/>
        <v>90</v>
      </c>
      <c r="S39" s="23"/>
      <c r="T39" s="23">
        <f>IF($B$10="3BR_H",
INDEX('3BR_H-processed'!$C:$D,MATCH($L39,'3BR_H-processed'!$B:$B,0),MATCH(Council_Area,'3BR_H-processed'!$C$1:$D$1,0)),
INDEX('2BR_F-processed'!$C:$D,MATCH($L39,'2BR_F-processed'!$B:$B,0),MATCH(Council_Area,'2BR_F-processed'!$C$1:$D$1,0)))</f>
        <v>360</v>
      </c>
      <c r="U39" s="23">
        <f t="shared" si="26"/>
        <v>360</v>
      </c>
      <c r="V39" s="23">
        <f t="shared" si="34"/>
        <v>4628.5714285714284</v>
      </c>
      <c r="W39" s="23">
        <f>$B$53/4*BH39/_xlfn.XLOOKUP(Q_end,cpi!A:A,cpi!B:B)</f>
        <v>147.6157567380788</v>
      </c>
      <c r="X39" s="23">
        <f t="shared" si="42"/>
        <v>4776.1871853095072</v>
      </c>
      <c r="Y39" s="23">
        <f t="shared" si="43"/>
        <v>1604.1668384502964</v>
      </c>
      <c r="Z39" s="23">
        <f t="shared" si="64"/>
        <v>0</v>
      </c>
      <c r="AA39" s="23" cm="1">
        <f t="array" ref="AA39">(Y39+Z39)*eff_invest</f>
        <v>1604.1668384502964</v>
      </c>
      <c r="AB39" s="23">
        <f>AA39*(_xlfn.XLOOKUP(Q_end,cpi!A:A,cpi!B:B)/BH39)</f>
        <v>2173.4357820576583</v>
      </c>
      <c r="AC39" s="23" cm="1">
        <f t="array" ref="AC39">INDEX('msci-indices'!C:C,MATCH($L39,'msci-indices'!$B:$B)-2)</f>
        <v>1262.6926370000001</v>
      </c>
      <c r="AD39" s="23" cm="1">
        <f t="array" ref="AD39">INDEX('msci-indices'!D:D,MATCH($L39,'msci-indices'!$B:$B)-2)</f>
        <v>1181.3296580000001</v>
      </c>
      <c r="AE39" s="23">
        <f t="shared" si="65"/>
        <v>280248.35815680842</v>
      </c>
      <c r="AF39" s="23" cm="1">
        <f t="array" ref="AF39">INDEX('msci-indices'!C:C,MATCH($L39,'msci-indices'!$B:$B)+1)</f>
        <v>1295.5072580000001</v>
      </c>
      <c r="AG39" s="23" cm="1">
        <f t="array" ref="AG39">INDEX('msci-indices'!D:D,MATCH($L39,'msci-indices'!$B:$B)+1)</f>
        <v>1301.9298140000001</v>
      </c>
      <c r="AH39" s="23">
        <f t="shared" si="44"/>
        <v>175.15522384800528</v>
      </c>
      <c r="AI39" s="23">
        <f t="shared" si="45"/>
        <v>293754.37157487351</v>
      </c>
      <c r="AJ39" s="23">
        <f t="shared" si="66"/>
        <v>183964.15206072075</v>
      </c>
      <c r="AK39" s="23">
        <f t="shared" si="46"/>
        <v>109790.21951415276</v>
      </c>
      <c r="AL39" s="23">
        <f>AJ39*(_xlfn.XLOOKUP(Q_end,cpi!A:A,cpi!B:B)/BH39)</f>
        <v>249247.31089125742</v>
      </c>
      <c r="AM39" s="23" cm="1">
        <f t="array" ref="AM39">SUMPRODUCT($AA$3:AA39,_xlfn.SORTBY($BH$3:BH39,_xlfn.SEQUENCE(ROWS($BH$3:BH39)),-1)/$BH$3)</f>
        <v>222235.66096895616</v>
      </c>
      <c r="AN39" s="23">
        <f t="shared" si="30"/>
        <v>71518.710605917353</v>
      </c>
      <c r="AO39" s="23">
        <f t="shared" si="47"/>
        <v>0</v>
      </c>
      <c r="AP39" s="23">
        <f t="shared" si="31"/>
        <v>293754.37157487351</v>
      </c>
      <c r="AQ39" s="23"/>
      <c r="AR39" s="11">
        <f>IF($B$10="3BR_H",
INDEX('ns-combined'!$C:$D,MATCH($L39,'ns-combined'!$B:$B,0),MATCH(Council_Area,'ns-combined'!$C$1:$D$1,0))*1000,
INDEX('s-combined'!$C:$D,MATCH($L39,'s-combined'!$B:$B,0),MATCH(Council_Area,'s-combined'!$C$1:$D$1,0))*1000)</f>
        <v>525000</v>
      </c>
      <c r="AS39" s="23">
        <f t="shared" si="35"/>
        <v>30525</v>
      </c>
      <c r="AT39" s="11">
        <v>0</v>
      </c>
      <c r="AU39" s="23">
        <f t="shared" si="48"/>
        <v>10500</v>
      </c>
      <c r="AV39" s="23">
        <f t="shared" si="49"/>
        <v>1509.375</v>
      </c>
      <c r="AW39" s="23">
        <f>SUM($AV$3:AV39)</f>
        <v>47945.512500000004</v>
      </c>
      <c r="AX39" s="23">
        <f t="shared" si="50"/>
        <v>436029.48749999999</v>
      </c>
      <c r="AY39" s="23">
        <f t="shared" si="51"/>
        <v>1620</v>
      </c>
      <c r="AZ39" s="25">
        <f t="shared" si="52"/>
        <v>1.2342857142857143E-2</v>
      </c>
      <c r="BA39" s="25">
        <f t="shared" si="53"/>
        <v>0.35000000000000003</v>
      </c>
      <c r="BB39" s="26">
        <f>IF(MortgageRate="Discounted",_xlfn.XLOOKUP(L39,'mortgage-rates'!$A:$A,'mortgage-rates'!$E:$E)/100,_xlfn.XLOOKUP(L39,'mortgage-rates'!$A:$A,'mortgage-rates'!$D:$D)/100)</f>
        <v>4.82E-2</v>
      </c>
      <c r="BC39" s="11">
        <f t="shared" si="67"/>
        <v>211512.05007625889</v>
      </c>
      <c r="BD39" s="11">
        <f t="shared" si="54"/>
        <v>4760.3540237598036</v>
      </c>
      <c r="BE39" s="11">
        <f t="shared" si="55"/>
        <v>2548.7202034189195</v>
      </c>
      <c r="BF39" s="11">
        <f t="shared" si="36"/>
        <v>2211.6338203408841</v>
      </c>
      <c r="BG39" s="13">
        <f t="shared" si="56"/>
        <v>6380.3540237598036</v>
      </c>
      <c r="BH39" s="23">
        <f>INDEX(cpi!B:B,MATCH($L39,cpi!A:A))</f>
        <v>106.8</v>
      </c>
      <c r="BI39" s="23">
        <f t="shared" si="57"/>
        <v>126.24113475177306</v>
      </c>
      <c r="BJ39" s="23">
        <f t="shared" si="58"/>
        <v>167.2707301403058</v>
      </c>
      <c r="BK39" s="23">
        <f t="shared" si="59"/>
        <v>165.69455180045574</v>
      </c>
      <c r="BL39" s="23">
        <f t="shared" si="60"/>
        <v>166.79787663835077</v>
      </c>
      <c r="BM39" s="23">
        <f t="shared" si="61"/>
        <v>312.08157667432073</v>
      </c>
      <c r="BN39" s="23">
        <f t="shared" si="62"/>
        <v>159.09090909090909</v>
      </c>
      <c r="BO39">
        <f t="shared" si="63"/>
        <v>135.57024263411336</v>
      </c>
    </row>
    <row r="40" spans="1:67" x14ac:dyDescent="0.25">
      <c r="A40" s="6" t="s">
        <v>349</v>
      </c>
      <c r="L40" s="1">
        <f t="shared" si="33"/>
        <v>42156</v>
      </c>
      <c r="M40" s="11">
        <f t="shared" si="38"/>
        <v>290143.81373057014</v>
      </c>
      <c r="N40" s="11">
        <f t="shared" si="39"/>
        <v>259571.19624408198</v>
      </c>
      <c r="O40" s="8">
        <f t="shared" si="25"/>
        <v>1.1177812404799332</v>
      </c>
      <c r="P40" s="8">
        <f t="shared" si="40"/>
        <v>0.76057320319900323</v>
      </c>
      <c r="Q40">
        <v>38</v>
      </c>
      <c r="R40">
        <f t="shared" si="41"/>
        <v>91</v>
      </c>
      <c r="S40" s="23"/>
      <c r="T40" s="23">
        <f>IF($B$10="3BR_H",
INDEX('3BR_H-processed'!$C:$D,MATCH($L40,'3BR_H-processed'!$B:$B,0),MATCH(Council_Area,'3BR_H-processed'!$C$1:$D$1,0)),
INDEX('2BR_F-processed'!$C:$D,MATCH($L40,'2BR_F-processed'!$B:$B,0),MATCH(Council_Area,'2BR_F-processed'!$C$1:$D$1,0)))</f>
        <v>360</v>
      </c>
      <c r="U40" s="23">
        <f t="shared" si="26"/>
        <v>360</v>
      </c>
      <c r="V40" s="23">
        <f t="shared" si="34"/>
        <v>4680</v>
      </c>
      <c r="W40" s="23">
        <f>$B$53/4*BH40/_xlfn.XLOOKUP(Q_end,cpi!A:A,cpi!B:B)</f>
        <v>148.85970974429856</v>
      </c>
      <c r="X40" s="23">
        <f t="shared" si="42"/>
        <v>4828.8597097442989</v>
      </c>
      <c r="Y40" s="23">
        <f t="shared" si="43"/>
        <v>1520.114576273023</v>
      </c>
      <c r="Z40" s="23">
        <f t="shared" si="64"/>
        <v>0</v>
      </c>
      <c r="AA40" s="23" cm="1">
        <f t="array" ref="AA40">(Y40+Z40)*eff_invest</f>
        <v>1520.114576273023</v>
      </c>
      <c r="AB40" s="23">
        <f>AA40*(_xlfn.XLOOKUP(Q_end,cpi!A:A,cpi!B:B)/BH40)</f>
        <v>2042.3452106472275</v>
      </c>
      <c r="AC40" s="23" cm="1">
        <f t="array" ref="AC40">INDEX('msci-indices'!C:C,MATCH($L40,'msci-indices'!$B:$B)-2)</f>
        <v>1295.5072580000001</v>
      </c>
      <c r="AD40" s="23" cm="1">
        <f t="array" ref="AD40">INDEX('msci-indices'!D:D,MATCH($L40,'msci-indices'!$B:$B)-2)</f>
        <v>1301.9298140000001</v>
      </c>
      <c r="AE40" s="23">
        <f t="shared" si="65"/>
        <v>295274.48615114653</v>
      </c>
      <c r="AF40" s="23" cm="1">
        <f t="array" ref="AF40">INDEX('msci-indices'!C:C,MATCH($L40,'msci-indices'!$B:$B)+1)</f>
        <v>1301.506973</v>
      </c>
      <c r="AG40" s="23" cm="1">
        <f t="array" ref="AG40">INDEX('msci-indices'!D:D,MATCH($L40,'msci-indices'!$B:$B)+1)</f>
        <v>1215.1659059999999</v>
      </c>
      <c r="AH40" s="23">
        <f t="shared" si="44"/>
        <v>184.54655384446659</v>
      </c>
      <c r="AI40" s="23">
        <f t="shared" si="45"/>
        <v>290143.81373057014</v>
      </c>
      <c r="AJ40" s="23">
        <f t="shared" si="66"/>
        <v>185484.26663699377</v>
      </c>
      <c r="AK40" s="23">
        <f t="shared" si="46"/>
        <v>104659.54709357637</v>
      </c>
      <c r="AL40" s="23">
        <f>AJ40*(_xlfn.XLOOKUP(Q_end,cpi!A:A,cpi!B:B)/BH40)</f>
        <v>249206.80949278545</v>
      </c>
      <c r="AM40" s="23" cm="1">
        <f t="array" ref="AM40">SUMPRODUCT($AA$3:AA40,_xlfn.SORTBY($BH$3:BH40,_xlfn.SEQUENCE(ROWS($BH$3:BH40)),-1)/$BH$3)</f>
        <v>225381.75503662939</v>
      </c>
      <c r="AN40" s="23">
        <f t="shared" si="30"/>
        <v>64762.058693940751</v>
      </c>
      <c r="AO40" s="23">
        <f t="shared" si="47"/>
        <v>0</v>
      </c>
      <c r="AP40" s="23">
        <f t="shared" si="31"/>
        <v>290143.81373057014</v>
      </c>
      <c r="AQ40" s="23"/>
      <c r="AR40" s="11">
        <f>IF($B$10="3BR_H",
INDEX('ns-combined'!$C:$D,MATCH($L40,'ns-combined'!$B:$B,0),MATCH(Council_Area,'ns-combined'!$C$1:$D$1,0))*1000,
INDEX('s-combined'!$C:$D,MATCH($L40,'s-combined'!$B:$B,0),MATCH(Council_Area,'s-combined'!$C$1:$D$1,0))*1000)</f>
        <v>561000</v>
      </c>
      <c r="AS40" s="23">
        <f t="shared" si="35"/>
        <v>31350</v>
      </c>
      <c r="AT40" s="11">
        <v>0</v>
      </c>
      <c r="AU40" s="23">
        <f t="shared" si="48"/>
        <v>11220</v>
      </c>
      <c r="AV40" s="23">
        <f t="shared" si="49"/>
        <v>1612.875</v>
      </c>
      <c r="AW40" s="23">
        <f>SUM($AV$3:AV40)</f>
        <v>49558.387500000004</v>
      </c>
      <c r="AX40" s="23">
        <f t="shared" si="50"/>
        <v>468871.61249999999</v>
      </c>
      <c r="AY40" s="23">
        <f t="shared" si="51"/>
        <v>1638.0000000000002</v>
      </c>
      <c r="AZ40" s="25">
        <f t="shared" si="52"/>
        <v>1.167914438502674E-2</v>
      </c>
      <c r="BA40" s="25">
        <f t="shared" si="53"/>
        <v>0.35000000000000003</v>
      </c>
      <c r="BB40" s="26">
        <f>IF(MortgageRate="Discounted",_xlfn.XLOOKUP(L40,'mortgage-rates'!$A:$A,'mortgage-rates'!$E:$E)/100,_xlfn.XLOOKUP(L40,'mortgage-rates'!$A:$A,'mortgage-rates'!$D:$D)/100)</f>
        <v>4.6699999999999998E-2</v>
      </c>
      <c r="BC40" s="11">
        <f t="shared" si="67"/>
        <v>209300.41625591801</v>
      </c>
      <c r="BD40" s="11">
        <f t="shared" si="54"/>
        <v>4710.9742860173219</v>
      </c>
      <c r="BE40" s="11">
        <f t="shared" si="55"/>
        <v>2443.5823597878425</v>
      </c>
      <c r="BF40" s="11">
        <f t="shared" si="36"/>
        <v>2267.3919262294794</v>
      </c>
      <c r="BG40" s="13">
        <f t="shared" si="56"/>
        <v>6348.9742860173219</v>
      </c>
      <c r="BH40" s="23">
        <f>INDEX(cpi!B:B,MATCH($L40,cpi!A:A))</f>
        <v>107.7</v>
      </c>
      <c r="BI40" s="23">
        <f t="shared" si="57"/>
        <v>127.3049645390071</v>
      </c>
      <c r="BJ40" s="23">
        <f t="shared" si="58"/>
        <v>171.61773071123525</v>
      </c>
      <c r="BK40" s="23">
        <f t="shared" si="59"/>
        <v>182.61005769685053</v>
      </c>
      <c r="BL40" s="23">
        <f t="shared" si="60"/>
        <v>174.91542880691983</v>
      </c>
      <c r="BM40" s="23">
        <f t="shared" si="61"/>
        <v>328.814512227004</v>
      </c>
      <c r="BN40" s="23">
        <f t="shared" si="62"/>
        <v>170</v>
      </c>
      <c r="BO40">
        <f t="shared" si="63"/>
        <v>145.78151270302098</v>
      </c>
    </row>
    <row r="41" spans="1:67" x14ac:dyDescent="0.25">
      <c r="A41" t="s">
        <v>312</v>
      </c>
      <c r="B41" s="9">
        <v>0.7</v>
      </c>
      <c r="C41" s="9">
        <v>0.7</v>
      </c>
      <c r="L41" s="1">
        <f t="shared" si="33"/>
        <v>42248</v>
      </c>
      <c r="M41" s="11">
        <f t="shared" si="38"/>
        <v>267800.06582684774</v>
      </c>
      <c r="N41" s="11">
        <f t="shared" si="39"/>
        <v>277966.08817031141</v>
      </c>
      <c r="O41" s="8">
        <f t="shared" si="25"/>
        <v>0.96342711296050298</v>
      </c>
      <c r="P41" s="8">
        <f t="shared" si="40"/>
        <v>0.76691204960680626</v>
      </c>
      <c r="Q41">
        <v>39</v>
      </c>
      <c r="R41">
        <f t="shared" si="41"/>
        <v>92</v>
      </c>
      <c r="S41" s="23"/>
      <c r="T41" s="23">
        <f>IF($B$10="3BR_H",
INDEX('3BR_H-processed'!$C:$D,MATCH($L41,'3BR_H-processed'!$B:$B,0),MATCH(Council_Area,'3BR_H-processed'!$C$1:$D$1,0)),
INDEX('2BR_F-processed'!$C:$D,MATCH($L41,'2BR_F-processed'!$B:$B,0),MATCH(Council_Area,'2BR_F-processed'!$C$1:$D$1,0)))</f>
        <v>360</v>
      </c>
      <c r="U41" s="23">
        <f t="shared" si="26"/>
        <v>360</v>
      </c>
      <c r="V41" s="23">
        <f t="shared" si="34"/>
        <v>4731.4285714285716</v>
      </c>
      <c r="W41" s="23">
        <f>$B$53/4*BH41/_xlfn.XLOOKUP(Q_end,cpi!A:A,cpi!B:B)</f>
        <v>148.99792674498966</v>
      </c>
      <c r="X41" s="23">
        <f t="shared" si="42"/>
        <v>4880.4264981735614</v>
      </c>
      <c r="Y41" s="23">
        <f t="shared" si="43"/>
        <v>1483.3103875302722</v>
      </c>
      <c r="Z41" s="23">
        <f t="shared" si="64"/>
        <v>0</v>
      </c>
      <c r="AA41" s="23" cm="1">
        <f t="array" ref="AA41">(Y41+Z41)*eff_invest</f>
        <v>1483.3103875302722</v>
      </c>
      <c r="AB41" s="23">
        <f>AA41*(_xlfn.XLOOKUP(Q_end,cpi!A:A,cpi!B:B)/BH41)</f>
        <v>1991.0483587720817</v>
      </c>
      <c r="AC41" s="23" cm="1">
        <f t="array" ref="AC41">INDEX('msci-indices'!C:C,MATCH($L41,'msci-indices'!$B:$B)-2)</f>
        <v>1301.506973</v>
      </c>
      <c r="AD41" s="23" cm="1">
        <f t="array" ref="AD41">INDEX('msci-indices'!D:D,MATCH($L41,'msci-indices'!$B:$B)-2)</f>
        <v>1215.1659059999999</v>
      </c>
      <c r="AE41" s="23">
        <f t="shared" si="65"/>
        <v>291627.12411810039</v>
      </c>
      <c r="AF41" s="23" cm="1">
        <f t="array" ref="AF41">INDEX('msci-indices'!C:C,MATCH($L41,'msci-indices'!$B:$B)+1)</f>
        <v>1189.2854910000001</v>
      </c>
      <c r="AG41" s="23" cm="1">
        <f t="array" ref="AG41">INDEX('msci-indices'!D:D,MATCH($L41,'msci-indices'!$B:$B)+1)</f>
        <v>1131.230902</v>
      </c>
      <c r="AH41" s="23">
        <f t="shared" si="44"/>
        <v>182.26695257381274</v>
      </c>
      <c r="AI41" s="23">
        <f t="shared" si="45"/>
        <v>267800.06582684774</v>
      </c>
      <c r="AJ41" s="23">
        <f t="shared" si="66"/>
        <v>186967.57702452404</v>
      </c>
      <c r="AK41" s="23">
        <f t="shared" si="46"/>
        <v>80832.4888023237</v>
      </c>
      <c r="AL41" s="23">
        <f>AJ41*(_xlfn.XLOOKUP(Q_end,cpi!A:A,cpi!B:B)/BH41)</f>
        <v>250966.6827036051</v>
      </c>
      <c r="AM41" s="23" cm="1">
        <f t="array" ref="AM41">SUMPRODUCT($AA$3:AA41,_xlfn.SORTBY($BH$3:BH41,_xlfn.SEQUENCE(ROWS($BH$3:BH41)),-1)/$BH$3)</f>
        <v>227662.42007084654</v>
      </c>
      <c r="AN41" s="23">
        <f t="shared" si="30"/>
        <v>40137.645756001206</v>
      </c>
      <c r="AO41" s="23">
        <f t="shared" si="47"/>
        <v>0</v>
      </c>
      <c r="AP41" s="23">
        <f t="shared" si="31"/>
        <v>267800.06582684774</v>
      </c>
      <c r="AQ41" s="23"/>
      <c r="AR41" s="11">
        <f>IF($B$10="3BR_H",
INDEX('ns-combined'!$C:$D,MATCH($L41,'ns-combined'!$B:$B,0),MATCH(Council_Area,'ns-combined'!$C$1:$D$1,0))*1000,
INDEX('s-combined'!$C:$D,MATCH($L41,'s-combined'!$B:$B,0),MATCH(Council_Area,'s-combined'!$C$1:$D$1,0))*1000)</f>
        <v>580000</v>
      </c>
      <c r="AS41" s="23">
        <f t="shared" si="35"/>
        <v>32175</v>
      </c>
      <c r="AT41" s="11">
        <v>0</v>
      </c>
      <c r="AU41" s="23">
        <f t="shared" si="48"/>
        <v>11600</v>
      </c>
      <c r="AV41" s="23">
        <f t="shared" si="49"/>
        <v>1667.5</v>
      </c>
      <c r="AW41" s="23">
        <f>SUM($AV$3:AV41)</f>
        <v>51225.887500000004</v>
      </c>
      <c r="AX41" s="23">
        <f t="shared" si="50"/>
        <v>484999.11249999999</v>
      </c>
      <c r="AY41" s="23">
        <f t="shared" si="51"/>
        <v>1656.0000000000002</v>
      </c>
      <c r="AZ41" s="25">
        <f t="shared" si="52"/>
        <v>1.1420689655172416E-2</v>
      </c>
      <c r="BA41" s="25">
        <f t="shared" si="53"/>
        <v>0.35000000000000003</v>
      </c>
      <c r="BB41" s="26">
        <f>IF(MortgageRate="Discounted",_xlfn.XLOOKUP(L41,'mortgage-rates'!$A:$A,'mortgage-rates'!$E:$E)/100,_xlfn.XLOOKUP(L41,'mortgage-rates'!$A:$A,'mortgage-rates'!$D:$D)/100)</f>
        <v>4.6600000000000003E-2</v>
      </c>
      <c r="BC41" s="11">
        <f t="shared" si="67"/>
        <v>207033.02432968855</v>
      </c>
      <c r="BD41" s="11">
        <f t="shared" si="54"/>
        <v>4707.7368857038337</v>
      </c>
      <c r="BE41" s="11">
        <f t="shared" si="55"/>
        <v>2411.9347334408717</v>
      </c>
      <c r="BF41" s="11">
        <f t="shared" si="36"/>
        <v>2295.802152262962</v>
      </c>
      <c r="BG41" s="13">
        <f t="shared" si="56"/>
        <v>6363.7368857038337</v>
      </c>
      <c r="BH41" s="23">
        <f>INDEX(cpi!B:B,MATCH($L41,cpi!A:A))</f>
        <v>107.8</v>
      </c>
      <c r="BI41" s="23">
        <f t="shared" si="57"/>
        <v>127.42316784869978</v>
      </c>
      <c r="BJ41" s="23">
        <f t="shared" si="58"/>
        <v>172.41252168354035</v>
      </c>
      <c r="BK41" s="23">
        <f t="shared" si="59"/>
        <v>170.44045986176764</v>
      </c>
      <c r="BL41" s="23">
        <f t="shared" si="60"/>
        <v>171.82090313700854</v>
      </c>
      <c r="BM41" s="23">
        <f t="shared" si="61"/>
        <v>324.75284884577491</v>
      </c>
      <c r="BN41" s="23">
        <f t="shared" si="62"/>
        <v>175.75757575757575</v>
      </c>
      <c r="BO41">
        <f t="shared" si="63"/>
        <v>150.79587331568862</v>
      </c>
    </row>
    <row r="42" spans="1:67" x14ac:dyDescent="0.25">
      <c r="A42" t="s">
        <v>313</v>
      </c>
      <c r="B42" s="9">
        <f>1-GlobalPortfolio</f>
        <v>0.30000000000000004</v>
      </c>
      <c r="C42" s="9">
        <v>0.30000000000000004</v>
      </c>
      <c r="L42" s="1">
        <f t="shared" si="33"/>
        <v>42339</v>
      </c>
      <c r="M42" s="11">
        <f t="shared" si="38"/>
        <v>284422.79595261288</v>
      </c>
      <c r="N42" s="11">
        <f t="shared" si="39"/>
        <v>309330.52782257443</v>
      </c>
      <c r="O42" s="8">
        <f t="shared" si="25"/>
        <v>0.91947858478343236</v>
      </c>
      <c r="P42" s="8">
        <f t="shared" si="40"/>
        <v>0.76051433280308445</v>
      </c>
      <c r="Q42">
        <v>40</v>
      </c>
      <c r="R42">
        <f t="shared" si="41"/>
        <v>92</v>
      </c>
      <c r="S42" s="23"/>
      <c r="T42" s="23">
        <f>IF($B$10="3BR_H",
INDEX('3BR_H-processed'!$C:$D,MATCH($L42,'3BR_H-processed'!$B:$B,0),MATCH(Council_Area,'3BR_H-processed'!$C$1:$D$1,0)),
INDEX('2BR_F-processed'!$C:$D,MATCH($L42,'2BR_F-processed'!$B:$B,0),MATCH(Council_Area,'2BR_F-processed'!$C$1:$D$1,0)))</f>
        <v>370</v>
      </c>
      <c r="U42" s="23">
        <f t="shared" si="26"/>
        <v>360</v>
      </c>
      <c r="V42" s="23">
        <f t="shared" si="34"/>
        <v>4731.4285714285716</v>
      </c>
      <c r="W42" s="23">
        <f>$B$53/4*BH42/_xlfn.XLOOKUP(Q_end,cpi!A:A,cpi!B:B)</f>
        <v>149.68901174844507</v>
      </c>
      <c r="X42" s="23">
        <f t="shared" si="42"/>
        <v>4881.117583177017</v>
      </c>
      <c r="Y42" s="23">
        <f t="shared" si="43"/>
        <v>1537.0620258598274</v>
      </c>
      <c r="Z42" s="23">
        <f t="shared" si="64"/>
        <v>0</v>
      </c>
      <c r="AA42" s="23" cm="1">
        <f t="array" ref="AA42">(Y42+Z42)*eff_invest</f>
        <v>1537.0620258598274</v>
      </c>
      <c r="AB42" s="23">
        <f>AA42*(_xlfn.XLOOKUP(Q_end,cpi!A:A,cpi!B:B)/BH42)</f>
        <v>2053.6738240250879</v>
      </c>
      <c r="AC42" s="23" cm="1">
        <f t="array" ref="AC42">INDEX('msci-indices'!C:C,MATCH($L42,'msci-indices'!$B:$B)-2)</f>
        <v>1189.2854910000001</v>
      </c>
      <c r="AD42" s="23" cm="1">
        <f t="array" ref="AD42">INDEX('msci-indices'!D:D,MATCH($L42,'msci-indices'!$B:$B)-2)</f>
        <v>1131.230902</v>
      </c>
      <c r="AE42" s="23">
        <f t="shared" si="65"/>
        <v>269337.12785270758</v>
      </c>
      <c r="AF42" s="23" cm="1">
        <f t="array" ref="AF42">INDEX('msci-indices'!C:C,MATCH($L42,'msci-indices'!$B:$B)+1)</f>
        <v>1252.64913</v>
      </c>
      <c r="AG42" s="23" cm="1">
        <f t="array" ref="AG42">INDEX('msci-indices'!D:D,MATCH($L42,'msci-indices'!$B:$B)+1)</f>
        <v>1204.1584660000001</v>
      </c>
      <c r="AH42" s="23">
        <f t="shared" si="44"/>
        <v>168.33570490794224</v>
      </c>
      <c r="AI42" s="23">
        <f t="shared" si="45"/>
        <v>284422.79595261288</v>
      </c>
      <c r="AJ42" s="23">
        <f t="shared" si="66"/>
        <v>188504.63905038388</v>
      </c>
      <c r="AK42" s="23">
        <f t="shared" si="46"/>
        <v>95918.156902229006</v>
      </c>
      <c r="AL42" s="23">
        <f>AJ42*(_xlfn.XLOOKUP(Q_end,cpi!A:A,cpi!B:B)/BH42)</f>
        <v>251861.69224922018</v>
      </c>
      <c r="AM42" s="23" cm="1">
        <f t="array" ref="AM42">SUMPRODUCT($AA$3:AA42,_xlfn.SORTBY($BH$3:BH42,_xlfn.SEQUENCE(ROWS($BH$3:BH42)),-1)/$BH$3)</f>
        <v>230415.70844098026</v>
      </c>
      <c r="AN42" s="23">
        <f t="shared" si="30"/>
        <v>54007.087511632621</v>
      </c>
      <c r="AO42" s="23">
        <f t="shared" si="47"/>
        <v>0</v>
      </c>
      <c r="AP42" s="23">
        <f t="shared" si="31"/>
        <v>284422.79595261288</v>
      </c>
      <c r="AQ42" s="23"/>
      <c r="AR42" s="11">
        <f>IF($B$10="3BR_H",
INDEX('ns-combined'!$C:$D,MATCH($L42,'ns-combined'!$B:$B,0),MATCH(Council_Area,'ns-combined'!$C$1:$D$1,0))*1000,
INDEX('s-combined'!$C:$D,MATCH($L42,'s-combined'!$B:$B,0),MATCH(Council_Area,'s-combined'!$C$1:$D$1,0))*1000)</f>
        <v>612300</v>
      </c>
      <c r="AS42" s="23">
        <f t="shared" si="35"/>
        <v>33000</v>
      </c>
      <c r="AT42" s="11">
        <v>0</v>
      </c>
      <c r="AU42" s="23">
        <f t="shared" si="48"/>
        <v>12246</v>
      </c>
      <c r="AV42" s="23">
        <f t="shared" si="49"/>
        <v>1760.3625</v>
      </c>
      <c r="AW42" s="23">
        <f>SUM($AV$3:AV42)</f>
        <v>52986.250000000007</v>
      </c>
      <c r="AX42" s="23">
        <f t="shared" si="50"/>
        <v>514067.75</v>
      </c>
      <c r="AY42" s="23">
        <f t="shared" si="51"/>
        <v>1656.0000000000002</v>
      </c>
      <c r="AZ42" s="25">
        <f t="shared" si="52"/>
        <v>1.0818226359627635E-2</v>
      </c>
      <c r="BA42" s="25">
        <f t="shared" si="53"/>
        <v>0.35000000000000003</v>
      </c>
      <c r="BB42" s="26">
        <f>IF(MortgageRate="Discounted",_xlfn.XLOOKUP(L42,'mortgage-rates'!$A:$A,'mortgage-rates'!$E:$E)/100,_xlfn.XLOOKUP(L42,'mortgage-rates'!$A:$A,'mortgage-rates'!$D:$D)/100)</f>
        <v>4.8300000000000003E-2</v>
      </c>
      <c r="BC42" s="11">
        <f t="shared" si="67"/>
        <v>204737.22217742557</v>
      </c>
      <c r="BD42" s="11">
        <f t="shared" si="54"/>
        <v>4762.1796090368443</v>
      </c>
      <c r="BE42" s="11">
        <f t="shared" si="55"/>
        <v>2472.2019577924139</v>
      </c>
      <c r="BF42" s="11">
        <f t="shared" si="36"/>
        <v>2289.9776512444305</v>
      </c>
      <c r="BG42" s="13">
        <f t="shared" si="56"/>
        <v>6418.1796090368443</v>
      </c>
      <c r="BH42" s="23">
        <f>INDEX(cpi!B:B,MATCH($L42,cpi!A:A))</f>
        <v>108.3</v>
      </c>
      <c r="BI42" s="23">
        <f t="shared" si="57"/>
        <v>128.01418439716312</v>
      </c>
      <c r="BJ42" s="23">
        <f t="shared" si="58"/>
        <v>157.54637874303378</v>
      </c>
      <c r="BK42" s="23">
        <f t="shared" si="59"/>
        <v>158.66764710457753</v>
      </c>
      <c r="BL42" s="23">
        <f t="shared" si="60"/>
        <v>157.88275925149691</v>
      </c>
      <c r="BM42" s="23">
        <f t="shared" si="61"/>
        <v>299.93094721423626</v>
      </c>
      <c r="BN42" s="23">
        <f t="shared" si="62"/>
        <v>185.54545454545453</v>
      </c>
      <c r="BO42">
        <f t="shared" si="63"/>
        <v>159.83389104589565</v>
      </c>
    </row>
    <row r="43" spans="1:67" x14ac:dyDescent="0.25">
      <c r="A43" t="s">
        <v>332</v>
      </c>
      <c r="B43" s="4">
        <v>2.5000000000000001E-3</v>
      </c>
      <c r="C43" s="4">
        <v>2.5000000000000001E-3</v>
      </c>
      <c r="L43" s="1">
        <f t="shared" si="33"/>
        <v>42430</v>
      </c>
      <c r="M43" s="11">
        <f t="shared" si="38"/>
        <v>282861.82230836758</v>
      </c>
      <c r="N43" s="11">
        <f t="shared" si="39"/>
        <v>265748.50547381886</v>
      </c>
      <c r="O43" s="8">
        <f t="shared" si="25"/>
        <v>1.0643966625664982</v>
      </c>
      <c r="P43" s="8">
        <f t="shared" si="40"/>
        <v>0.78407178683859236</v>
      </c>
      <c r="Q43">
        <v>41</v>
      </c>
      <c r="R43">
        <f t="shared" si="41"/>
        <v>91</v>
      </c>
      <c r="S43" s="23"/>
      <c r="T43" s="23">
        <f>IF($B$10="3BR_H",
INDEX('3BR_H-processed'!$C:$D,MATCH($L43,'3BR_H-processed'!$B:$B,0),MATCH(Council_Area,'3BR_H-processed'!$C$1:$D$1,0)),
INDEX('2BR_F-processed'!$C:$D,MATCH($L43,'2BR_F-processed'!$B:$B,0),MATCH(Council_Area,'2BR_F-processed'!$C$1:$D$1,0)))</f>
        <v>380</v>
      </c>
      <c r="U43" s="23">
        <f t="shared" si="26"/>
        <v>380</v>
      </c>
      <c r="V43" s="23">
        <f t="shared" si="34"/>
        <v>4940</v>
      </c>
      <c r="W43" s="23">
        <f>$B$53/4*BH43/_xlfn.XLOOKUP(Q_end,cpi!A:A,cpi!B:B)</f>
        <v>149.550794747754</v>
      </c>
      <c r="X43" s="23">
        <f t="shared" si="42"/>
        <v>5089.5507947477536</v>
      </c>
      <c r="Y43" s="23">
        <f t="shared" si="43"/>
        <v>1401.6288142890908</v>
      </c>
      <c r="Z43" s="23">
        <f t="shared" si="64"/>
        <v>0</v>
      </c>
      <c r="AA43" s="23" cm="1">
        <f t="array" ref="AA43">(Y43+Z43)*eff_invest</f>
        <v>1401.6288142890908</v>
      </c>
      <c r="AB43" s="23">
        <f>AA43*(_xlfn.XLOOKUP(Q_end,cpi!A:A,cpi!B:B)/BH43)</f>
        <v>1874.4518431389226</v>
      </c>
      <c r="AC43" s="23" cm="1">
        <f t="array" ref="AC43">INDEX('msci-indices'!C:C,MATCH($L43,'msci-indices'!$B:$B)-2)</f>
        <v>1252.64913</v>
      </c>
      <c r="AD43" s="23" cm="1">
        <f t="array" ref="AD43">INDEX('msci-indices'!D:D,MATCH($L43,'msci-indices'!$B:$B)-2)</f>
        <v>1204.1584660000001</v>
      </c>
      <c r="AE43" s="23">
        <f t="shared" si="65"/>
        <v>285824.424766902</v>
      </c>
      <c r="AF43" s="23" cm="1">
        <f t="array" ref="AF43">INDEX('msci-indices'!C:C,MATCH($L43,'msci-indices'!$B:$B)+1)</f>
        <v>1249.9268750000001</v>
      </c>
      <c r="AG43" s="23" cm="1">
        <f t="array" ref="AG43">INDEX('msci-indices'!D:D,MATCH($L43,'msci-indices'!$B:$B)+1)</f>
        <v>1171.1690430000001</v>
      </c>
      <c r="AH43" s="23">
        <f t="shared" si="44"/>
        <v>178.64026547931374</v>
      </c>
      <c r="AI43" s="23">
        <f t="shared" si="45"/>
        <v>282861.82230836758</v>
      </c>
      <c r="AJ43" s="23">
        <f t="shared" si="66"/>
        <v>189906.26786467296</v>
      </c>
      <c r="AK43" s="23">
        <f t="shared" si="46"/>
        <v>92955.554443694622</v>
      </c>
      <c r="AL43" s="23">
        <f>AJ43*(_xlfn.XLOOKUP(Q_end,cpi!A:A,cpi!B:B)/BH43)</f>
        <v>253968.91829961346</v>
      </c>
      <c r="AM43" s="23" cm="1">
        <f t="array" ref="AM43">SUMPRODUCT($AA$3:AA43,_xlfn.SORTBY($BH$3:BH43,_xlfn.SEQUENCE(ROWS($BH$3:BH43)),-1)/$BH$3)</f>
        <v>232407.81349222886</v>
      </c>
      <c r="AN43" s="23">
        <f t="shared" si="30"/>
        <v>50454.008816138725</v>
      </c>
      <c r="AO43" s="23">
        <f t="shared" si="47"/>
        <v>0</v>
      </c>
      <c r="AP43" s="23">
        <f t="shared" si="31"/>
        <v>282861.82230836758</v>
      </c>
      <c r="AQ43" s="23"/>
      <c r="AR43" s="11">
        <f>IF($B$10="3BR_H",
INDEX('ns-combined'!$C:$D,MATCH($L43,'ns-combined'!$B:$B,0),MATCH(Council_Area,'ns-combined'!$C$1:$D$1,0))*1000,
INDEX('s-combined'!$C:$D,MATCH($L43,'s-combined'!$B:$B,0),MATCH(Council_Area,'s-combined'!$C$1:$D$1,0))*1000)</f>
        <v>568000</v>
      </c>
      <c r="AS43" s="23">
        <f t="shared" si="35"/>
        <v>33825</v>
      </c>
      <c r="AT43" s="11">
        <v>0</v>
      </c>
      <c r="AU43" s="23">
        <f t="shared" si="48"/>
        <v>11360</v>
      </c>
      <c r="AV43" s="23">
        <f t="shared" si="49"/>
        <v>1633</v>
      </c>
      <c r="AW43" s="23">
        <f>SUM($AV$3:AV43)</f>
        <v>54619.250000000007</v>
      </c>
      <c r="AX43" s="23">
        <f t="shared" si="50"/>
        <v>468195.75</v>
      </c>
      <c r="AY43" s="23">
        <f t="shared" si="51"/>
        <v>1729.0000000000002</v>
      </c>
      <c r="AZ43" s="25">
        <f t="shared" si="52"/>
        <v>1.2176056338028171E-2</v>
      </c>
      <c r="BA43" s="25">
        <f t="shared" si="53"/>
        <v>0.35000000000000003</v>
      </c>
      <c r="BB43" s="26">
        <f>IF(MortgageRate="Discounted",_xlfn.XLOOKUP(L43,'mortgage-rates'!$A:$A,'mortgage-rates'!$E:$E)/100,_xlfn.XLOOKUP(L43,'mortgage-rates'!$A:$A,'mortgage-rates'!$D:$D)/100)</f>
        <v>4.8300000000000003E-2</v>
      </c>
      <c r="BC43" s="11">
        <f t="shared" si="67"/>
        <v>202447.24452618114</v>
      </c>
      <c r="BD43" s="11">
        <f t="shared" si="54"/>
        <v>4762.1796090368443</v>
      </c>
      <c r="BE43" s="11">
        <f t="shared" si="55"/>
        <v>2444.5504776536372</v>
      </c>
      <c r="BF43" s="11">
        <f t="shared" si="36"/>
        <v>2317.6291313832071</v>
      </c>
      <c r="BG43" s="13">
        <f t="shared" si="56"/>
        <v>6491.1796090368443</v>
      </c>
      <c r="BH43" s="23">
        <f>INDEX(cpi!B:B,MATCH($L43,cpi!A:A))</f>
        <v>108.2</v>
      </c>
      <c r="BI43" s="23">
        <f t="shared" si="57"/>
        <v>127.89598108747046</v>
      </c>
      <c r="BJ43" s="23">
        <f t="shared" si="58"/>
        <v>165.94025216028786</v>
      </c>
      <c r="BK43" s="23">
        <f t="shared" si="59"/>
        <v>168.89654464308245</v>
      </c>
      <c r="BL43" s="23">
        <f t="shared" si="60"/>
        <v>166.82713990512624</v>
      </c>
      <c r="BM43" s="23">
        <f t="shared" si="61"/>
        <v>318.29102486079444</v>
      </c>
      <c r="BN43" s="23">
        <f t="shared" si="62"/>
        <v>172.12121212121212</v>
      </c>
      <c r="BO43">
        <f t="shared" si="63"/>
        <v>145.57137360523279</v>
      </c>
    </row>
    <row r="44" spans="1:67" x14ac:dyDescent="0.25">
      <c r="A44" s="7" t="s">
        <v>465</v>
      </c>
      <c r="B44" t="s">
        <v>343</v>
      </c>
      <c r="C44" t="s">
        <v>343</v>
      </c>
      <c r="L44" s="1">
        <f t="shared" si="33"/>
        <v>42522</v>
      </c>
      <c r="M44" s="11">
        <f t="shared" si="38"/>
        <v>289617.74491369957</v>
      </c>
      <c r="N44" s="11">
        <f t="shared" si="39"/>
        <v>306647.38460520207</v>
      </c>
      <c r="O44" s="8">
        <f t="shared" si="25"/>
        <v>0.94446507439341909</v>
      </c>
      <c r="P44" s="8">
        <f t="shared" si="40"/>
        <v>0.79331912768911383</v>
      </c>
      <c r="Q44">
        <v>42</v>
      </c>
      <c r="R44">
        <f t="shared" si="41"/>
        <v>91</v>
      </c>
      <c r="S44" s="23"/>
      <c r="T44" s="23">
        <f>IF($B$10="3BR_H",
INDEX('3BR_H-processed'!$C:$D,MATCH($L44,'3BR_H-processed'!$B:$B,0),MATCH(Council_Area,'3BR_H-processed'!$C$1:$D$1,0)),
INDEX('2BR_F-processed'!$C:$D,MATCH($L44,'2BR_F-processed'!$B:$B,0),MATCH(Council_Area,'2BR_F-processed'!$C$1:$D$1,0)))</f>
        <v>370</v>
      </c>
      <c r="U44" s="23">
        <f t="shared" si="26"/>
        <v>380</v>
      </c>
      <c r="V44" s="23">
        <f t="shared" si="34"/>
        <v>4940</v>
      </c>
      <c r="W44" s="23">
        <f>$B$53/4*BH44/_xlfn.XLOOKUP(Q_end,cpi!A:A,cpi!B:B)</f>
        <v>150.38009675190048</v>
      </c>
      <c r="X44" s="23">
        <f t="shared" si="42"/>
        <v>5090.3800967519001</v>
      </c>
      <c r="Y44" s="23">
        <f t="shared" si="43"/>
        <v>1326.1803000455911</v>
      </c>
      <c r="Z44" s="23">
        <f t="shared" si="64"/>
        <v>0</v>
      </c>
      <c r="AA44" s="23" cm="1">
        <f t="array" ref="AA44">(Y44+Z44)*eff_invest</f>
        <v>1326.1803000455911</v>
      </c>
      <c r="AB44" s="23">
        <f>AA44*(_xlfn.XLOOKUP(Q_end,cpi!A:A,cpi!B:B)/BH44)</f>
        <v>1763.771042431958</v>
      </c>
      <c r="AC44" s="23" cm="1">
        <f t="array" ref="AC44">INDEX('msci-indices'!C:C,MATCH($L44,'msci-indices'!$B:$B)-2)</f>
        <v>1249.9268750000001</v>
      </c>
      <c r="AD44" s="23" cm="1">
        <f t="array" ref="AD44">INDEX('msci-indices'!D:D,MATCH($L44,'msci-indices'!$B:$B)-2)</f>
        <v>1171.1690430000001</v>
      </c>
      <c r="AE44" s="23">
        <f t="shared" si="65"/>
        <v>284188.00260841317</v>
      </c>
      <c r="AF44" s="23" cm="1">
        <f t="array" ref="AF44">INDEX('msci-indices'!C:C,MATCH($L44,'msci-indices'!$B:$B)+1)</f>
        <v>1263.5195100000001</v>
      </c>
      <c r="AG44" s="23" cm="1">
        <f t="array" ref="AG44">INDEX('msci-indices'!D:D,MATCH($L44,'msci-indices'!$B:$B)+1)</f>
        <v>1218.479752</v>
      </c>
      <c r="AH44" s="23">
        <f t="shared" si="44"/>
        <v>177.61750163025823</v>
      </c>
      <c r="AI44" s="23">
        <f t="shared" si="45"/>
        <v>289617.74491369957</v>
      </c>
      <c r="AJ44" s="23">
        <f t="shared" si="66"/>
        <v>191232.44816471855</v>
      </c>
      <c r="AK44" s="23">
        <f t="shared" si="46"/>
        <v>98385.296748981025</v>
      </c>
      <c r="AL44" s="23">
        <f>AJ44*(_xlfn.XLOOKUP(Q_end,cpi!A:A,cpi!B:B)/BH44)</f>
        <v>254332.1254543637</v>
      </c>
      <c r="AM44" s="23" cm="1">
        <f t="array" ref="AM44">SUMPRODUCT($AA$3:AA44,_xlfn.SORTBY($BH$3:BH44,_xlfn.SEQUENCE(ROWS($BH$3:BH44)),-1)/$BH$3)</f>
        <v>235041.88909899912</v>
      </c>
      <c r="AN44" s="23">
        <f t="shared" si="30"/>
        <v>54575.855814700451</v>
      </c>
      <c r="AO44" s="23">
        <f t="shared" si="47"/>
        <v>0</v>
      </c>
      <c r="AP44" s="23">
        <f t="shared" si="31"/>
        <v>289617.74491369957</v>
      </c>
      <c r="AQ44" s="23"/>
      <c r="AR44" s="11">
        <f>IF($B$10="3BR_H",
INDEX('ns-combined'!$C:$D,MATCH($L44,'ns-combined'!$B:$B,0),MATCH(Council_Area,'ns-combined'!$C$1:$D$1,0))*1000,
INDEX('s-combined'!$C:$D,MATCH($L44,'s-combined'!$B:$B,0),MATCH(Council_Area,'s-combined'!$C$1:$D$1,0))*1000)</f>
        <v>610000</v>
      </c>
      <c r="AS44" s="23">
        <f t="shared" si="35"/>
        <v>34650</v>
      </c>
      <c r="AT44" s="11">
        <v>0</v>
      </c>
      <c r="AU44" s="23">
        <f t="shared" si="48"/>
        <v>12200</v>
      </c>
      <c r="AV44" s="23">
        <f t="shared" si="49"/>
        <v>1753.75</v>
      </c>
      <c r="AW44" s="23">
        <f>SUM($AV$3:AV44)</f>
        <v>56373.000000000007</v>
      </c>
      <c r="AX44" s="23">
        <f t="shared" si="50"/>
        <v>506777</v>
      </c>
      <c r="AY44" s="23">
        <f t="shared" si="51"/>
        <v>1729.0000000000002</v>
      </c>
      <c r="AZ44" s="25">
        <f t="shared" si="52"/>
        <v>1.1337704918032789E-2</v>
      </c>
      <c r="BA44" s="25">
        <f t="shared" si="53"/>
        <v>0.35000000000000003</v>
      </c>
      <c r="BB44" s="26">
        <f>IF(MortgageRate="Discounted",_xlfn.XLOOKUP(L44,'mortgage-rates'!$A:$A,'mortgage-rates'!$E:$E)/100,_xlfn.XLOOKUP(L44,'mortgage-rates'!$A:$A,'mortgage-rates'!$D:$D)/100)</f>
        <v>4.5899999999999996E-2</v>
      </c>
      <c r="BC44" s="11">
        <f t="shared" si="67"/>
        <v>200129.61539479793</v>
      </c>
      <c r="BD44" s="11">
        <f t="shared" si="54"/>
        <v>4687.5603967974912</v>
      </c>
      <c r="BE44" s="11">
        <f t="shared" si="55"/>
        <v>2296.4873366553061</v>
      </c>
      <c r="BF44" s="11">
        <f t="shared" si="36"/>
        <v>2391.0730601421851</v>
      </c>
      <c r="BG44" s="13">
        <f t="shared" si="56"/>
        <v>6416.5603967974912</v>
      </c>
      <c r="BH44" s="23">
        <f>INDEX(cpi!B:B,MATCH($L44,cpi!A:A))</f>
        <v>108.8</v>
      </c>
      <c r="BI44" s="23">
        <f t="shared" si="57"/>
        <v>128.60520094562648</v>
      </c>
      <c r="BJ44" s="23">
        <f t="shared" si="58"/>
        <v>165.57963108106787</v>
      </c>
      <c r="BK44" s="23">
        <f t="shared" si="59"/>
        <v>164.2694131551666</v>
      </c>
      <c r="BL44" s="23">
        <f t="shared" si="60"/>
        <v>165.1865657032975</v>
      </c>
      <c r="BM44" s="23">
        <f t="shared" si="61"/>
        <v>316.46872263328152</v>
      </c>
      <c r="BN44" s="23">
        <f t="shared" si="62"/>
        <v>184.84848484848484</v>
      </c>
      <c r="BO44">
        <f t="shared" si="63"/>
        <v>157.56705181868708</v>
      </c>
    </row>
    <row r="45" spans="1:67" x14ac:dyDescent="0.25">
      <c r="A45" t="s">
        <v>346</v>
      </c>
      <c r="B45" s="9">
        <v>0.32</v>
      </c>
      <c r="C45" s="9">
        <v>0.32</v>
      </c>
      <c r="L45" s="1">
        <f t="shared" si="33"/>
        <v>42614</v>
      </c>
      <c r="M45" s="11">
        <f t="shared" si="38"/>
        <v>305984.9137433602</v>
      </c>
      <c r="N45" s="11">
        <f t="shared" si="39"/>
        <v>301574.08266534423</v>
      </c>
      <c r="O45" s="8">
        <f t="shared" si="25"/>
        <v>1.0146260283345059</v>
      </c>
      <c r="P45" s="8">
        <f t="shared" si="40"/>
        <v>0.8025580572266211</v>
      </c>
      <c r="Q45">
        <v>43</v>
      </c>
      <c r="R45">
        <f t="shared" si="41"/>
        <v>92</v>
      </c>
      <c r="S45" s="23"/>
      <c r="T45" s="23">
        <f>IF($B$10="3BR_H",
INDEX('3BR_H-processed'!$C:$D,MATCH($L45,'3BR_H-processed'!$B:$B,0),MATCH(Council_Area,'3BR_H-processed'!$C$1:$D$1,0)),
INDEX('2BR_F-processed'!$C:$D,MATCH($L45,'2BR_F-processed'!$B:$B,0),MATCH(Council_Area,'2BR_F-processed'!$C$1:$D$1,0)))</f>
        <v>375</v>
      </c>
      <c r="U45" s="23">
        <f t="shared" si="26"/>
        <v>380</v>
      </c>
      <c r="V45" s="23">
        <f t="shared" si="34"/>
        <v>4994.2857142857147</v>
      </c>
      <c r="W45" s="23">
        <f>$B$53/4*BH45/_xlfn.XLOOKUP(Q_end,cpi!A:A,cpi!B:B)</f>
        <v>151.07118175535592</v>
      </c>
      <c r="X45" s="23">
        <f t="shared" si="42"/>
        <v>5145.3568960410703</v>
      </c>
      <c r="Y45" s="23">
        <f t="shared" si="43"/>
        <v>1265.8389666255453</v>
      </c>
      <c r="Z45" s="23">
        <f t="shared" si="64"/>
        <v>0</v>
      </c>
      <c r="AA45" s="23" cm="1">
        <f t="array" ref="AA45">(Y45+Z45)*eff_invest</f>
        <v>1265.8389666255453</v>
      </c>
      <c r="AB45" s="23">
        <f>AA45*(_xlfn.XLOOKUP(Q_end,cpi!A:A,cpi!B:B)/BH45)</f>
        <v>1675.817918304816</v>
      </c>
      <c r="AC45" s="23" cm="1">
        <f t="array" ref="AC45">INDEX('msci-indices'!C:C,MATCH($L45,'msci-indices'!$B:$B)-2)</f>
        <v>1263.5195100000001</v>
      </c>
      <c r="AD45" s="23" cm="1">
        <f t="array" ref="AD45">INDEX('msci-indices'!D:D,MATCH($L45,'msci-indices'!$B:$B)-2)</f>
        <v>1218.479752</v>
      </c>
      <c r="AE45" s="23">
        <f t="shared" si="65"/>
        <v>290883.58388032514</v>
      </c>
      <c r="AF45" s="23" cm="1">
        <f t="array" ref="AF45">INDEX('msci-indices'!C:C,MATCH($L45,'msci-indices'!$B:$B)+1)</f>
        <v>1329.025858</v>
      </c>
      <c r="AG45" s="23" cm="1">
        <f t="array" ref="AG45">INDEX('msci-indices'!D:D,MATCH($L45,'msci-indices'!$B:$B)+1)</f>
        <v>1284.47801</v>
      </c>
      <c r="AH45" s="23">
        <f t="shared" si="44"/>
        <v>181.80223992520322</v>
      </c>
      <c r="AI45" s="23">
        <f t="shared" si="45"/>
        <v>305984.9137433602</v>
      </c>
      <c r="AJ45" s="23">
        <f t="shared" si="66"/>
        <v>192498.28713134408</v>
      </c>
      <c r="AK45" s="23">
        <f t="shared" si="46"/>
        <v>113486.62661201612</v>
      </c>
      <c r="AL45" s="23">
        <f>AJ45*(_xlfn.XLOOKUP(Q_end,cpi!A:A,cpi!B:B)/BH45)</f>
        <v>254844.4844273146</v>
      </c>
      <c r="AM45" s="23" cm="1">
        <f t="array" ref="AM45">SUMPRODUCT($AA$3:AA45,_xlfn.SORTBY($BH$3:BH45,_xlfn.SEQUENCE(ROWS($BH$3:BH45)),-1)/$BH$3)</f>
        <v>237508.44496052712</v>
      </c>
      <c r="AN45" s="23">
        <f t="shared" si="30"/>
        <v>68476.468782833079</v>
      </c>
      <c r="AO45" s="23">
        <f t="shared" si="47"/>
        <v>0</v>
      </c>
      <c r="AP45" s="23">
        <f t="shared" si="31"/>
        <v>305984.9137433602</v>
      </c>
      <c r="AQ45" s="23"/>
      <c r="AR45" s="11">
        <f>IF($B$10="3BR_H",
INDEX('ns-combined'!$C:$D,MATCH($L45,'ns-combined'!$B:$B,0),MATCH(Council_Area,'ns-combined'!$C$1:$D$1,0))*1000,
INDEX('s-combined'!$C:$D,MATCH($L45,'s-combined'!$B:$B,0),MATCH(Council_Area,'s-combined'!$C$1:$D$1,0))*1000)</f>
        <v>605000</v>
      </c>
      <c r="AS45" s="23">
        <f t="shared" si="35"/>
        <v>35475</v>
      </c>
      <c r="AT45" s="11">
        <v>0</v>
      </c>
      <c r="AU45" s="23">
        <f t="shared" si="48"/>
        <v>12100</v>
      </c>
      <c r="AV45" s="23">
        <f t="shared" si="49"/>
        <v>1739.375</v>
      </c>
      <c r="AW45" s="23">
        <f>SUM($AV$3:AV45)</f>
        <v>58112.375000000007</v>
      </c>
      <c r="AX45" s="23">
        <f t="shared" si="50"/>
        <v>499312.625</v>
      </c>
      <c r="AY45" s="23">
        <f t="shared" si="51"/>
        <v>1748.0000000000002</v>
      </c>
      <c r="AZ45" s="25">
        <f t="shared" si="52"/>
        <v>1.155702479338843E-2</v>
      </c>
      <c r="BA45" s="25">
        <f t="shared" si="53"/>
        <v>0.35000000000000003</v>
      </c>
      <c r="BB45" s="26">
        <f>IF(MortgageRate="Discounted",_xlfn.XLOOKUP(L45,'mortgage-rates'!$A:$A,'mortgage-rates'!$E:$E)/100,_xlfn.XLOOKUP(L45,'mortgage-rates'!$A:$A,'mortgage-rates'!$D:$D)/100)</f>
        <v>4.5100000000000001E-2</v>
      </c>
      <c r="BC45" s="11">
        <f t="shared" si="67"/>
        <v>197738.54233465574</v>
      </c>
      <c r="BD45" s="11">
        <f t="shared" si="54"/>
        <v>4663.1958626666155</v>
      </c>
      <c r="BE45" s="11">
        <f t="shared" si="55"/>
        <v>2229.5020648232435</v>
      </c>
      <c r="BF45" s="11">
        <f t="shared" si="36"/>
        <v>2433.6937978433721</v>
      </c>
      <c r="BG45" s="13">
        <f t="shared" si="56"/>
        <v>6411.1958626666155</v>
      </c>
      <c r="BH45" s="23">
        <f>INDEX(cpi!B:B,MATCH($L45,cpi!A:A))</f>
        <v>109.3</v>
      </c>
      <c r="BI45" s="23">
        <f t="shared" si="57"/>
        <v>129.19621749408984</v>
      </c>
      <c r="BJ45" s="23">
        <f t="shared" si="58"/>
        <v>167.38026720925703</v>
      </c>
      <c r="BK45" s="23">
        <f t="shared" si="59"/>
        <v>170.90526341934137</v>
      </c>
      <c r="BL45" s="23">
        <f t="shared" si="60"/>
        <v>168.43776607228233</v>
      </c>
      <c r="BM45" s="23">
        <f t="shared" si="61"/>
        <v>323.9248503830832</v>
      </c>
      <c r="BN45" s="23">
        <f t="shared" si="62"/>
        <v>183.33333333333334</v>
      </c>
      <c r="BO45">
        <f t="shared" si="63"/>
        <v>155.24622912464389</v>
      </c>
    </row>
    <row r="46" spans="1:67" x14ac:dyDescent="0.25">
      <c r="A46" t="s">
        <v>345</v>
      </c>
      <c r="B46" s="9">
        <v>0.15</v>
      </c>
      <c r="C46" s="9">
        <v>0.15</v>
      </c>
      <c r="L46" s="1">
        <f t="shared" si="33"/>
        <v>42705</v>
      </c>
      <c r="M46" s="11">
        <f t="shared" si="38"/>
        <v>316468.28926685615</v>
      </c>
      <c r="N46" s="11">
        <f t="shared" si="39"/>
        <v>369842.15146318765</v>
      </c>
      <c r="O46" s="8">
        <f t="shared" si="25"/>
        <v>0.85568475095342378</v>
      </c>
      <c r="P46" s="8">
        <f t="shared" si="40"/>
        <v>0.80266585068953511</v>
      </c>
      <c r="Q46">
        <v>44</v>
      </c>
      <c r="R46">
        <f t="shared" si="41"/>
        <v>92</v>
      </c>
      <c r="S46" s="23"/>
      <c r="T46" s="23">
        <f>IF($B$10="3BR_H",
INDEX('3BR_H-processed'!$C:$D,MATCH($L46,'3BR_H-processed'!$B:$B,0),MATCH(Council_Area,'3BR_H-processed'!$C$1:$D$1,0)),
INDEX('2BR_F-processed'!$C:$D,MATCH($L46,'2BR_F-processed'!$B:$B,0),MATCH(Council_Area,'2BR_F-processed'!$C$1:$D$1,0)))</f>
        <v>380</v>
      </c>
      <c r="U46" s="23">
        <f t="shared" si="26"/>
        <v>380</v>
      </c>
      <c r="V46" s="23">
        <f t="shared" si="34"/>
        <v>4994.2857142857147</v>
      </c>
      <c r="W46" s="23">
        <f>$B$53/4*BH46/_xlfn.XLOOKUP(Q_end,cpi!A:A,cpi!B:B)</f>
        <v>151.76226675881134</v>
      </c>
      <c r="X46" s="23">
        <f t="shared" si="42"/>
        <v>5146.0479810445258</v>
      </c>
      <c r="Y46" s="23">
        <f t="shared" si="43"/>
        <v>1265.1478816220888</v>
      </c>
      <c r="Z46" s="23">
        <f t="shared" si="64"/>
        <v>0</v>
      </c>
      <c r="AA46" s="23" cm="1">
        <f t="array" ref="AA46">(Y46+Z46)*eff_invest</f>
        <v>1265.1478816220888</v>
      </c>
      <c r="AB46" s="23">
        <f>AA46*(_xlfn.XLOOKUP(Q_end,cpi!A:A,cpi!B:B)/BH46)</f>
        <v>1667.2759423562497</v>
      </c>
      <c r="AC46" s="23" cm="1">
        <f t="array" ref="AC46">INDEX('msci-indices'!C:C,MATCH($L46,'msci-indices'!$B:$B)-2)</f>
        <v>1329.025858</v>
      </c>
      <c r="AD46" s="23" cm="1">
        <f t="array" ref="AD46">INDEX('msci-indices'!D:D,MATCH($L46,'msci-indices'!$B:$B)-2)</f>
        <v>1284.47801</v>
      </c>
      <c r="AE46" s="23">
        <f t="shared" si="65"/>
        <v>307250.06162498228</v>
      </c>
      <c r="AF46" s="23" cm="1">
        <f t="array" ref="AF46">INDEX('msci-indices'!C:C,MATCH($L46,'msci-indices'!$B:$B)+1)</f>
        <v>1355.3009059999999</v>
      </c>
      <c r="AG46" s="23" cm="1">
        <f t="array" ref="AG46">INDEX('msci-indices'!D:D,MATCH($L46,'msci-indices'!$B:$B)+1)</f>
        <v>1356.3584840000001</v>
      </c>
      <c r="AH46" s="23">
        <f t="shared" si="44"/>
        <v>192.03128851561394</v>
      </c>
      <c r="AI46" s="23">
        <f t="shared" si="45"/>
        <v>316468.28926685615</v>
      </c>
      <c r="AJ46" s="23">
        <f t="shared" si="66"/>
        <v>193763.43501296616</v>
      </c>
      <c r="AK46" s="23">
        <f t="shared" si="46"/>
        <v>122704.85425388999</v>
      </c>
      <c r="AL46" s="23">
        <f>AJ46*(_xlfn.XLOOKUP(Q_end,cpi!A:A,cpi!B:B)/BH46)</f>
        <v>255351.26636043898</v>
      </c>
      <c r="AM46" s="23" cm="1">
        <f t="array" ref="AM46">SUMPRODUCT($AA$3:AA46,_xlfn.SORTBY($BH$3:BH46,_xlfn.SEQUENCE(ROWS($BH$3:BH46)),-1)/$BH$3)</f>
        <v>239969.45286342365</v>
      </c>
      <c r="AN46" s="23">
        <f t="shared" si="30"/>
        <v>76498.836403432506</v>
      </c>
      <c r="AO46" s="23">
        <f t="shared" si="47"/>
        <v>0</v>
      </c>
      <c r="AP46" s="23">
        <f t="shared" si="31"/>
        <v>316468.28926685615</v>
      </c>
      <c r="AQ46" s="23"/>
      <c r="AR46" s="11">
        <f>IF($B$10="3BR_H",
INDEX('ns-combined'!$C:$D,MATCH($L46,'ns-combined'!$B:$B,0),MATCH(Council_Area,'ns-combined'!$C$1:$D$1,0))*1000,
INDEX('s-combined'!$C:$D,MATCH($L46,'s-combined'!$B:$B,0),MATCH(Council_Area,'s-combined'!$C$1:$D$1,0))*1000)</f>
        <v>675000</v>
      </c>
      <c r="AS46" s="23">
        <f t="shared" si="35"/>
        <v>36300</v>
      </c>
      <c r="AT46" s="11">
        <v>0</v>
      </c>
      <c r="AU46" s="23">
        <f t="shared" si="48"/>
        <v>13500</v>
      </c>
      <c r="AV46" s="23">
        <f t="shared" si="49"/>
        <v>1940.625</v>
      </c>
      <c r="AW46" s="23">
        <f>SUM($AV$3:AV46)</f>
        <v>60053.000000000007</v>
      </c>
      <c r="AX46" s="23">
        <f t="shared" si="50"/>
        <v>565147</v>
      </c>
      <c r="AY46" s="23">
        <f t="shared" si="51"/>
        <v>1748.0000000000002</v>
      </c>
      <c r="AZ46" s="25">
        <f t="shared" si="52"/>
        <v>1.035851851851852E-2</v>
      </c>
      <c r="BA46" s="25">
        <f t="shared" si="53"/>
        <v>0.35000000000000003</v>
      </c>
      <c r="BB46" s="26">
        <f>IF(MortgageRate="Discounted",_xlfn.XLOOKUP(L46,'mortgage-rates'!$A:$A,'mortgage-rates'!$E:$E)/100,_xlfn.XLOOKUP(L46,'mortgage-rates'!$A:$A,'mortgage-rates'!$D:$D)/100)</f>
        <v>4.5100000000000001E-2</v>
      </c>
      <c r="BC46" s="11">
        <f t="shared" si="67"/>
        <v>195304.84853681235</v>
      </c>
      <c r="BD46" s="11">
        <f t="shared" si="54"/>
        <v>4663.1958626666146</v>
      </c>
      <c r="BE46" s="11">
        <f t="shared" si="55"/>
        <v>2202.0621672525594</v>
      </c>
      <c r="BF46" s="11">
        <f t="shared" si="36"/>
        <v>2461.1336954140552</v>
      </c>
      <c r="BG46" s="13">
        <f t="shared" si="56"/>
        <v>6411.1958626666146</v>
      </c>
      <c r="BH46" s="23">
        <f>INDEX(cpi!B:B,MATCH($L46,cpi!A:A))</f>
        <v>109.8</v>
      </c>
      <c r="BI46" s="23">
        <f t="shared" si="57"/>
        <v>129.78723404255319</v>
      </c>
      <c r="BJ46" s="23">
        <f t="shared" si="58"/>
        <v>176.05798840419337</v>
      </c>
      <c r="BK46" s="23">
        <f t="shared" si="59"/>
        <v>180.16224914289867</v>
      </c>
      <c r="BL46" s="23">
        <f t="shared" si="60"/>
        <v>177.28926662580494</v>
      </c>
      <c r="BM46" s="23">
        <f t="shared" si="61"/>
        <v>342.15038509361972</v>
      </c>
      <c r="BN46" s="23">
        <f t="shared" si="62"/>
        <v>204.54545454545453</v>
      </c>
      <c r="BO46">
        <f t="shared" si="63"/>
        <v>175.71544611175239</v>
      </c>
    </row>
    <row r="47" spans="1:67" x14ac:dyDescent="0.25">
      <c r="A47" t="s">
        <v>473</v>
      </c>
      <c r="B47" s="9">
        <f>IF(B44="Yes",B45-B46,0)</f>
        <v>0</v>
      </c>
      <c r="C47" s="9">
        <v>0</v>
      </c>
      <c r="L47" s="1">
        <f t="shared" si="33"/>
        <v>42795</v>
      </c>
      <c r="M47" s="11">
        <f t="shared" si="38"/>
        <v>336121.70610292349</v>
      </c>
      <c r="N47" s="11">
        <f t="shared" si="39"/>
        <v>352437.97265860171</v>
      </c>
      <c r="O47" s="8">
        <f t="shared" si="25"/>
        <v>0.95370457265828334</v>
      </c>
      <c r="P47" s="8">
        <f t="shared" si="40"/>
        <v>0.80431766253319592</v>
      </c>
      <c r="Q47">
        <v>45</v>
      </c>
      <c r="R47">
        <f t="shared" si="41"/>
        <v>90</v>
      </c>
      <c r="S47" s="23"/>
      <c r="T47" s="23">
        <f>IF($B$10="3BR_H",
INDEX('3BR_H-processed'!$C:$D,MATCH($L47,'3BR_H-processed'!$B:$B,0),MATCH(Council_Area,'3BR_H-processed'!$C$1:$D$1,0)),
INDEX('2BR_F-processed'!$C:$D,MATCH($L47,'2BR_F-processed'!$B:$B,0),MATCH(Council_Area,'2BR_F-processed'!$C$1:$D$1,0)))</f>
        <v>390</v>
      </c>
      <c r="U47" s="23">
        <f t="shared" si="26"/>
        <v>390</v>
      </c>
      <c r="V47" s="23">
        <f t="shared" si="34"/>
        <v>5014.2857142857147</v>
      </c>
      <c r="W47" s="23">
        <f>$B$53/4*BH47/_xlfn.XLOOKUP(Q_end,cpi!A:A,cpi!B:B)</f>
        <v>152.72978576364895</v>
      </c>
      <c r="X47" s="23">
        <f t="shared" si="42"/>
        <v>5167.0155000493633</v>
      </c>
      <c r="Y47" s="23">
        <f t="shared" si="43"/>
        <v>1257.0825158711932</v>
      </c>
      <c r="Z47" s="23">
        <f t="shared" si="64"/>
        <v>0</v>
      </c>
      <c r="AA47" s="23" cm="1">
        <f t="array" ref="AA47">(Y47+Z47)*eff_invest</f>
        <v>1257.0825158711932</v>
      </c>
      <c r="AB47" s="23">
        <f>AA47*(_xlfn.XLOOKUP(Q_end,cpi!A:A,cpi!B:B)/BH47)</f>
        <v>1646.1523986114175</v>
      </c>
      <c r="AC47" s="23" cm="1">
        <f t="array" ref="AC47">INDEX('msci-indices'!C:C,MATCH($L47,'msci-indices'!$B:$B)-2)</f>
        <v>1355.3009059999999</v>
      </c>
      <c r="AD47" s="23" cm="1">
        <f t="array" ref="AD47">INDEX('msci-indices'!D:D,MATCH($L47,'msci-indices'!$B:$B)-2)</f>
        <v>1356.3584840000001</v>
      </c>
      <c r="AE47" s="23">
        <f t="shared" si="65"/>
        <v>317725.37178272736</v>
      </c>
      <c r="AF47" s="23" cm="1">
        <f t="array" ref="AF47">INDEX('msci-indices'!C:C,MATCH($L47,'msci-indices'!$B:$B)+1)</f>
        <v>1439.6180119999999</v>
      </c>
      <c r="AG47" s="23" cm="1">
        <f t="array" ref="AG47">INDEX('msci-indices'!D:D,MATCH($L47,'msci-indices'!$B:$B)+1)</f>
        <v>1424.068485</v>
      </c>
      <c r="AH47" s="23">
        <f t="shared" si="44"/>
        <v>198.57835736420461</v>
      </c>
      <c r="AI47" s="23">
        <f t="shared" si="45"/>
        <v>336121.70610292349</v>
      </c>
      <c r="AJ47" s="23">
        <f t="shared" si="66"/>
        <v>195020.51752883734</v>
      </c>
      <c r="AK47" s="23">
        <f t="shared" si="46"/>
        <v>141101.18857408615</v>
      </c>
      <c r="AL47" s="23">
        <f>AJ47*(_xlfn.XLOOKUP(Q_end,cpi!A:A,cpi!B:B)/BH47)</f>
        <v>255379.8089269028</v>
      </c>
      <c r="AM47" s="23" cm="1">
        <f t="array" ref="AM47">SUMPRODUCT($AA$3:AA47,_xlfn.SORTBY($BH$3:BH47,_xlfn.SEQUENCE(ROWS($BH$3:BH47)),-1)/$BH$3)</f>
        <v>242636.82748353778</v>
      </c>
      <c r="AN47" s="23">
        <f t="shared" si="30"/>
        <v>93484.878619385709</v>
      </c>
      <c r="AO47" s="23">
        <f t="shared" si="47"/>
        <v>0</v>
      </c>
      <c r="AP47" s="23">
        <f t="shared" si="31"/>
        <v>336121.70610292349</v>
      </c>
      <c r="AQ47" s="23"/>
      <c r="AR47" s="11">
        <f>IF($B$10="3BR_H",
INDEX('ns-combined'!$C:$D,MATCH($L47,'ns-combined'!$B:$B,0),MATCH(Council_Area,'ns-combined'!$C$1:$D$1,0))*1000,
INDEX('s-combined'!$C:$D,MATCH($L47,'s-combined'!$B:$B,0),MATCH(Council_Area,'s-combined'!$C$1:$D$1,0))*1000)</f>
        <v>657500</v>
      </c>
      <c r="AS47" s="23">
        <f t="shared" si="35"/>
        <v>37125</v>
      </c>
      <c r="AT47" s="11">
        <v>0</v>
      </c>
      <c r="AU47" s="23">
        <f t="shared" si="48"/>
        <v>13150</v>
      </c>
      <c r="AV47" s="23">
        <f t="shared" si="49"/>
        <v>1890.3125</v>
      </c>
      <c r="AW47" s="23">
        <f>SUM($AV$3:AV47)</f>
        <v>61943.312500000007</v>
      </c>
      <c r="AX47" s="23">
        <f t="shared" si="50"/>
        <v>545281.6875</v>
      </c>
      <c r="AY47" s="23">
        <f t="shared" si="51"/>
        <v>1755.0000000000002</v>
      </c>
      <c r="AZ47" s="25">
        <f t="shared" si="52"/>
        <v>1.0676806083650191E-2</v>
      </c>
      <c r="BA47" s="25">
        <f t="shared" si="53"/>
        <v>0.35000000000000003</v>
      </c>
      <c r="BB47" s="26">
        <f>IF(MortgageRate="Discounted",_xlfn.XLOOKUP(L47,'mortgage-rates'!$A:$A,'mortgage-rates'!$E:$E)/100,_xlfn.XLOOKUP(L47,'mortgage-rates'!$A:$A,'mortgage-rates'!$D:$D)/100)</f>
        <v>4.53E-2</v>
      </c>
      <c r="BC47" s="11">
        <f t="shared" si="67"/>
        <v>192843.71484139829</v>
      </c>
      <c r="BD47" s="11">
        <f t="shared" si="54"/>
        <v>4669.0980159205565</v>
      </c>
      <c r="BE47" s="11">
        <f t="shared" si="55"/>
        <v>2183.9550705788356</v>
      </c>
      <c r="BF47" s="11">
        <f t="shared" si="36"/>
        <v>2485.1429453417209</v>
      </c>
      <c r="BG47" s="13">
        <f t="shared" si="56"/>
        <v>6424.0980159205565</v>
      </c>
      <c r="BH47" s="23">
        <f>INDEX(cpi!B:B,MATCH($L47,cpi!A:A))</f>
        <v>110.5</v>
      </c>
      <c r="BI47" s="23">
        <f t="shared" si="57"/>
        <v>130.6146572104019</v>
      </c>
      <c r="BJ47" s="23">
        <f t="shared" si="58"/>
        <v>179.53868222836397</v>
      </c>
      <c r="BK47" s="23">
        <f t="shared" si="59"/>
        <v>190.24428072652827</v>
      </c>
      <c r="BL47" s="23">
        <f t="shared" si="60"/>
        <v>182.75036177781325</v>
      </c>
      <c r="BM47" s="23">
        <f t="shared" si="61"/>
        <v>353.81557853733085</v>
      </c>
      <c r="BN47" s="23">
        <f t="shared" si="62"/>
        <v>199.24242424242425</v>
      </c>
      <c r="BO47">
        <f t="shared" si="63"/>
        <v>169.53892522765167</v>
      </c>
    </row>
    <row r="48" spans="1:67" x14ac:dyDescent="0.25">
      <c r="A48" t="s">
        <v>480</v>
      </c>
      <c r="B48" s="9">
        <v>0.32</v>
      </c>
      <c r="C48" s="9">
        <v>0.32</v>
      </c>
      <c r="L48" s="1">
        <f t="shared" si="33"/>
        <v>42887</v>
      </c>
      <c r="M48" s="11">
        <f t="shared" si="38"/>
        <v>344757.9181912198</v>
      </c>
      <c r="N48" s="11">
        <f t="shared" si="39"/>
        <v>413278.11560394341</v>
      </c>
      <c r="O48" s="8">
        <f t="shared" si="25"/>
        <v>0.83420317983062875</v>
      </c>
      <c r="P48" s="8">
        <f t="shared" si="40"/>
        <v>0.8124464338634857</v>
      </c>
      <c r="Q48">
        <v>46</v>
      </c>
      <c r="R48">
        <f t="shared" si="41"/>
        <v>91</v>
      </c>
      <c r="S48" s="23"/>
      <c r="T48" s="23">
        <f>IF($B$10="3BR_H",
INDEX('3BR_H-processed'!$C:$D,MATCH($L48,'3BR_H-processed'!$B:$B,0),MATCH(Council_Area,'3BR_H-processed'!$C$1:$D$1,0)),
INDEX('2BR_F-processed'!$C:$D,MATCH($L48,'2BR_F-processed'!$B:$B,0),MATCH(Council_Area,'2BR_F-processed'!$C$1:$D$1,0)))</f>
        <v>380</v>
      </c>
      <c r="U48" s="23">
        <f t="shared" si="26"/>
        <v>390</v>
      </c>
      <c r="V48" s="23">
        <f t="shared" si="34"/>
        <v>5070</v>
      </c>
      <c r="W48" s="23">
        <f>$B$53/4*BH48/_xlfn.XLOOKUP(Q_end,cpi!A:A,cpi!B:B)</f>
        <v>153.28265376641329</v>
      </c>
      <c r="X48" s="23">
        <f t="shared" si="42"/>
        <v>5223.2826537664132</v>
      </c>
      <c r="Y48" s="23">
        <f t="shared" si="43"/>
        <v>1205.7967735722686</v>
      </c>
      <c r="Z48" s="23">
        <f t="shared" si="64"/>
        <v>0</v>
      </c>
      <c r="AA48" s="23" cm="1">
        <f t="array" ref="AA48">(Y48+Z48)*eff_invest</f>
        <v>1205.7967735722686</v>
      </c>
      <c r="AB48" s="23">
        <f>AA48*(_xlfn.XLOOKUP(Q_end,cpi!A:A,cpi!B:B)/BH48)</f>
        <v>1573.2984051930318</v>
      </c>
      <c r="AC48" s="23" cm="1">
        <f t="array" ref="AC48">INDEX('msci-indices'!C:C,MATCH($L48,'msci-indices'!$B:$B)-2)</f>
        <v>1439.6180119999999</v>
      </c>
      <c r="AD48" s="23" cm="1">
        <f t="array" ref="AD48">INDEX('msci-indices'!D:D,MATCH($L48,'msci-indices'!$B:$B)-2)</f>
        <v>1424.068485</v>
      </c>
      <c r="AE48" s="23">
        <f t="shared" si="65"/>
        <v>337327.50287649577</v>
      </c>
      <c r="AF48" s="23" cm="1">
        <f t="array" ref="AF48">INDEX('msci-indices'!C:C,MATCH($L48,'msci-indices'!$B:$B)+1)</f>
        <v>1498.0163219999999</v>
      </c>
      <c r="AG48" s="23" cm="1">
        <f t="array" ref="AG48">INDEX('msci-indices'!D:D,MATCH($L48,'msci-indices'!$B:$B)+1)</f>
        <v>1396.8056610000001</v>
      </c>
      <c r="AH48" s="23">
        <f t="shared" si="44"/>
        <v>210.82968929780986</v>
      </c>
      <c r="AI48" s="23">
        <f t="shared" si="45"/>
        <v>344757.9181912198</v>
      </c>
      <c r="AJ48" s="23">
        <f t="shared" si="66"/>
        <v>196226.31430240962</v>
      </c>
      <c r="AK48" s="23">
        <f t="shared" si="46"/>
        <v>148531.60388881018</v>
      </c>
      <c r="AL48" s="23">
        <f>AJ48*(_xlfn.XLOOKUP(Q_end,cpi!A:A,cpi!B:B)/BH48)</f>
        <v>256031.98989683198</v>
      </c>
      <c r="AM48" s="23" cm="1">
        <f t="array" ref="AM48">SUMPRODUCT($AA$3:AA48,_xlfn.SORTBY($BH$3:BH48,_xlfn.SEQUENCE(ROWS($BH$3:BH48)),-1)/$BH$3)</f>
        <v>244952.33078020558</v>
      </c>
      <c r="AN48" s="23">
        <f t="shared" si="30"/>
        <v>99805.587411014218</v>
      </c>
      <c r="AO48" s="23">
        <f t="shared" si="47"/>
        <v>0</v>
      </c>
      <c r="AP48" s="23">
        <f t="shared" si="31"/>
        <v>344757.9181912198</v>
      </c>
      <c r="AQ48" s="23"/>
      <c r="AR48" s="11">
        <f>IF($B$10="3BR_H",
INDEX('ns-combined'!$C:$D,MATCH($L48,'ns-combined'!$B:$B,0),MATCH(Council_Area,'ns-combined'!$C$1:$D$1,0))*1000,
INDEX('s-combined'!$C:$D,MATCH($L48,'s-combined'!$B:$B,0),MATCH(Council_Area,'s-combined'!$C$1:$D$1,0))*1000)</f>
        <v>720000</v>
      </c>
      <c r="AS48" s="23">
        <f t="shared" si="35"/>
        <v>37950</v>
      </c>
      <c r="AT48" s="11">
        <v>0</v>
      </c>
      <c r="AU48" s="23">
        <f t="shared" si="48"/>
        <v>14400</v>
      </c>
      <c r="AV48" s="23">
        <f t="shared" si="49"/>
        <v>2070</v>
      </c>
      <c r="AW48" s="23">
        <f>SUM($AV$3:AV48)</f>
        <v>64013.312500000007</v>
      </c>
      <c r="AX48" s="23">
        <f t="shared" si="50"/>
        <v>603636.6875</v>
      </c>
      <c r="AY48" s="23">
        <f t="shared" si="51"/>
        <v>1774.5000000000002</v>
      </c>
      <c r="AZ48" s="25">
        <f t="shared" si="52"/>
        <v>9.8583333333333353E-3</v>
      </c>
      <c r="BA48" s="25">
        <f t="shared" si="53"/>
        <v>0.35000000000000003</v>
      </c>
      <c r="BB48" s="26">
        <f>IF(MortgageRate="Discounted",_xlfn.XLOOKUP(L48,'mortgage-rates'!$A:$A,'mortgage-rates'!$E:$E)/100,_xlfn.XLOOKUP(L48,'mortgage-rates'!$A:$A,'mortgage-rates'!$D:$D)/100)</f>
        <v>4.4800000000000006E-2</v>
      </c>
      <c r="BC48" s="11">
        <f t="shared" si="67"/>
        <v>190358.57189605659</v>
      </c>
      <c r="BD48" s="11">
        <f t="shared" si="54"/>
        <v>4654.5794273386819</v>
      </c>
      <c r="BE48" s="11">
        <f t="shared" si="55"/>
        <v>2132.0160052358342</v>
      </c>
      <c r="BF48" s="11">
        <f t="shared" si="36"/>
        <v>2522.5634221028477</v>
      </c>
      <c r="BG48" s="13">
        <f t="shared" si="56"/>
        <v>6429.0794273386819</v>
      </c>
      <c r="BH48" s="23">
        <f>INDEX(cpi!B:B,MATCH($L48,cpi!A:A))</f>
        <v>110.9</v>
      </c>
      <c r="BI48" s="23">
        <f t="shared" si="57"/>
        <v>131.0874704491726</v>
      </c>
      <c r="BJ48" s="23">
        <f t="shared" si="58"/>
        <v>190.70829189477206</v>
      </c>
      <c r="BK48" s="23">
        <f t="shared" si="59"/>
        <v>199.74135734026328</v>
      </c>
      <c r="BL48" s="23">
        <f t="shared" si="60"/>
        <v>193.41821152841945</v>
      </c>
      <c r="BM48" s="23">
        <f t="shared" si="61"/>
        <v>375.64430223853111</v>
      </c>
      <c r="BN48" s="23">
        <f t="shared" si="62"/>
        <v>218.18181818181819</v>
      </c>
      <c r="BO48">
        <f t="shared" si="63"/>
        <v>187.68265572228634</v>
      </c>
    </row>
    <row r="49" spans="1:67" x14ac:dyDescent="0.25">
      <c r="A49" s="7" t="s">
        <v>495</v>
      </c>
      <c r="B49" t="s">
        <v>343</v>
      </c>
      <c r="C49" t="s">
        <v>343</v>
      </c>
      <c r="L49" s="1">
        <f t="shared" si="33"/>
        <v>42979</v>
      </c>
      <c r="M49" s="11">
        <f t="shared" si="38"/>
        <v>358937.6739247042</v>
      </c>
      <c r="N49" s="11">
        <f t="shared" si="39"/>
        <v>385546.1790260463</v>
      </c>
      <c r="O49" s="8">
        <f t="shared" si="25"/>
        <v>0.93098490777794862</v>
      </c>
      <c r="P49" s="8">
        <f t="shared" si="40"/>
        <v>0.81907775272647132</v>
      </c>
      <c r="Q49">
        <v>47</v>
      </c>
      <c r="R49">
        <f t="shared" si="41"/>
        <v>92</v>
      </c>
      <c r="S49" s="23"/>
      <c r="T49" s="23">
        <f>IF($B$10="3BR_H",
INDEX('3BR_H-processed'!$C:$D,MATCH($L49,'3BR_H-processed'!$B:$B,0),MATCH(Council_Area,'3BR_H-processed'!$C$1:$D$1,0)),
INDEX('2BR_F-processed'!$C:$D,MATCH($L49,'2BR_F-processed'!$B:$B,0),MATCH(Council_Area,'2BR_F-processed'!$C$1:$D$1,0)))</f>
        <v>385</v>
      </c>
      <c r="U49" s="23">
        <f t="shared" si="26"/>
        <v>390</v>
      </c>
      <c r="V49" s="23">
        <f t="shared" si="34"/>
        <v>5125.7142857142853</v>
      </c>
      <c r="W49" s="23">
        <f>$B$53/4*BH49/_xlfn.XLOOKUP(Q_end,cpi!A:A,cpi!B:B)</f>
        <v>153.83552176917763</v>
      </c>
      <c r="X49" s="23">
        <f t="shared" si="42"/>
        <v>5279.5498074834632</v>
      </c>
      <c r="Y49" s="23">
        <f t="shared" si="43"/>
        <v>1166.1750213369742</v>
      </c>
      <c r="Z49" s="23">
        <f t="shared" si="64"/>
        <v>0</v>
      </c>
      <c r="AA49" s="23" cm="1">
        <f t="array" ref="AA49">(Y49+Z49)*eff_invest</f>
        <v>1166.1750213369742</v>
      </c>
      <c r="AB49" s="23">
        <f>AA49*(_xlfn.XLOOKUP(Q_end,cpi!A:A,cpi!B:B)/BH49)</f>
        <v>1516.1323053680157</v>
      </c>
      <c r="AC49" s="23" cm="1">
        <f t="array" ref="AC49">INDEX('msci-indices'!C:C,MATCH($L49,'msci-indices'!$B:$B)-2)</f>
        <v>1498.0163219999999</v>
      </c>
      <c r="AD49" s="23" cm="1">
        <f t="array" ref="AD49">INDEX('msci-indices'!D:D,MATCH($L49,'msci-indices'!$B:$B)-2)</f>
        <v>1396.8056610000001</v>
      </c>
      <c r="AE49" s="23">
        <f t="shared" si="65"/>
        <v>345924.09321255679</v>
      </c>
      <c r="AF49" s="23" cm="1">
        <f t="array" ref="AF49">INDEX('msci-indices'!C:C,MATCH($L49,'msci-indices'!$B:$B)+1)</f>
        <v>1573.3488809999999</v>
      </c>
      <c r="AG49" s="23" cm="1">
        <f t="array" ref="AG49">INDEX('msci-indices'!D:D,MATCH($L49,'msci-indices'!$B:$B)+1)</f>
        <v>1410.9739790000001</v>
      </c>
      <c r="AH49" s="23">
        <f t="shared" si="44"/>
        <v>216.20255825784801</v>
      </c>
      <c r="AI49" s="23">
        <f t="shared" si="45"/>
        <v>358937.6739247042</v>
      </c>
      <c r="AJ49" s="23">
        <f t="shared" si="66"/>
        <v>197392.48932374659</v>
      </c>
      <c r="AK49" s="23">
        <f t="shared" si="46"/>
        <v>161545.18460095761</v>
      </c>
      <c r="AL49" s="23">
        <f>AJ49*(_xlfn.XLOOKUP(Q_end,cpi!A:A,cpi!B:B)/BH49)</f>
        <v>256627.97129511347</v>
      </c>
      <c r="AM49" s="23" cm="1">
        <f t="array" ref="AM49">SUMPRODUCT($AA$3:AA49,_xlfn.SORTBY($BH$3:BH49,_xlfn.SEQUENCE(ROWS($BH$3:BH49)),-1)/$BH$3)</f>
        <v>247234.8242675894</v>
      </c>
      <c r="AN49" s="23">
        <f t="shared" si="30"/>
        <v>111702.8496571148</v>
      </c>
      <c r="AO49" s="23">
        <f t="shared" si="47"/>
        <v>0</v>
      </c>
      <c r="AP49" s="23">
        <f t="shared" si="31"/>
        <v>358937.6739247042</v>
      </c>
      <c r="AQ49" s="23"/>
      <c r="AR49" s="11">
        <f>IF($B$10="3BR_H",
INDEX('ns-combined'!$C:$D,MATCH($L49,'ns-combined'!$B:$B,0),MATCH(Council_Area,'ns-combined'!$C$1:$D$1,0))*1000,
INDEX('s-combined'!$C:$D,MATCH($L49,'s-combined'!$B:$B,0),MATCH(Council_Area,'s-combined'!$C$1:$D$1,0))*1000)</f>
        <v>692000</v>
      </c>
      <c r="AS49" s="23">
        <f t="shared" si="35"/>
        <v>38775</v>
      </c>
      <c r="AT49" s="11">
        <v>0</v>
      </c>
      <c r="AU49" s="23">
        <f t="shared" si="48"/>
        <v>13840</v>
      </c>
      <c r="AV49" s="23">
        <f t="shared" si="49"/>
        <v>1989.5</v>
      </c>
      <c r="AW49" s="23">
        <f>SUM($AV$3:AV49)</f>
        <v>66002.8125</v>
      </c>
      <c r="AX49" s="23">
        <f t="shared" si="50"/>
        <v>573382.1875</v>
      </c>
      <c r="AY49" s="23">
        <f t="shared" si="51"/>
        <v>1794</v>
      </c>
      <c r="AZ49" s="25">
        <f t="shared" si="52"/>
        <v>1.0369942196531793E-2</v>
      </c>
      <c r="BA49" s="25">
        <f t="shared" si="53"/>
        <v>0.35000000000000003</v>
      </c>
      <c r="BB49" s="26">
        <f>IF(MortgageRate="Discounted",_xlfn.XLOOKUP(L49,'mortgage-rates'!$A:$A,'mortgage-rates'!$E:$E)/100,_xlfn.XLOOKUP(L49,'mortgage-rates'!$A:$A,'mortgage-rates'!$D:$D)/100)</f>
        <v>4.4699999999999997E-2</v>
      </c>
      <c r="BC49" s="11">
        <f t="shared" si="67"/>
        <v>187836.00847395373</v>
      </c>
      <c r="BD49" s="11">
        <f t="shared" si="54"/>
        <v>4651.7248288204373</v>
      </c>
      <c r="BE49" s="11">
        <f t="shared" si="55"/>
        <v>2099.0673946964325</v>
      </c>
      <c r="BF49" s="11">
        <f t="shared" si="36"/>
        <v>2552.6574341240048</v>
      </c>
      <c r="BG49" s="13">
        <f t="shared" si="56"/>
        <v>6445.7248288204373</v>
      </c>
      <c r="BH49" s="23">
        <f>INDEX(cpi!B:B,MATCH($L49,cpi!A:A))</f>
        <v>111.3</v>
      </c>
      <c r="BI49" s="23">
        <f t="shared" si="57"/>
        <v>131.56028368794327</v>
      </c>
      <c r="BJ49" s="23">
        <f t="shared" si="58"/>
        <v>198.44440095759853</v>
      </c>
      <c r="BK49" s="23">
        <f t="shared" si="59"/>
        <v>195.91744470681382</v>
      </c>
      <c r="BL49" s="23">
        <f t="shared" si="60"/>
        <v>197.68631408236314</v>
      </c>
      <c r="BM49" s="23">
        <f t="shared" si="61"/>
        <v>385.2173733663912</v>
      </c>
      <c r="BN49" s="23">
        <f t="shared" si="62"/>
        <v>209.69696969696969</v>
      </c>
      <c r="BO49">
        <f t="shared" si="63"/>
        <v>178.27592974764963</v>
      </c>
    </row>
    <row r="50" spans="1:67" x14ac:dyDescent="0.25">
      <c r="A50" t="s">
        <v>490</v>
      </c>
      <c r="B50" s="9">
        <f>IF(OR(B44="Yes",B49="No"),0,MAX(0.3,B48))</f>
        <v>0</v>
      </c>
      <c r="C50" s="9">
        <v>0</v>
      </c>
      <c r="L50" s="1">
        <f t="shared" si="33"/>
        <v>43070</v>
      </c>
      <c r="M50" s="11">
        <f>AP50</f>
        <v>382133.37824460556</v>
      </c>
      <c r="N50" s="11">
        <f t="shared" si="39"/>
        <v>441957.58646017028</v>
      </c>
      <c r="O50" s="8">
        <f t="shared" si="25"/>
        <v>0.86463812354773062</v>
      </c>
      <c r="P50" s="8">
        <f t="shared" si="40"/>
        <v>0.81782328678524818</v>
      </c>
      <c r="Q50">
        <v>48</v>
      </c>
      <c r="R50">
        <f t="shared" si="41"/>
        <v>92</v>
      </c>
      <c r="S50" s="23"/>
      <c r="T50" s="23">
        <f>IF($B$10="3BR_H",
INDEX('3BR_H-processed'!$C:$D,MATCH($L50,'3BR_H-processed'!$B:$B,0),MATCH(Council_Area,'3BR_H-processed'!$C$1:$D$1,0)),
INDEX('2BR_F-processed'!$C:$D,MATCH($L50,'2BR_F-processed'!$B:$B,0),MATCH(Council_Area,'2BR_F-processed'!$C$1:$D$1,0)))</f>
        <v>395</v>
      </c>
      <c r="U50" s="23">
        <f t="shared" si="26"/>
        <v>390</v>
      </c>
      <c r="V50" s="23">
        <f t="shared" si="34"/>
        <v>5125.7142857142853</v>
      </c>
      <c r="W50" s="23">
        <f>$B$53/4*BH50/_xlfn.XLOOKUP(Q_end,cpi!A:A,cpi!B:B)</f>
        <v>154.94125777470629</v>
      </c>
      <c r="X50" s="23">
        <f t="shared" si="42"/>
        <v>5280.6555434889915</v>
      </c>
      <c r="Y50" s="23">
        <f t="shared" si="43"/>
        <v>1176.3084838457253</v>
      </c>
      <c r="Z50" s="23">
        <f t="shared" si="64"/>
        <v>0</v>
      </c>
      <c r="AA50" s="23" cm="1">
        <f t="array" ref="AA50">(Y50+Z50)*eff_invest</f>
        <v>1176.3084838457253</v>
      </c>
      <c r="AB50" s="23">
        <f>AA50*(_xlfn.XLOOKUP(Q_end,cpi!A:A,cpi!B:B)/BH50)</f>
        <v>1518.3928422165604</v>
      </c>
      <c r="AC50" s="23" cm="1">
        <f t="array" ref="AC50">INDEX('msci-indices'!C:C,MATCH($L50,'msci-indices'!$B:$B)-2)</f>
        <v>1573.3488809999999</v>
      </c>
      <c r="AD50" s="23" cm="1">
        <f t="array" ref="AD50">INDEX('msci-indices'!D:D,MATCH($L50,'msci-indices'!$B:$B)-2)</f>
        <v>1410.9739790000001</v>
      </c>
      <c r="AE50" s="23">
        <f t="shared" si="65"/>
        <v>360113.98240854993</v>
      </c>
      <c r="AF50" s="23" cm="1">
        <f t="array" ref="AF50">INDEX('msci-indices'!C:C,MATCH($L50,'msci-indices'!$B:$B)+1)</f>
        <v>1659.3666479999999</v>
      </c>
      <c r="AG50" s="23" cm="1">
        <f t="array" ref="AG50">INDEX('msci-indices'!D:D,MATCH($L50,'msci-indices'!$B:$B)+1)</f>
        <v>1521.502109</v>
      </c>
      <c r="AH50" s="23">
        <f t="shared" si="44"/>
        <v>225.0712390053437</v>
      </c>
      <c r="AI50" s="23">
        <f t="shared" si="45"/>
        <v>382133.37824460556</v>
      </c>
      <c r="AJ50" s="23">
        <f t="shared" si="66"/>
        <v>198568.79780759232</v>
      </c>
      <c r="AK50" s="23">
        <f t="shared" si="46"/>
        <v>183564.58043701324</v>
      </c>
      <c r="AL50" s="23">
        <f>AJ50*(_xlfn.XLOOKUP(Q_end,cpi!A:A,cpi!B:B)/BH50)</f>
        <v>256314.94239748979</v>
      </c>
      <c r="AM50" s="23" cm="1">
        <f t="array" ref="AM50">SUMPRODUCT($AA$3:AA50,_xlfn.SORTBY($BH$3:BH50,_xlfn.SEQUENCE(ROWS($BH$3:BH50)),-1)/$BH$3)</f>
        <v>249957.55644595716</v>
      </c>
      <c r="AN50" s="23">
        <f t="shared" si="30"/>
        <v>132175.82179864839</v>
      </c>
      <c r="AO50" s="23">
        <f t="shared" si="47"/>
        <v>0</v>
      </c>
      <c r="AP50" s="23">
        <f t="shared" si="31"/>
        <v>382133.37824460556</v>
      </c>
      <c r="AQ50" s="23"/>
      <c r="AR50" s="11">
        <f>IF($B$10="3BR_H",
INDEX('ns-combined'!$C:$D,MATCH($L50,'ns-combined'!$B:$B,0),MATCH(Council_Area,'ns-combined'!$C$1:$D$1,0))*1000,
INDEX('s-combined'!$C:$D,MATCH($L50,'s-combined'!$B:$B,0),MATCH(Council_Area,'s-combined'!$C$1:$D$1,0))*1000)</f>
        <v>750000</v>
      </c>
      <c r="AS50" s="23">
        <f t="shared" si="35"/>
        <v>39600</v>
      </c>
      <c r="AT50" s="11">
        <v>0</v>
      </c>
      <c r="AU50" s="23">
        <f t="shared" si="48"/>
        <v>15000</v>
      </c>
      <c r="AV50" s="23">
        <f t="shared" si="49"/>
        <v>2156.25</v>
      </c>
      <c r="AW50" s="23">
        <f>SUM($AV$3:AV50)</f>
        <v>68159.0625</v>
      </c>
      <c r="AX50" s="23">
        <f t="shared" si="50"/>
        <v>627240.9375</v>
      </c>
      <c r="AY50" s="23">
        <f t="shared" si="51"/>
        <v>1794</v>
      </c>
      <c r="AZ50" s="25">
        <f t="shared" si="52"/>
        <v>9.5680000000000001E-3</v>
      </c>
      <c r="BA50" s="25">
        <f t="shared" si="53"/>
        <v>0.35000000000000003</v>
      </c>
      <c r="BB50" s="26">
        <f>IF(MortgageRate="Discounted",_xlfn.XLOOKUP(L50,'mortgage-rates'!$A:$A,'mortgage-rates'!$E:$E)/100,_xlfn.XLOOKUP(L50,'mortgage-rates'!$A:$A,'mortgage-rates'!$D:$D)/100)</f>
        <v>4.5100000000000001E-2</v>
      </c>
      <c r="BC50" s="11">
        <f t="shared" si="67"/>
        <v>185283.35103982972</v>
      </c>
      <c r="BD50" s="11">
        <f t="shared" si="54"/>
        <v>4662.9640273347168</v>
      </c>
      <c r="BE50" s="11">
        <f t="shared" si="55"/>
        <v>2089.0697829740802</v>
      </c>
      <c r="BF50" s="11">
        <f t="shared" si="36"/>
        <v>2573.8942443606365</v>
      </c>
      <c r="BG50" s="13">
        <f t="shared" si="56"/>
        <v>6456.9640273347168</v>
      </c>
      <c r="BH50" s="23">
        <f>INDEX(cpi!B:B,MATCH($L50,cpi!A:A))</f>
        <v>112.1</v>
      </c>
      <c r="BI50" s="23">
        <f t="shared" si="57"/>
        <v>132.50591016548464</v>
      </c>
      <c r="BJ50" s="23">
        <f t="shared" si="58"/>
        <v>208.42381461538773</v>
      </c>
      <c r="BK50" s="23">
        <f t="shared" si="59"/>
        <v>197.90470802901882</v>
      </c>
      <c r="BL50" s="23">
        <f t="shared" si="60"/>
        <v>205.26808263947706</v>
      </c>
      <c r="BM50" s="23">
        <f t="shared" si="61"/>
        <v>401.01908232998704</v>
      </c>
      <c r="BN50" s="23">
        <f t="shared" si="62"/>
        <v>227.27272727272728</v>
      </c>
      <c r="BO50">
        <f t="shared" si="63"/>
        <v>195.02168666270245</v>
      </c>
    </row>
    <row r="51" spans="1:67" x14ac:dyDescent="0.25">
      <c r="L51" s="1">
        <f t="shared" si="33"/>
        <v>43160</v>
      </c>
      <c r="M51" s="11">
        <f>AP51</f>
        <v>375310.04818082642</v>
      </c>
      <c r="N51" s="11">
        <f t="shared" si="39"/>
        <v>422984.85570453096</v>
      </c>
      <c r="O51" s="8">
        <f t="shared" si="25"/>
        <v>0.88728956396252878</v>
      </c>
      <c r="P51" s="8">
        <f t="shared" si="40"/>
        <v>0.81984483902831118</v>
      </c>
      <c r="Q51">
        <v>49</v>
      </c>
      <c r="R51">
        <f t="shared" si="41"/>
        <v>90</v>
      </c>
      <c r="S51" s="23"/>
      <c r="T51" s="23">
        <f>IF($B$10="3BR_H",
INDEX('3BR_H-processed'!$C:$D,MATCH($L51,'3BR_H-processed'!$B:$B,0),MATCH(Council_Area,'3BR_H-processed'!$C$1:$D$1,0)),
INDEX('2BR_F-processed'!$C:$D,MATCH($L51,'2BR_F-processed'!$B:$B,0),MATCH(Council_Area,'2BR_F-processed'!$C$1:$D$1,0)))</f>
        <v>400</v>
      </c>
      <c r="U51" s="23">
        <f t="shared" si="26"/>
        <v>400</v>
      </c>
      <c r="V51" s="23">
        <f t="shared" si="34"/>
        <v>5142.8571428571431</v>
      </c>
      <c r="W51" s="23">
        <f>$B$53/4*BH51/_xlfn.XLOOKUP(Q_end,cpi!A:A,cpi!B:B)</f>
        <v>155.7705597788528</v>
      </c>
      <c r="X51" s="23">
        <f t="shared" si="42"/>
        <v>5298.6277026359958</v>
      </c>
      <c r="Y51" s="23">
        <f t="shared" si="43"/>
        <v>1164.3363246987201</v>
      </c>
      <c r="Z51" s="23">
        <f t="shared" si="64"/>
        <v>0</v>
      </c>
      <c r="AA51" s="23" cm="1">
        <f t="array" ref="AA51">(Y51+Z51)*eff_invest</f>
        <v>1164.3363246987201</v>
      </c>
      <c r="AB51" s="23">
        <f>AA51*(_xlfn.XLOOKUP(Q_end,cpi!A:A,cpi!B:B)/BH51)</f>
        <v>1494.937588144674</v>
      </c>
      <c r="AC51" s="23" cm="1">
        <f t="array" ref="AC51">INDEX('msci-indices'!C:C,MATCH($L51,'msci-indices'!$B:$B)-2)</f>
        <v>1659.3666479999999</v>
      </c>
      <c r="AD51" s="23" cm="1">
        <f t="array" ref="AD51">INDEX('msci-indices'!D:D,MATCH($L51,'msci-indices'!$B:$B)-2)</f>
        <v>1521.502109</v>
      </c>
      <c r="AE51" s="23">
        <f>AI50+AA51</f>
        <v>383297.71456930425</v>
      </c>
      <c r="AF51" s="23" cm="1">
        <f t="array" ref="AF51">INDEX('msci-indices'!C:C,MATCH($L51,'msci-indices'!$B:$B)+1)</f>
        <v>1639.7568659999999</v>
      </c>
      <c r="AG51" s="23" cm="1">
        <f t="array" ref="AG51">INDEX('msci-indices'!D:D,MATCH($L51,'msci-indices'!$B:$B)+1)</f>
        <v>1460.9362550000001</v>
      </c>
      <c r="AH51" s="23">
        <f t="shared" si="44"/>
        <v>239.56107160581516</v>
      </c>
      <c r="AI51" s="23">
        <f>((AF51/AC51)*GlobalPortfolio+(AG51/AD51)*AusPortfolio)*AE51-AH51</f>
        <v>375310.04818082642</v>
      </c>
      <c r="AJ51" s="23">
        <f t="shared" si="66"/>
        <v>199733.13413229104</v>
      </c>
      <c r="AK51" s="23">
        <f t="shared" si="46"/>
        <v>175576.91404853537</v>
      </c>
      <c r="AL51" s="23">
        <f>AJ51*(_xlfn.XLOOKUP(Q_end,cpi!A:A,cpi!B:B)/BH51)</f>
        <v>256445.2928921252</v>
      </c>
      <c r="AM51" s="23" cm="1">
        <f t="array" ref="AM51">SUMPRODUCT($AA$3:AA51,_xlfn.SORTBY($BH$3:BH51,_xlfn.SEQUENCE(ROWS($BH$3:BH51)),-1)/$BH$3)</f>
        <v>252470.38103342807</v>
      </c>
      <c r="AN51" s="23">
        <f t="shared" si="30"/>
        <v>122839.66714739834</v>
      </c>
      <c r="AO51" s="23">
        <f t="shared" si="47"/>
        <v>0</v>
      </c>
      <c r="AP51" s="23">
        <f>AI51-AO51</f>
        <v>375310.04818082642</v>
      </c>
      <c r="AQ51" s="23"/>
      <c r="AR51" s="11">
        <f>IF($B$10="3BR_H",
INDEX('ns-combined'!$C:$D,MATCH($L51,'ns-combined'!$B:$B,0),MATCH(Council_Area,'ns-combined'!$C$1:$D$1,0))*1000,
INDEX('s-combined'!$C:$D,MATCH($L51,'s-combined'!$B:$B,0),MATCH(Council_Area,'s-combined'!$C$1:$D$1,0))*1000)</f>
        <v>731000</v>
      </c>
      <c r="AS51" s="23">
        <f t="shared" si="35"/>
        <v>40425</v>
      </c>
      <c r="AT51" s="11">
        <v>0</v>
      </c>
      <c r="AU51" s="23">
        <f t="shared" si="48"/>
        <v>14620</v>
      </c>
      <c r="AV51" s="23">
        <f t="shared" si="49"/>
        <v>2101.625</v>
      </c>
      <c r="AW51" s="23">
        <f>SUM($AV$3:AV51)</f>
        <v>70260.6875</v>
      </c>
      <c r="AX51" s="23">
        <f t="shared" si="50"/>
        <v>605694.3125</v>
      </c>
      <c r="AY51" s="23">
        <f t="shared" si="51"/>
        <v>1800.0000000000002</v>
      </c>
      <c r="AZ51" s="25">
        <f t="shared" si="52"/>
        <v>9.849521203830371E-3</v>
      </c>
      <c r="BA51" s="25">
        <f t="shared" si="53"/>
        <v>0.35000000000000003</v>
      </c>
      <c r="BB51" s="26">
        <f>IF(MortgageRate="Discounted",_xlfn.XLOOKUP(L51,'mortgage-rates'!$A:$A,'mortgage-rates'!$E:$E)/100,_xlfn.XLOOKUP(L51,'mortgage-rates'!$A:$A,'mortgage-rates'!$D:$D)/100)</f>
        <v>4.5100000000000001E-2</v>
      </c>
      <c r="BC51" s="11">
        <f t="shared" si="67"/>
        <v>182709.45679546907</v>
      </c>
      <c r="BD51" s="11">
        <f t="shared" si="54"/>
        <v>4662.9640273347159</v>
      </c>
      <c r="BE51" s="11">
        <f t="shared" si="55"/>
        <v>2060.0491253689138</v>
      </c>
      <c r="BF51" s="11">
        <f t="shared" si="36"/>
        <v>2602.9149019658021</v>
      </c>
      <c r="BG51" s="13">
        <f t="shared" si="56"/>
        <v>6462.9640273347159</v>
      </c>
      <c r="BH51" s="23">
        <f>INDEX(cpi!B:B,MATCH($L51,cpi!A:A))</f>
        <v>112.7</v>
      </c>
      <c r="BI51" s="23">
        <f t="shared" si="57"/>
        <v>133.21513002364068</v>
      </c>
      <c r="BJ51" s="23">
        <f t="shared" si="58"/>
        <v>219.81871331798365</v>
      </c>
      <c r="BK51" s="23">
        <f t="shared" si="59"/>
        <v>213.4075008673008</v>
      </c>
      <c r="BL51" s="23">
        <f t="shared" si="60"/>
        <v>217.89534958277881</v>
      </c>
      <c r="BM51" s="23">
        <f t="shared" si="61"/>
        <v>426.83623870338863</v>
      </c>
      <c r="BN51" s="23">
        <f t="shared" si="62"/>
        <v>221.5151515151515</v>
      </c>
      <c r="BO51">
        <f t="shared" si="63"/>
        <v>188.32241227200828</v>
      </c>
    </row>
    <row r="52" spans="1:67" x14ac:dyDescent="0.25">
      <c r="A52" s="7" t="s">
        <v>350</v>
      </c>
      <c r="B52" s="9"/>
      <c r="C52" s="9"/>
      <c r="L52" s="1">
        <f t="shared" si="33"/>
        <v>43252</v>
      </c>
      <c r="M52" s="11">
        <f t="shared" si="38"/>
        <v>391355.60903199541</v>
      </c>
      <c r="N52" s="11">
        <f t="shared" si="39"/>
        <v>441226.52060649672</v>
      </c>
      <c r="O52" s="8">
        <f t="shared" si="25"/>
        <v>0.8869720897421346</v>
      </c>
      <c r="P52" s="8">
        <f t="shared" si="40"/>
        <v>0.82623652116491275</v>
      </c>
      <c r="Q52">
        <v>50</v>
      </c>
      <c r="R52">
        <f t="shared" si="41"/>
        <v>91</v>
      </c>
      <c r="S52" s="23"/>
      <c r="T52" s="23">
        <f>IF($B$10="3BR_H",
INDEX('3BR_H-processed'!$C:$D,MATCH($L52,'3BR_H-processed'!$B:$B,0),MATCH(Council_Area,'3BR_H-processed'!$C$1:$D$1,0)),
INDEX('2BR_F-processed'!$C:$D,MATCH($L52,'2BR_F-processed'!$B:$B,0),MATCH(Council_Area,'2BR_F-processed'!$C$1:$D$1,0)))</f>
        <v>395</v>
      </c>
      <c r="U52" s="23">
        <f t="shared" si="26"/>
        <v>400</v>
      </c>
      <c r="V52" s="23">
        <f t="shared" si="34"/>
        <v>5200</v>
      </c>
      <c r="W52" s="23">
        <f>$B$53/4*BH52/_xlfn.XLOOKUP(Q_end,cpi!A:A,cpi!B:B)</f>
        <v>156.46164478230824</v>
      </c>
      <c r="X52" s="23">
        <f t="shared" si="42"/>
        <v>5356.4616447823082</v>
      </c>
      <c r="Y52" s="23">
        <f t="shared" si="43"/>
        <v>1126.5023825524077</v>
      </c>
      <c r="Z52" s="23">
        <f t="shared" si="64"/>
        <v>0</v>
      </c>
      <c r="AA52" s="23" cm="1">
        <f t="array" ref="AA52">(Y52+Z52)*eff_invest</f>
        <v>1126.5023825524077</v>
      </c>
      <c r="AB52" s="23">
        <f>AA52*(_xlfn.XLOOKUP(Q_end,cpi!A:A,cpi!B:B)/BH52)</f>
        <v>1439.972568510012</v>
      </c>
      <c r="AC52" s="23" cm="1">
        <f t="array" ref="AC52">INDEX('msci-indices'!C:C,MATCH($L52,'msci-indices'!$B:$B)-2)</f>
        <v>1639.7568659999999</v>
      </c>
      <c r="AD52" s="23" cm="1">
        <f t="array" ref="AD52">INDEX('msci-indices'!D:D,MATCH($L52,'msci-indices'!$B:$B)-2)</f>
        <v>1460.9362550000001</v>
      </c>
      <c r="AE52" s="23">
        <f t="shared" si="65"/>
        <v>376436.55056337884</v>
      </c>
      <c r="AF52" s="23" cm="1">
        <f t="array" ref="AF52">INDEX('msci-indices'!C:C,MATCH($L52,'msci-indices'!$B:$B)+1)</f>
        <v>1671.6050210000001</v>
      </c>
      <c r="AG52" s="23" cm="1">
        <f t="array" ref="AG52">INDEX('msci-indices'!D:D,MATCH($L52,'msci-indices'!$B:$B)+1)</f>
        <v>1590.772543</v>
      </c>
      <c r="AH52" s="23">
        <f t="shared" si="44"/>
        <v>235.27284410211178</v>
      </c>
      <c r="AI52" s="23">
        <f t="shared" si="45"/>
        <v>391355.60903199541</v>
      </c>
      <c r="AJ52" s="23">
        <f t="shared" si="66"/>
        <v>200859.63651484344</v>
      </c>
      <c r="AK52" s="23">
        <f t="shared" si="46"/>
        <v>190495.97251715197</v>
      </c>
      <c r="AL52" s="23">
        <f>AJ52*(_xlfn.XLOOKUP(Q_end,cpi!A:A,cpi!B:B)/BH52)</f>
        <v>256752.5565697689</v>
      </c>
      <c r="AM52" s="23" cm="1">
        <f t="array" ref="AM52">SUMPRODUCT($AA$3:AA52,_xlfn.SORTBY($BH$3:BH52,_xlfn.SEQUENCE(ROWS($BH$3:BH52)),-1)/$BH$3)</f>
        <v>254851.39358786648</v>
      </c>
      <c r="AN52" s="23">
        <f t="shared" si="30"/>
        <v>136504.21544412893</v>
      </c>
      <c r="AO52" s="23">
        <f t="shared" si="47"/>
        <v>0</v>
      </c>
      <c r="AP52" s="23">
        <f t="shared" si="31"/>
        <v>391355.60903199541</v>
      </c>
      <c r="AQ52" s="23"/>
      <c r="AR52" s="11">
        <f>IF($B$10="3BR_H",
INDEX('ns-combined'!$C:$D,MATCH($L52,'ns-combined'!$B:$B,0),MATCH(Council_Area,'ns-combined'!$C$1:$D$1,0))*1000,
INDEX('s-combined'!$C:$D,MATCH($L52,'s-combined'!$B:$B,0),MATCH(Council_Area,'s-combined'!$C$1:$D$1,0))*1000)</f>
        <v>750000</v>
      </c>
      <c r="AS52" s="23">
        <f t="shared" si="35"/>
        <v>41250</v>
      </c>
      <c r="AT52" s="11">
        <v>0</v>
      </c>
      <c r="AU52" s="23">
        <f t="shared" si="48"/>
        <v>15000</v>
      </c>
      <c r="AV52" s="23">
        <f t="shared" si="49"/>
        <v>2156.25</v>
      </c>
      <c r="AW52" s="23">
        <f>SUM($AV$3:AV52)</f>
        <v>72416.9375</v>
      </c>
      <c r="AX52" s="23">
        <f t="shared" si="50"/>
        <v>621333.0625</v>
      </c>
      <c r="AY52" s="23">
        <f t="shared" si="51"/>
        <v>1820.0000000000002</v>
      </c>
      <c r="AZ52" s="25">
        <f t="shared" si="52"/>
        <v>9.7066666666666673E-3</v>
      </c>
      <c r="BA52" s="25">
        <f t="shared" si="53"/>
        <v>0.35000000000000003</v>
      </c>
      <c r="BB52" s="26">
        <f>IF(MortgageRate="Discounted",_xlfn.XLOOKUP(L52,'mortgage-rates'!$A:$A,'mortgage-rates'!$E:$E)/100,_xlfn.XLOOKUP(L52,'mortgage-rates'!$A:$A,'mortgage-rates'!$D:$D)/100)</f>
        <v>4.5100000000000001E-2</v>
      </c>
      <c r="BC52" s="11">
        <f t="shared" si="67"/>
        <v>180106.54189350328</v>
      </c>
      <c r="BD52" s="11">
        <f t="shared" si="54"/>
        <v>4662.9640273347159</v>
      </c>
      <c r="BE52" s="11">
        <f t="shared" si="55"/>
        <v>2030.7012598492495</v>
      </c>
      <c r="BF52" s="11">
        <f t="shared" si="36"/>
        <v>2632.2627674854666</v>
      </c>
      <c r="BG52" s="13">
        <f t="shared" si="56"/>
        <v>6482.9640273347159</v>
      </c>
      <c r="BH52" s="23">
        <f>INDEX(cpi!B:B,MATCH($L52,cpi!A:A))</f>
        <v>113.2</v>
      </c>
      <c r="BI52" s="23">
        <f t="shared" si="57"/>
        <v>133.80614657210404</v>
      </c>
      <c r="BJ52" s="23">
        <f t="shared" si="58"/>
        <v>217.22097697509543</v>
      </c>
      <c r="BK52" s="23">
        <f t="shared" si="59"/>
        <v>204.91246989522486</v>
      </c>
      <c r="BL52" s="23">
        <f t="shared" si="60"/>
        <v>213.52842485113428</v>
      </c>
      <c r="BM52" s="23">
        <f t="shared" si="61"/>
        <v>419.19571979054558</v>
      </c>
      <c r="BN52" s="23">
        <f t="shared" si="62"/>
        <v>227.27272727272728</v>
      </c>
      <c r="BO52">
        <f t="shared" si="63"/>
        <v>193.18481078581118</v>
      </c>
    </row>
    <row r="53" spans="1:67" x14ac:dyDescent="0.25">
      <c r="A53" t="s">
        <v>837</v>
      </c>
      <c r="B53" s="24">
        <v>800</v>
      </c>
      <c r="C53" s="24">
        <v>800</v>
      </c>
      <c r="L53" s="1">
        <f t="shared" si="33"/>
        <v>43344</v>
      </c>
      <c r="M53" s="11">
        <f t="shared" si="38"/>
        <v>406199.67198542197</v>
      </c>
      <c r="N53" s="11">
        <f t="shared" si="39"/>
        <v>411563.78337398218</v>
      </c>
      <c r="O53" s="8">
        <f t="shared" si="25"/>
        <v>0.98696651259110935</v>
      </c>
      <c r="P53" s="8">
        <f t="shared" si="40"/>
        <v>0.82879398092837453</v>
      </c>
      <c r="Q53">
        <v>51</v>
      </c>
      <c r="R53">
        <f t="shared" si="41"/>
        <v>92</v>
      </c>
      <c r="S53" s="23"/>
      <c r="T53" s="23">
        <f>IF($B$10="3BR_H",
INDEX('3BR_H-processed'!$C:$D,MATCH($L53,'3BR_H-processed'!$B:$B,0),MATCH(Council_Area,'3BR_H-processed'!$C$1:$D$1,0)),
INDEX('2BR_F-processed'!$C:$D,MATCH($L53,'2BR_F-processed'!$B:$B,0),MATCH(Council_Area,'2BR_F-processed'!$C$1:$D$1,0)))</f>
        <v>400</v>
      </c>
      <c r="U53" s="23">
        <f t="shared" si="26"/>
        <v>400</v>
      </c>
      <c r="V53" s="23">
        <f t="shared" si="34"/>
        <v>5257.1428571428569</v>
      </c>
      <c r="W53" s="23">
        <f>$B$53/4*BH53/_xlfn.XLOOKUP(Q_end,cpi!A:A,cpi!B:B)</f>
        <v>156.87629578438148</v>
      </c>
      <c r="X53" s="23">
        <f t="shared" si="42"/>
        <v>5414.0191529272388</v>
      </c>
      <c r="Y53" s="23">
        <f t="shared" si="43"/>
        <v>1118.3873045408991</v>
      </c>
      <c r="Z53" s="23">
        <f t="shared" si="64"/>
        <v>0</v>
      </c>
      <c r="AA53" s="23" cm="1">
        <f t="array" ref="AA53">(Y53+Z53)*eff_invest</f>
        <v>1118.3873045408991</v>
      </c>
      <c r="AB53" s="23">
        <f>AA53*(_xlfn.XLOOKUP(Q_end,cpi!A:A,cpi!B:B)/BH53)</f>
        <v>1425.820642881657</v>
      </c>
      <c r="AC53" s="23" cm="1">
        <f t="array" ref="AC53">INDEX('msci-indices'!C:C,MATCH($L53,'msci-indices'!$B:$B)-2)</f>
        <v>1671.6050210000001</v>
      </c>
      <c r="AD53" s="23" cm="1">
        <f t="array" ref="AD53">INDEX('msci-indices'!D:D,MATCH($L53,'msci-indices'!$B:$B)-2)</f>
        <v>1590.772543</v>
      </c>
      <c r="AE53" s="23">
        <f t="shared" si="65"/>
        <v>392473.99633653631</v>
      </c>
      <c r="AF53" s="23" cm="1">
        <f t="array" ref="AF53">INDEX('msci-indices'!C:C,MATCH($L53,'msci-indices'!$B:$B)+1)</f>
        <v>1747.837315</v>
      </c>
      <c r="AG53" s="23" cm="1">
        <f t="array" ref="AG53">INDEX('msci-indices'!D:D,MATCH($L53,'msci-indices'!$B:$B)+1)</f>
        <v>1610.255349</v>
      </c>
      <c r="AH53" s="23">
        <f t="shared" si="44"/>
        <v>245.29624771033519</v>
      </c>
      <c r="AI53" s="23">
        <f t="shared" si="45"/>
        <v>406199.67198542197</v>
      </c>
      <c r="AJ53" s="23">
        <f t="shared" si="66"/>
        <v>201978.02381938434</v>
      </c>
      <c r="AK53" s="23">
        <f t="shared" si="46"/>
        <v>204221.64816603763</v>
      </c>
      <c r="AL53" s="23">
        <f>AJ53*(_xlfn.XLOOKUP(Q_end,cpi!A:A,cpi!B:B)/BH53)</f>
        <v>257499.73609396396</v>
      </c>
      <c r="AM53" s="23" cm="1">
        <f t="array" ref="AM53">SUMPRODUCT($AA$3:AA53,_xlfn.SORTBY($BH$3:BH53,_xlfn.SEQUENCE(ROWS($BH$3:BH53)),-1)/$BH$3)</f>
        <v>257019.4358408566</v>
      </c>
      <c r="AN53" s="23">
        <f t="shared" si="30"/>
        <v>149180.23614456537</v>
      </c>
      <c r="AO53" s="23">
        <f t="shared" si="47"/>
        <v>0</v>
      </c>
      <c r="AP53" s="23">
        <f t="shared" si="31"/>
        <v>406199.67198542197</v>
      </c>
      <c r="AQ53" s="23"/>
      <c r="AR53" s="11">
        <f>IF($B$10="3BR_H",
INDEX('ns-combined'!$C:$D,MATCH($L53,'ns-combined'!$B:$B,0),MATCH(Council_Area,'ns-combined'!$C$1:$D$1,0))*1000,
INDEX('s-combined'!$C:$D,MATCH($L53,'s-combined'!$B:$B,0),MATCH(Council_Area,'s-combined'!$C$1:$D$1,0))*1000)</f>
        <v>720000</v>
      </c>
      <c r="AS53" s="23">
        <f t="shared" si="35"/>
        <v>42075</v>
      </c>
      <c r="AT53" s="11">
        <v>0</v>
      </c>
      <c r="AU53" s="23">
        <f t="shared" si="48"/>
        <v>14400</v>
      </c>
      <c r="AV53" s="23">
        <f t="shared" si="49"/>
        <v>2070</v>
      </c>
      <c r="AW53" s="23">
        <f>SUM($AV$3:AV53)</f>
        <v>74486.9375</v>
      </c>
      <c r="AX53" s="23">
        <f t="shared" si="50"/>
        <v>589038.0625</v>
      </c>
      <c r="AY53" s="23">
        <f t="shared" si="51"/>
        <v>1840</v>
      </c>
      <c r="AZ53" s="25">
        <f t="shared" si="52"/>
        <v>1.0222222222222223E-2</v>
      </c>
      <c r="BA53" s="25">
        <f t="shared" si="53"/>
        <v>0.35000000000000003</v>
      </c>
      <c r="BB53" s="26">
        <f>IF(MortgageRate="Discounted",_xlfn.XLOOKUP(L53,'mortgage-rates'!$A:$A,'mortgage-rates'!$E:$E)/100,_xlfn.XLOOKUP(L53,'mortgage-rates'!$A:$A,'mortgage-rates'!$D:$D)/100)</f>
        <v>4.6199999999999998E-2</v>
      </c>
      <c r="BC53" s="11">
        <f t="shared" si="67"/>
        <v>177474.27912601782</v>
      </c>
      <c r="BD53" s="11">
        <f t="shared" si="54"/>
        <v>4692.4064574681379</v>
      </c>
      <c r="BE53" s="11">
        <f t="shared" si="55"/>
        <v>2049.8279239055059</v>
      </c>
      <c r="BF53" s="11">
        <f t="shared" si="36"/>
        <v>2642.5785335626319</v>
      </c>
      <c r="BG53" s="13">
        <f t="shared" si="56"/>
        <v>6532.4064574681379</v>
      </c>
      <c r="BH53" s="23">
        <f>INDEX(cpi!B:B,MATCH($L53,cpi!A:A))</f>
        <v>113.5</v>
      </c>
      <c r="BI53" s="23">
        <f t="shared" si="57"/>
        <v>134.16075650118205</v>
      </c>
      <c r="BJ53" s="23">
        <f t="shared" si="58"/>
        <v>221.43994838933332</v>
      </c>
      <c r="BK53" s="23">
        <f t="shared" si="59"/>
        <v>223.12344546999952</v>
      </c>
      <c r="BL53" s="23">
        <f t="shared" si="60"/>
        <v>221.94499751353317</v>
      </c>
      <c r="BM53" s="23">
        <f t="shared" si="61"/>
        <v>437.0548480139318</v>
      </c>
      <c r="BN53" s="23">
        <f t="shared" si="62"/>
        <v>218.18181818181819</v>
      </c>
      <c r="BO53">
        <f t="shared" si="63"/>
        <v>183.14365276466086</v>
      </c>
    </row>
    <row r="54" spans="1:67" x14ac:dyDescent="0.25">
      <c r="A54" t="s">
        <v>838</v>
      </c>
      <c r="B54" s="9">
        <v>1</v>
      </c>
      <c r="C54" s="9">
        <v>1</v>
      </c>
      <c r="L54" s="1">
        <f t="shared" si="33"/>
        <v>43435</v>
      </c>
      <c r="M54" s="11">
        <f t="shared" si="38"/>
        <v>357125.76243912085</v>
      </c>
      <c r="N54" s="11">
        <f t="shared" si="39"/>
        <v>425968.23690754478</v>
      </c>
      <c r="O54" s="8">
        <f t="shared" si="25"/>
        <v>0.8383858971077085</v>
      </c>
      <c r="P54" s="8">
        <f t="shared" si="40"/>
        <v>0.82789769753931652</v>
      </c>
      <c r="Q54">
        <v>52</v>
      </c>
      <c r="R54">
        <f t="shared" si="41"/>
        <v>92</v>
      </c>
      <c r="S54" s="23"/>
      <c r="T54" s="23">
        <f>IF($B$10="3BR_H",
INDEX('3BR_H-processed'!$C:$D,MATCH($L54,'3BR_H-processed'!$B:$B,0),MATCH(Council_Area,'3BR_H-processed'!$C$1:$D$1,0)),
INDEX('2BR_F-processed'!$C:$D,MATCH($L54,'2BR_F-processed'!$B:$B,0),MATCH(Council_Area,'2BR_F-processed'!$C$1:$D$1,0)))</f>
        <v>400</v>
      </c>
      <c r="U54" s="23">
        <f t="shared" si="26"/>
        <v>400</v>
      </c>
      <c r="V54" s="23">
        <f t="shared" si="34"/>
        <v>5257.1428571428569</v>
      </c>
      <c r="W54" s="23">
        <f>$B$53/4*BH54/_xlfn.XLOOKUP(Q_end,cpi!A:A,cpi!B:B)</f>
        <v>157.56738078783692</v>
      </c>
      <c r="X54" s="23">
        <f t="shared" si="42"/>
        <v>5414.7102379306934</v>
      </c>
      <c r="Y54" s="23">
        <f t="shared" si="43"/>
        <v>1125.6029602148428</v>
      </c>
      <c r="Z54" s="23">
        <f t="shared" si="64"/>
        <v>0</v>
      </c>
      <c r="AA54" s="23" cm="1">
        <f t="array" ref="AA54">(Y54+Z54)*eff_invest</f>
        <v>1125.6029602148428</v>
      </c>
      <c r="AB54" s="23">
        <f>AA54*(_xlfn.XLOOKUP(Q_end,cpi!A:A,cpi!B:B)/BH54)</f>
        <v>1428.7258626586643</v>
      </c>
      <c r="AC54" s="23" cm="1">
        <f t="array" ref="AC54">INDEX('msci-indices'!C:C,MATCH($L54,'msci-indices'!$B:$B)-2)</f>
        <v>1747.837315</v>
      </c>
      <c r="AD54" s="23" cm="1">
        <f t="array" ref="AD54">INDEX('msci-indices'!D:D,MATCH($L54,'msci-indices'!$B:$B)-2)</f>
        <v>1610.255349</v>
      </c>
      <c r="AE54" s="23">
        <f t="shared" si="65"/>
        <v>407325.2749456368</v>
      </c>
      <c r="AF54" s="23" cm="1">
        <f t="array" ref="AF54">INDEX('msci-indices'!C:C,MATCH($L54,'msci-indices'!$B:$B)+1)</f>
        <v>1503.1567950000001</v>
      </c>
      <c r="AG54" s="23" cm="1">
        <f t="array" ref="AG54">INDEX('msci-indices'!D:D,MATCH($L54,'msci-indices'!$B:$B)+1)</f>
        <v>1478.088164</v>
      </c>
      <c r="AH54" s="23">
        <f t="shared" si="44"/>
        <v>254.57829684102302</v>
      </c>
      <c r="AI54" s="23">
        <f t="shared" si="45"/>
        <v>357125.76243912085</v>
      </c>
      <c r="AJ54" s="23">
        <f t="shared" si="66"/>
        <v>203103.62677959917</v>
      </c>
      <c r="AK54" s="23">
        <f t="shared" si="46"/>
        <v>154022.13565952168</v>
      </c>
      <c r="AL54" s="23">
        <f>AJ54*(_xlfn.XLOOKUP(Q_end,cpi!A:A,cpi!B:B)/BH54)</f>
        <v>257799.07714919295</v>
      </c>
      <c r="AM54" s="23" cm="1">
        <f t="array" ref="AM54">SUMPRODUCT($AA$3:AA54,_xlfn.SORTBY($BH$3:BH54,_xlfn.SEQUENCE(ROWS($BH$3:BH54)),-1)/$BH$3)</f>
        <v>259409.60954722471</v>
      </c>
      <c r="AN54" s="23">
        <f t="shared" si="30"/>
        <v>97716.152891896141</v>
      </c>
      <c r="AO54" s="23">
        <f t="shared" si="47"/>
        <v>0</v>
      </c>
      <c r="AP54" s="23">
        <f t="shared" si="31"/>
        <v>357125.76243912085</v>
      </c>
      <c r="AQ54" s="23"/>
      <c r="AR54" s="11">
        <f>IF($B$10="3BR_H",
INDEX('ns-combined'!$C:$D,MATCH($L54,'ns-combined'!$B:$B,0),MATCH(Council_Area,'ns-combined'!$C$1:$D$1,0))*1000,
INDEX('s-combined'!$C:$D,MATCH($L54,'s-combined'!$B:$B,0),MATCH(Council_Area,'s-combined'!$C$1:$D$1,0))*1000)</f>
        <v>735000</v>
      </c>
      <c r="AS54" s="23">
        <f t="shared" si="35"/>
        <v>42900</v>
      </c>
      <c r="AT54" s="11">
        <v>0</v>
      </c>
      <c r="AU54" s="23">
        <f t="shared" si="48"/>
        <v>14700</v>
      </c>
      <c r="AV54" s="23">
        <f t="shared" si="49"/>
        <v>2113.125</v>
      </c>
      <c r="AW54" s="23">
        <f>SUM($AV$3:AV54)</f>
        <v>76600.0625</v>
      </c>
      <c r="AX54" s="23">
        <f t="shared" si="50"/>
        <v>600799.9375</v>
      </c>
      <c r="AY54" s="23">
        <f t="shared" si="51"/>
        <v>1840</v>
      </c>
      <c r="AZ54" s="25">
        <f t="shared" si="52"/>
        <v>1.0013605442176872E-2</v>
      </c>
      <c r="BA54" s="25">
        <f t="shared" si="53"/>
        <v>0.35000000000000003</v>
      </c>
      <c r="BB54" s="26">
        <f>IF(MortgageRate="Discounted",_xlfn.XLOOKUP(L54,'mortgage-rates'!$A:$A,'mortgage-rates'!$E:$E)/100,_xlfn.XLOOKUP(L54,'mortgage-rates'!$A:$A,'mortgage-rates'!$D:$D)/100)</f>
        <v>4.6500000000000007E-2</v>
      </c>
      <c r="BC54" s="11">
        <f t="shared" si="67"/>
        <v>174831.70059245519</v>
      </c>
      <c r="BD54" s="11">
        <f t="shared" si="54"/>
        <v>4700.3131981455363</v>
      </c>
      <c r="BE54" s="11">
        <f t="shared" si="55"/>
        <v>2032.418519387292</v>
      </c>
      <c r="BF54" s="11">
        <f t="shared" si="36"/>
        <v>2667.8946787582445</v>
      </c>
      <c r="BG54" s="13">
        <f t="shared" si="56"/>
        <v>6540.3131981455363</v>
      </c>
      <c r="BH54" s="23">
        <f>INDEX(cpi!B:B,MATCH($L54,cpi!A:A))</f>
        <v>114</v>
      </c>
      <c r="BI54" s="23">
        <f t="shared" si="57"/>
        <v>134.75177304964541</v>
      </c>
      <c r="BJ54" s="23">
        <f t="shared" si="58"/>
        <v>231.53855125118753</v>
      </c>
      <c r="BK54" s="23">
        <f t="shared" si="59"/>
        <v>225.85612452035926</v>
      </c>
      <c r="BL54" s="23">
        <f t="shared" si="60"/>
        <v>229.83382323193905</v>
      </c>
      <c r="BM54" s="23">
        <f t="shared" si="61"/>
        <v>453.59307315980175</v>
      </c>
      <c r="BN54" s="23">
        <f t="shared" si="62"/>
        <v>222.72727272727272</v>
      </c>
      <c r="BO54">
        <f t="shared" si="63"/>
        <v>186.80065370908002</v>
      </c>
    </row>
    <row r="55" spans="1:67" x14ac:dyDescent="0.25">
      <c r="L55" s="1">
        <f t="shared" si="33"/>
        <v>43525</v>
      </c>
      <c r="M55" s="11">
        <f t="shared" si="38"/>
        <v>401404.54611467524</v>
      </c>
      <c r="N55" s="11">
        <f t="shared" si="39"/>
        <v>376841.75658630306</v>
      </c>
      <c r="O55" s="8">
        <f t="shared" si="25"/>
        <v>1.0651806470463336</v>
      </c>
      <c r="P55" s="8">
        <f t="shared" si="40"/>
        <v>0.81445807602584108</v>
      </c>
      <c r="Q55">
        <v>53</v>
      </c>
      <c r="R55">
        <f t="shared" si="41"/>
        <v>90</v>
      </c>
      <c r="S55" s="23"/>
      <c r="T55" s="23">
        <f>IF($B$10="3BR_H",
INDEX('3BR_H-processed'!$C:$D,MATCH($L55,'3BR_H-processed'!$B:$B,0),MATCH(Council_Area,'3BR_H-processed'!$C$1:$D$1,0)),
INDEX('2BR_F-processed'!$C:$D,MATCH($L55,'2BR_F-processed'!$B:$B,0),MATCH(Council_Area,'2BR_F-processed'!$C$1:$D$1,0)))</f>
        <v>400</v>
      </c>
      <c r="U55" s="23">
        <f t="shared" si="26"/>
        <v>400</v>
      </c>
      <c r="V55" s="23">
        <f t="shared" si="34"/>
        <v>5142.8571428571431</v>
      </c>
      <c r="W55" s="23">
        <f>$B$53/4*BH55/_xlfn.XLOOKUP(Q_end,cpi!A:A,cpi!B:B)</f>
        <v>157.705597788528</v>
      </c>
      <c r="X55" s="23">
        <f t="shared" si="42"/>
        <v>5300.5627406456715</v>
      </c>
      <c r="Y55" s="23">
        <f t="shared" si="43"/>
        <v>1207.5226926891382</v>
      </c>
      <c r="Z55" s="23">
        <f t="shared" si="64"/>
        <v>0</v>
      </c>
      <c r="AA55" s="23" cm="1">
        <f t="array" ref="AA55">(Y55+Z55)*eff_invest</f>
        <v>1207.5226926891382</v>
      </c>
      <c r="AB55" s="23">
        <f>AA55*(_xlfn.XLOOKUP(Q_end,cpi!A:A,cpi!B:B)/BH55)</f>
        <v>1531.3631343743934</v>
      </c>
      <c r="AC55" s="23" cm="1">
        <f t="array" ref="AC55">INDEX('msci-indices'!C:C,MATCH($L55,'msci-indices'!$B:$B)-2)</f>
        <v>1503.1567950000001</v>
      </c>
      <c r="AD55" s="23" cm="1">
        <f t="array" ref="AD55">INDEX('msci-indices'!D:D,MATCH($L55,'msci-indices'!$B:$B)-2)</f>
        <v>1478.088164</v>
      </c>
      <c r="AE55" s="23">
        <f t="shared" si="65"/>
        <v>358333.28513181</v>
      </c>
      <c r="AF55" s="23" cm="1">
        <f t="array" ref="AF55">INDEX('msci-indices'!C:C,MATCH($L55,'msci-indices'!$B:$B)+1)</f>
        <v>1693.1497079999999</v>
      </c>
      <c r="AG55" s="23" cm="1">
        <f t="array" ref="AG55">INDEX('msci-indices'!D:D,MATCH($L55,'msci-indices'!$B:$B)+1)</f>
        <v>1637.459214</v>
      </c>
      <c r="AH55" s="23">
        <f t="shared" si="44"/>
        <v>223.95830320738125</v>
      </c>
      <c r="AI55" s="23">
        <f t="shared" si="45"/>
        <v>401404.54611467524</v>
      </c>
      <c r="AJ55" s="23">
        <f t="shared" si="66"/>
        <v>204311.14947228832</v>
      </c>
      <c r="AK55" s="23">
        <f t="shared" si="46"/>
        <v>197093.39664238691</v>
      </c>
      <c r="AL55" s="23">
        <f>AJ55*(_xlfn.XLOOKUP(Q_end,cpi!A:A,cpi!B:B)/BH55)</f>
        <v>259104.49893637263</v>
      </c>
      <c r="AM55" s="23" cm="1">
        <f t="array" ref="AM55">SUMPRODUCT($AA$3:AA55,_xlfn.SORTBY($BH$3:BH55,_xlfn.SEQUENCE(ROWS($BH$3:BH55)),-1)/$BH$3)</f>
        <v>261468.90554087682</v>
      </c>
      <c r="AN55" s="23">
        <f t="shared" si="30"/>
        <v>139935.64057379842</v>
      </c>
      <c r="AO55" s="23">
        <f t="shared" si="47"/>
        <v>0</v>
      </c>
      <c r="AP55" s="23">
        <f t="shared" si="31"/>
        <v>401404.54611467524</v>
      </c>
      <c r="AQ55" s="23"/>
      <c r="AR55" s="11">
        <f>IF($B$10="3BR_H",
INDEX('ns-combined'!$C:$D,MATCH($L55,'ns-combined'!$B:$B,0),MATCH(Council_Area,'ns-combined'!$C$1:$D$1,0))*1000,
INDEX('s-combined'!$C:$D,MATCH($L55,'s-combined'!$B:$B,0),MATCH(Council_Area,'s-combined'!$C$1:$D$1,0))*1000)</f>
        <v>685000</v>
      </c>
      <c r="AS55" s="23">
        <f t="shared" si="35"/>
        <v>43725</v>
      </c>
      <c r="AT55" s="11">
        <v>0</v>
      </c>
      <c r="AU55" s="23">
        <f t="shared" si="48"/>
        <v>13700</v>
      </c>
      <c r="AV55" s="23">
        <f t="shared" si="49"/>
        <v>1969.375</v>
      </c>
      <c r="AW55" s="23">
        <f>SUM($AV$3:AV55)</f>
        <v>78569.4375</v>
      </c>
      <c r="AX55" s="23">
        <f t="shared" si="50"/>
        <v>549005.5625</v>
      </c>
      <c r="AY55" s="23">
        <f t="shared" si="51"/>
        <v>1800.0000000000002</v>
      </c>
      <c r="AZ55" s="25">
        <f t="shared" si="52"/>
        <v>1.051094890510949E-2</v>
      </c>
      <c r="BA55" s="25">
        <f t="shared" si="53"/>
        <v>0.35000000000000003</v>
      </c>
      <c r="BB55" s="26">
        <f>IF(MortgageRate="Discounted",_xlfn.XLOOKUP(L55,'mortgage-rates'!$A:$A,'mortgage-rates'!$E:$E)/100,_xlfn.XLOOKUP(L55,'mortgage-rates'!$A:$A,'mortgage-rates'!$D:$D)/100)</f>
        <v>4.6799999999999994E-2</v>
      </c>
      <c r="BC55" s="11">
        <f t="shared" si="67"/>
        <v>172163.80591369694</v>
      </c>
      <c r="BD55" s="11">
        <f t="shared" si="54"/>
        <v>4708.0854333348097</v>
      </c>
      <c r="BE55" s="11">
        <f t="shared" si="55"/>
        <v>2014.316529190254</v>
      </c>
      <c r="BF55" s="11">
        <f t="shared" si="36"/>
        <v>2693.7689041445556</v>
      </c>
      <c r="BG55" s="13">
        <f t="shared" si="56"/>
        <v>6508.0854333348097</v>
      </c>
      <c r="BH55" s="23">
        <f>INDEX(cpi!B:B,MATCH($L55,cpi!A:A))</f>
        <v>114.1</v>
      </c>
      <c r="BI55" s="23">
        <f t="shared" si="57"/>
        <v>134.86997635933807</v>
      </c>
      <c r="BJ55" s="23">
        <f t="shared" si="58"/>
        <v>199.12536689244348</v>
      </c>
      <c r="BK55" s="23">
        <f t="shared" si="59"/>
        <v>207.31821485814123</v>
      </c>
      <c r="BL55" s="23">
        <f t="shared" si="60"/>
        <v>201.58322128215281</v>
      </c>
      <c r="BM55" s="23">
        <f t="shared" si="61"/>
        <v>399.03611687263469</v>
      </c>
      <c r="BN55" s="23">
        <f t="shared" si="62"/>
        <v>207.57575757575756</v>
      </c>
      <c r="BO55">
        <f t="shared" si="63"/>
        <v>170.69675205304293</v>
      </c>
    </row>
    <row r="56" spans="1:67" x14ac:dyDescent="0.25">
      <c r="L56" s="1">
        <f t="shared" si="33"/>
        <v>43617</v>
      </c>
      <c r="M56" s="11">
        <f t="shared" si="38"/>
        <v>422502.15722316876</v>
      </c>
      <c r="N56" s="11">
        <f t="shared" si="39"/>
        <v>391398.02549044765</v>
      </c>
      <c r="O56" s="8">
        <f t="shared" si="25"/>
        <v>1.079469311818182</v>
      </c>
      <c r="P56" s="8">
        <f t="shared" si="40"/>
        <v>0.82796089058511246</v>
      </c>
      <c r="Q56">
        <v>54</v>
      </c>
      <c r="R56">
        <f t="shared" si="41"/>
        <v>91</v>
      </c>
      <c r="S56" s="23"/>
      <c r="T56" s="23">
        <f>IF($B$10="3BR_H",
INDEX('3BR_H-processed'!$C:$D,MATCH($L56,'3BR_H-processed'!$B:$B,0),MATCH(Council_Area,'3BR_H-processed'!$C$1:$D$1,0)),
INDEX('2BR_F-processed'!$C:$D,MATCH($L56,'2BR_F-processed'!$B:$B,0),MATCH(Council_Area,'2BR_F-processed'!$C$1:$D$1,0)))</f>
        <v>400</v>
      </c>
      <c r="U56" s="23">
        <f t="shared" si="26"/>
        <v>400</v>
      </c>
      <c r="V56" s="23">
        <f t="shared" si="34"/>
        <v>5200</v>
      </c>
      <c r="W56" s="23">
        <f>$B$53/4*BH56/_xlfn.XLOOKUP(Q_end,cpi!A:A,cpi!B:B)</f>
        <v>158.81133379405668</v>
      </c>
      <c r="X56" s="23">
        <f t="shared" si="42"/>
        <v>5358.8113337940567</v>
      </c>
      <c r="Y56" s="23">
        <f t="shared" si="43"/>
        <v>1113.4887406780999</v>
      </c>
      <c r="Z56" s="23">
        <f t="shared" si="64"/>
        <v>0</v>
      </c>
      <c r="AA56" s="23" cm="1">
        <f t="array" ref="AA56">(Y56+Z56)*eff_invest</f>
        <v>1113.4887406780999</v>
      </c>
      <c r="AB56" s="23">
        <f>AA56*(_xlfn.XLOOKUP(Q_end,cpi!A:A,cpi!B:B)/BH56)</f>
        <v>1402.2786838652833</v>
      </c>
      <c r="AC56" s="23" cm="1">
        <f t="array" ref="AC56">INDEX('msci-indices'!C:C,MATCH($L56,'msci-indices'!$B:$B)-2)</f>
        <v>1693.1497079999999</v>
      </c>
      <c r="AD56" s="23" cm="1">
        <f t="array" ref="AD56">INDEX('msci-indices'!D:D,MATCH($L56,'msci-indices'!$B:$B)-2)</f>
        <v>1637.459214</v>
      </c>
      <c r="AE56" s="23">
        <f t="shared" si="65"/>
        <v>402518.03485535335</v>
      </c>
      <c r="AF56" s="23" cm="1">
        <f t="array" ref="AF56">INDEX('msci-indices'!C:C,MATCH($L56,'msci-indices'!$B:$B)+1)</f>
        <v>1756.4484090000001</v>
      </c>
      <c r="AG56" s="23" cm="1">
        <f t="array" ref="AG56">INDEX('msci-indices'!D:D,MATCH($L56,'msci-indices'!$B:$B)+1)</f>
        <v>1769.0189379999999</v>
      </c>
      <c r="AH56" s="23">
        <f t="shared" si="44"/>
        <v>251.57377178459586</v>
      </c>
      <c r="AI56" s="23">
        <f t="shared" si="45"/>
        <v>422502.15722316876</v>
      </c>
      <c r="AJ56" s="23">
        <f t="shared" si="66"/>
        <v>205424.63821296641</v>
      </c>
      <c r="AK56" s="23">
        <f t="shared" si="46"/>
        <v>217077.51901020235</v>
      </c>
      <c r="AL56" s="23">
        <f>AJ56*(_xlfn.XLOOKUP(Q_end,cpi!A:A,cpi!B:B)/BH56)</f>
        <v>258702.74281476272</v>
      </c>
      <c r="AM56" s="23" cm="1">
        <f t="array" ref="AM56">SUMPRODUCT($AA$3:AA56,_xlfn.SORTBY($BH$3:BH56,_xlfn.SEQUENCE(ROWS($BH$3:BH56)),-1)/$BH$3)</f>
        <v>264163.99909172434</v>
      </c>
      <c r="AN56" s="23">
        <f t="shared" si="30"/>
        <v>158338.15813144442</v>
      </c>
      <c r="AO56" s="23">
        <f t="shared" si="47"/>
        <v>0</v>
      </c>
      <c r="AP56" s="23">
        <f t="shared" si="31"/>
        <v>422502.15722316876</v>
      </c>
      <c r="AQ56" s="23"/>
      <c r="AR56" s="11">
        <f>IF($B$10="3BR_H",
INDEX('ns-combined'!$C:$D,MATCH($L56,'ns-combined'!$B:$B,0),MATCH(Council_Area,'ns-combined'!$C$1:$D$1,0))*1000,
INDEX('s-combined'!$C:$D,MATCH($L56,'s-combined'!$B:$B,0),MATCH(Council_Area,'s-combined'!$C$1:$D$1,0))*1000)</f>
        <v>700000</v>
      </c>
      <c r="AS56" s="23">
        <f t="shared" si="35"/>
        <v>44550</v>
      </c>
      <c r="AT56" s="11">
        <v>0</v>
      </c>
      <c r="AU56" s="23">
        <f t="shared" si="48"/>
        <v>14000</v>
      </c>
      <c r="AV56" s="23">
        <f t="shared" si="49"/>
        <v>2012.5</v>
      </c>
      <c r="AW56" s="23">
        <f>SUM($AV$3:AV56)</f>
        <v>80581.9375</v>
      </c>
      <c r="AX56" s="23">
        <f t="shared" si="50"/>
        <v>560868.0625</v>
      </c>
      <c r="AY56" s="23">
        <f t="shared" si="51"/>
        <v>1820.0000000000002</v>
      </c>
      <c r="AZ56" s="25">
        <f t="shared" si="52"/>
        <v>1.0400000000000001E-2</v>
      </c>
      <c r="BA56" s="25">
        <f t="shared" si="53"/>
        <v>0.35000000000000003</v>
      </c>
      <c r="BB56" s="26">
        <f>IF(MortgageRate="Discounted",_xlfn.XLOOKUP(L56,'mortgage-rates'!$A:$A,'mortgage-rates'!$E:$E)/100,_xlfn.XLOOKUP(L56,'mortgage-rates'!$A:$A,'mortgage-rates'!$D:$D)/100)</f>
        <v>4.4600000000000001E-2</v>
      </c>
      <c r="BC56" s="11">
        <f t="shared" si="67"/>
        <v>169470.03700955238</v>
      </c>
      <c r="BD56" s="11">
        <f t="shared" si="54"/>
        <v>4652.3000744721567</v>
      </c>
      <c r="BE56" s="11">
        <f t="shared" si="55"/>
        <v>1889.5909126565091</v>
      </c>
      <c r="BF56" s="11">
        <f t="shared" si="36"/>
        <v>2762.7091618156473</v>
      </c>
      <c r="BG56" s="13">
        <f t="shared" si="56"/>
        <v>6472.3000744721567</v>
      </c>
      <c r="BH56" s="23">
        <f>INDEX(cpi!B:B,MATCH($L56,cpi!A:A))</f>
        <v>114.9</v>
      </c>
      <c r="BI56" s="23">
        <f t="shared" si="57"/>
        <v>135.81560283687944</v>
      </c>
      <c r="BJ56" s="23">
        <f t="shared" si="58"/>
        <v>224.29400441178427</v>
      </c>
      <c r="BK56" s="23">
        <f t="shared" si="59"/>
        <v>229.67176750188432</v>
      </c>
      <c r="BL56" s="23">
        <f t="shared" si="60"/>
        <v>225.90733333881428</v>
      </c>
      <c r="BM56" s="23">
        <f t="shared" si="61"/>
        <v>448.23978196946325</v>
      </c>
      <c r="BN56" s="23">
        <f t="shared" si="62"/>
        <v>212.12121212121212</v>
      </c>
      <c r="BO56">
        <f t="shared" si="63"/>
        <v>174.38503931193426</v>
      </c>
    </row>
    <row r="57" spans="1:67" x14ac:dyDescent="0.25">
      <c r="L57" s="1">
        <f t="shared" si="33"/>
        <v>43709</v>
      </c>
      <c r="M57" s="11">
        <f t="shared" si="38"/>
        <v>427826.42983963114</v>
      </c>
      <c r="N57" s="11">
        <f t="shared" si="39"/>
        <v>396208.85965226323</v>
      </c>
      <c r="O57" s="8">
        <f t="shared" si="25"/>
        <v>1.0798002604361685</v>
      </c>
      <c r="P57" s="8">
        <f t="shared" si="40"/>
        <v>0.84104116336089851</v>
      </c>
      <c r="Q57">
        <v>55</v>
      </c>
      <c r="R57">
        <f t="shared" si="41"/>
        <v>92</v>
      </c>
      <c r="S57" s="23"/>
      <c r="T57" s="23">
        <f>IF($B$10="3BR_H",
INDEX('3BR_H-processed'!$C:$D,MATCH($L57,'3BR_H-processed'!$B:$B,0),MATCH(Council_Area,'3BR_H-processed'!$C$1:$D$1,0)),
INDEX('2BR_F-processed'!$C:$D,MATCH($L57,'2BR_F-processed'!$B:$B,0),MATCH(Council_Area,'2BR_F-processed'!$C$1:$D$1,0)))</f>
        <v>400</v>
      </c>
      <c r="U57" s="23">
        <f t="shared" si="26"/>
        <v>400</v>
      </c>
      <c r="V57" s="23">
        <f t="shared" si="34"/>
        <v>5257.1428571428569</v>
      </c>
      <c r="W57" s="23">
        <f>$B$53/4*BH57/_xlfn.XLOOKUP(Q_end,cpi!A:A,cpi!B:B)</f>
        <v>159.50241879751209</v>
      </c>
      <c r="X57" s="23">
        <f t="shared" si="42"/>
        <v>5416.6452759403692</v>
      </c>
      <c r="Y57" s="23">
        <f t="shared" si="43"/>
        <v>1023.7592035441112</v>
      </c>
      <c r="Z57" s="23">
        <f t="shared" si="64"/>
        <v>0</v>
      </c>
      <c r="AA57" s="23" cm="1">
        <f t="array" ref="AA57">(Y57+Z57)*eff_invest</f>
        <v>1023.7592035441112</v>
      </c>
      <c r="AB57" s="23">
        <f>AA57*(_xlfn.XLOOKUP(Q_end,cpi!A:A,cpi!B:B)/BH57)</f>
        <v>1283.6911330401463</v>
      </c>
      <c r="AC57" s="23" cm="1">
        <f t="array" ref="AC57">INDEX('msci-indices'!C:C,MATCH($L57,'msci-indices'!$B:$B)-2)</f>
        <v>1756.4484090000001</v>
      </c>
      <c r="AD57" s="23" cm="1">
        <f t="array" ref="AD57">INDEX('msci-indices'!D:D,MATCH($L57,'msci-indices'!$B:$B)-2)</f>
        <v>1769.0189379999999</v>
      </c>
      <c r="AE57" s="23">
        <f t="shared" si="65"/>
        <v>423525.91642671288</v>
      </c>
      <c r="AF57" s="23" cm="1">
        <f t="array" ref="AF57">INDEX('msci-indices'!C:C,MATCH($L57,'msci-indices'!$B:$B)+1)</f>
        <v>1762.7547079999999</v>
      </c>
      <c r="AG57" s="23" cm="1">
        <f t="array" ref="AG57">INDEX('msci-indices'!D:D,MATCH($L57,'msci-indices'!$B:$B)+1)</f>
        <v>1817.7602159999999</v>
      </c>
      <c r="AH57" s="23">
        <f t="shared" si="44"/>
        <v>264.70369776669554</v>
      </c>
      <c r="AI57" s="23">
        <f t="shared" si="45"/>
        <v>427826.42983963114</v>
      </c>
      <c r="AJ57" s="23">
        <f t="shared" si="66"/>
        <v>206448.39741651053</v>
      </c>
      <c r="AK57" s="23">
        <f t="shared" si="46"/>
        <v>221378.0324231206</v>
      </c>
      <c r="AL57" s="23">
        <f>AJ57*(_xlfn.XLOOKUP(Q_end,cpi!A:A,cpi!B:B)/BH57)</f>
        <v>258865.53818170773</v>
      </c>
      <c r="AM57" s="23" cm="1">
        <f t="array" ref="AM57">SUMPRODUCT($AA$3:AA57,_xlfn.SORTBY($BH$3:BH57,_xlfn.SEQUENCE(ROWS($BH$3:BH57)),-1)/$BH$3)</f>
        <v>266468.5779255309</v>
      </c>
      <c r="AN57" s="23">
        <f t="shared" si="30"/>
        <v>161357.85191410023</v>
      </c>
      <c r="AO57" s="23">
        <f t="shared" si="47"/>
        <v>0</v>
      </c>
      <c r="AP57" s="23">
        <f t="shared" si="31"/>
        <v>427826.42983963114</v>
      </c>
      <c r="AQ57" s="23"/>
      <c r="AR57" s="11">
        <f>IF($B$10="3BR_H",
INDEX('ns-combined'!$C:$D,MATCH($L57,'ns-combined'!$B:$B,0),MATCH(Council_Area,'ns-combined'!$C$1:$D$1,0))*1000,
INDEX('s-combined'!$C:$D,MATCH($L57,'s-combined'!$B:$B,0),MATCH(Council_Area,'s-combined'!$C$1:$D$1,0))*1000)</f>
        <v>705000</v>
      </c>
      <c r="AS57" s="23">
        <f t="shared" si="35"/>
        <v>45375</v>
      </c>
      <c r="AT57" s="11">
        <v>0</v>
      </c>
      <c r="AU57" s="23">
        <f t="shared" si="48"/>
        <v>14100</v>
      </c>
      <c r="AV57" s="23">
        <f t="shared" si="49"/>
        <v>2026.875</v>
      </c>
      <c r="AW57" s="23">
        <f>SUM($AV$3:AV57)</f>
        <v>82608.8125</v>
      </c>
      <c r="AX57" s="23">
        <f t="shared" si="50"/>
        <v>562916.1875</v>
      </c>
      <c r="AY57" s="23">
        <f t="shared" si="51"/>
        <v>1840</v>
      </c>
      <c r="AZ57" s="25">
        <f t="shared" si="52"/>
        <v>1.0439716312056738E-2</v>
      </c>
      <c r="BA57" s="25">
        <f t="shared" si="53"/>
        <v>0.35000000000000003</v>
      </c>
      <c r="BB57" s="26">
        <f>IF(MortgageRate="Discounted",_xlfn.XLOOKUP(L57,'mortgage-rates'!$A:$A,'mortgage-rates'!$E:$E)/100,_xlfn.XLOOKUP(L57,'mortgage-rates'!$A:$A,'mortgage-rates'!$D:$D)/100)</f>
        <v>4.2500000000000003E-2</v>
      </c>
      <c r="BC57" s="11">
        <f t="shared" si="67"/>
        <v>166707.32784773674</v>
      </c>
      <c r="BD57" s="11">
        <f t="shared" si="54"/>
        <v>4600.4044794844804</v>
      </c>
      <c r="BE57" s="11">
        <f t="shared" si="55"/>
        <v>1771.265358382203</v>
      </c>
      <c r="BF57" s="11">
        <f t="shared" si="36"/>
        <v>2829.1391211022774</v>
      </c>
      <c r="BG57" s="13">
        <f t="shared" si="56"/>
        <v>6440.4044794844804</v>
      </c>
      <c r="BH57" s="23">
        <f>INDEX(cpi!B:B,MATCH($L57,cpi!A:A))</f>
        <v>115.4</v>
      </c>
      <c r="BI57" s="23">
        <f t="shared" si="57"/>
        <v>136.40661938534279</v>
      </c>
      <c r="BJ57" s="23">
        <f t="shared" si="58"/>
        <v>232.67927539772964</v>
      </c>
      <c r="BK57" s="23">
        <f t="shared" si="59"/>
        <v>248.12447403942869</v>
      </c>
      <c r="BL57" s="23">
        <f t="shared" si="60"/>
        <v>237.31283499023937</v>
      </c>
      <c r="BM57" s="23">
        <f t="shared" si="61"/>
        <v>471.6339343794798</v>
      </c>
      <c r="BN57" s="23">
        <f t="shared" si="62"/>
        <v>213.63636363636363</v>
      </c>
      <c r="BO57">
        <f t="shared" si="63"/>
        <v>175.02184212265013</v>
      </c>
    </row>
    <row r="58" spans="1:67" x14ac:dyDescent="0.25">
      <c r="L58" s="1">
        <f t="shared" si="33"/>
        <v>43800</v>
      </c>
      <c r="M58" s="11">
        <f t="shared" si="38"/>
        <v>454819.38204981491</v>
      </c>
      <c r="N58" s="11">
        <f t="shared" si="39"/>
        <v>449927.99877336551</v>
      </c>
      <c r="O58" s="8">
        <f t="shared" si="25"/>
        <v>1.010871480080779</v>
      </c>
      <c r="P58" s="8">
        <f t="shared" si="40"/>
        <v>0.84435308700599221</v>
      </c>
      <c r="Q58">
        <v>56</v>
      </c>
      <c r="R58">
        <f t="shared" si="41"/>
        <v>92</v>
      </c>
      <c r="S58" s="23"/>
      <c r="T58" s="23">
        <f>IF($B$10="3BR_H",
INDEX('3BR_H-processed'!$C:$D,MATCH($L58,'3BR_H-processed'!$B:$B,0),MATCH(Council_Area,'3BR_H-processed'!$C$1:$D$1,0)),
INDEX('2BR_F-processed'!$C:$D,MATCH($L58,'2BR_F-processed'!$B:$B,0),MATCH(Council_Area,'2BR_F-processed'!$C$1:$D$1,0)))</f>
        <v>400</v>
      </c>
      <c r="U58" s="23">
        <f t="shared" si="26"/>
        <v>400</v>
      </c>
      <c r="V58" s="23">
        <f t="shared" si="34"/>
        <v>5257.1428571428569</v>
      </c>
      <c r="W58" s="23">
        <f>$B$53/4*BH58/_xlfn.XLOOKUP(Q_end,cpi!A:A,cpi!B:B)</f>
        <v>160.4699378023497</v>
      </c>
      <c r="X58" s="23">
        <f t="shared" si="42"/>
        <v>5417.6127949452066</v>
      </c>
      <c r="Y58" s="23">
        <f t="shared" si="43"/>
        <v>998.6754597180452</v>
      </c>
      <c r="Z58" s="23">
        <f t="shared" si="64"/>
        <v>0</v>
      </c>
      <c r="AA58" s="23" cm="1">
        <f t="array" ref="AA58">(Y58+Z58)*eff_invest</f>
        <v>998.6754597180452</v>
      </c>
      <c r="AB58" s="23">
        <f>AA58*(_xlfn.XLOOKUP(Q_end,cpi!A:A,cpi!B:B)/BH58)</f>
        <v>1244.6885359276582</v>
      </c>
      <c r="AC58" s="23" cm="1">
        <f t="array" ref="AC58">INDEX('msci-indices'!C:C,MATCH($L58,'msci-indices'!$B:$B)-2)</f>
        <v>1762.7547079999999</v>
      </c>
      <c r="AD58" s="23" cm="1">
        <f t="array" ref="AD58">INDEX('msci-indices'!D:D,MATCH($L58,'msci-indices'!$B:$B)-2)</f>
        <v>1817.7602159999999</v>
      </c>
      <c r="AE58" s="23">
        <f t="shared" si="65"/>
        <v>428825.10529934918</v>
      </c>
      <c r="AF58" s="23" cm="1">
        <f t="array" ref="AF58">INDEX('msci-indices'!C:C,MATCH($L58,'msci-indices'!$B:$B)+1)</f>
        <v>1916.2448380000001</v>
      </c>
      <c r="AG58" s="23" cm="1">
        <f t="array" ref="AG58">INDEX('msci-indices'!D:D,MATCH($L58,'msci-indices'!$B:$B)+1)</f>
        <v>1819.5211509999999</v>
      </c>
      <c r="AH58" s="23">
        <f t="shared" si="44"/>
        <v>268.01569081209323</v>
      </c>
      <c r="AI58" s="23">
        <f t="shared" si="45"/>
        <v>454819.38204981491</v>
      </c>
      <c r="AJ58" s="23">
        <f t="shared" si="66"/>
        <v>207447.07287622857</v>
      </c>
      <c r="AK58" s="23">
        <f t="shared" si="46"/>
        <v>247372.30917358634</v>
      </c>
      <c r="AL58" s="23">
        <f>AJ58*(_xlfn.XLOOKUP(Q_end,cpi!A:A,cpi!B:B)/BH58)</f>
        <v>258549.45258561819</v>
      </c>
      <c r="AM58" s="23" cm="1">
        <f t="array" ref="AM58">SUMPRODUCT($AA$3:AA58,_xlfn.SORTBY($BH$3:BH58,_xlfn.SEQUENCE(ROWS($BH$3:BH58)),-1)/$BH$3)</f>
        <v>268954.60105087928</v>
      </c>
      <c r="AN58" s="23">
        <f t="shared" si="30"/>
        <v>185864.78099893563</v>
      </c>
      <c r="AO58" s="23">
        <f t="shared" si="47"/>
        <v>0</v>
      </c>
      <c r="AP58" s="23">
        <f t="shared" si="31"/>
        <v>454819.38204981491</v>
      </c>
      <c r="AQ58" s="23"/>
      <c r="AR58" s="11">
        <f>IF($B$10="3BR_H",
INDEX('ns-combined'!$C:$D,MATCH($L58,'ns-combined'!$B:$B,0),MATCH(Council_Area,'ns-combined'!$C$1:$D$1,0))*1000,
INDEX('s-combined'!$C:$D,MATCH($L58,'s-combined'!$B:$B,0),MATCH(Council_Area,'s-combined'!$C$1:$D$1,0))*1000)</f>
        <v>760000</v>
      </c>
      <c r="AS58" s="23">
        <f t="shared" si="35"/>
        <v>46200</v>
      </c>
      <c r="AT58" s="11">
        <v>0</v>
      </c>
      <c r="AU58" s="23">
        <f t="shared" si="48"/>
        <v>15200</v>
      </c>
      <c r="AV58" s="23">
        <f t="shared" si="49"/>
        <v>2185</v>
      </c>
      <c r="AW58" s="23">
        <f>SUM($AV$3:AV58)</f>
        <v>84793.8125</v>
      </c>
      <c r="AX58" s="23">
        <f t="shared" si="50"/>
        <v>613806.1875</v>
      </c>
      <c r="AY58" s="23">
        <f t="shared" si="51"/>
        <v>1840</v>
      </c>
      <c r="AZ58" s="25">
        <f t="shared" si="52"/>
        <v>9.6842105263157899E-3</v>
      </c>
      <c r="BA58" s="25">
        <f t="shared" si="53"/>
        <v>0.35000000000000003</v>
      </c>
      <c r="BB58" s="26">
        <f>IF(MortgageRate="Discounted",_xlfn.XLOOKUP(L58,'mortgage-rates'!$A:$A,'mortgage-rates'!$E:$E)/100,_xlfn.XLOOKUP(L58,'mortgage-rates'!$A:$A,'mortgage-rates'!$D:$D)/100)</f>
        <v>4.1500000000000002E-2</v>
      </c>
      <c r="BC58" s="11">
        <f t="shared" si="67"/>
        <v>163878.18872663446</v>
      </c>
      <c r="BD58" s="11">
        <f t="shared" si="54"/>
        <v>4576.2882546632518</v>
      </c>
      <c r="BE58" s="11">
        <f t="shared" si="55"/>
        <v>1700.2362080388325</v>
      </c>
      <c r="BF58" s="11">
        <f t="shared" si="36"/>
        <v>2876.0520466244193</v>
      </c>
      <c r="BG58" s="13">
        <f t="shared" si="56"/>
        <v>6416.2882546632518</v>
      </c>
      <c r="BH58" s="23">
        <f>INDEX(cpi!B:B,MATCH($L58,cpi!A:A))</f>
        <v>116.1</v>
      </c>
      <c r="BI58" s="23">
        <f t="shared" si="57"/>
        <v>137.2340425531915</v>
      </c>
      <c r="BJ58" s="23">
        <f t="shared" si="58"/>
        <v>233.51467999842427</v>
      </c>
      <c r="BK58" s="23">
        <f t="shared" si="59"/>
        <v>254.96097743007783</v>
      </c>
      <c r="BL58" s="23">
        <f t="shared" si="60"/>
        <v>239.94856922792033</v>
      </c>
      <c r="BM58" s="23">
        <f t="shared" si="61"/>
        <v>477.53505447646899</v>
      </c>
      <c r="BN58" s="23">
        <f t="shared" si="62"/>
        <v>230.30303030303031</v>
      </c>
      <c r="BO58">
        <f t="shared" si="63"/>
        <v>190.84455559830704</v>
      </c>
    </row>
    <row r="59" spans="1:67" x14ac:dyDescent="0.25">
      <c r="L59" s="1">
        <f t="shared" si="33"/>
        <v>43891</v>
      </c>
      <c r="M59" s="11">
        <f t="shared" si="38"/>
        <v>352026.83541506564</v>
      </c>
      <c r="N59" s="11">
        <f t="shared" si="39"/>
        <v>420480.30081998999</v>
      </c>
      <c r="O59" s="8">
        <f t="shared" si="25"/>
        <v>0.83720173032736278</v>
      </c>
      <c r="P59" s="8">
        <f t="shared" si="40"/>
        <v>0.85998333922526182</v>
      </c>
      <c r="Q59">
        <v>57</v>
      </c>
      <c r="R59">
        <f t="shared" si="41"/>
        <v>91</v>
      </c>
      <c r="S59" s="23"/>
      <c r="T59" s="23">
        <f>IF($B$10="3BR_H",
INDEX('3BR_H-processed'!$C:$D,MATCH($L59,'3BR_H-processed'!$B:$B,0),MATCH(Council_Area,'3BR_H-processed'!$C$1:$D$1,0)),
INDEX('2BR_F-processed'!$C:$D,MATCH($L59,'2BR_F-processed'!$B:$B,0),MATCH(Council_Area,'2BR_F-processed'!$C$1:$D$1,0)))</f>
        <v>410</v>
      </c>
      <c r="U59" s="23">
        <f t="shared" si="26"/>
        <v>410</v>
      </c>
      <c r="V59" s="23">
        <f t="shared" si="34"/>
        <v>5330</v>
      </c>
      <c r="W59" s="23">
        <f>$B$53/4*BH59/_xlfn.XLOOKUP(Q_end,cpi!A:A,cpi!B:B)</f>
        <v>161.29923980649622</v>
      </c>
      <c r="X59" s="23">
        <f t="shared" si="42"/>
        <v>5491.2992398064962</v>
      </c>
      <c r="Y59" s="23">
        <f t="shared" si="43"/>
        <v>894.05613783776698</v>
      </c>
      <c r="Z59" s="23">
        <f t="shared" si="64"/>
        <v>0</v>
      </c>
      <c r="AA59" s="23" cm="1">
        <f t="array" ref="AA59">(Y59+Z59)*eff_invest</f>
        <v>894.05613783776698</v>
      </c>
      <c r="AB59" s="23">
        <f>AA59*(_xlfn.XLOOKUP(Q_end,cpi!A:A,cpi!B:B)/BH59)</f>
        <v>1108.568321723435</v>
      </c>
      <c r="AC59" s="23" cm="1">
        <f t="array" ref="AC59">INDEX('msci-indices'!C:C,MATCH($L59,'msci-indices'!$B:$B)-2)</f>
        <v>1916.2448380000001</v>
      </c>
      <c r="AD59" s="23" cm="1">
        <f t="array" ref="AD59">INDEX('msci-indices'!D:D,MATCH($L59,'msci-indices'!$B:$B)-2)</f>
        <v>1819.5211509999999</v>
      </c>
      <c r="AE59" s="23">
        <f t="shared" si="65"/>
        <v>455713.43818765267</v>
      </c>
      <c r="AF59" s="23" cm="1">
        <f t="array" ref="AF59">INDEX('msci-indices'!C:C,MATCH($L59,'msci-indices'!$B:$B)+1)</f>
        <v>1491.44822</v>
      </c>
      <c r="AG59" s="23" cm="1">
        <f t="array" ref="AG59">INDEX('msci-indices'!D:D,MATCH($L59,'msci-indices'!$B:$B)+1)</f>
        <v>1384.5123450000001</v>
      </c>
      <c r="AH59" s="23">
        <f t="shared" si="44"/>
        <v>284.82089886728295</v>
      </c>
      <c r="AI59" s="23">
        <f t="shared" si="45"/>
        <v>352026.83541506564</v>
      </c>
      <c r="AJ59" s="23">
        <f t="shared" si="66"/>
        <v>208341.12901406633</v>
      </c>
      <c r="AK59" s="23">
        <f t="shared" si="46"/>
        <v>143685.7064009993</v>
      </c>
      <c r="AL59" s="23">
        <f>AJ59*(_xlfn.XLOOKUP(Q_end,cpi!A:A,cpi!B:B)/BH59)</f>
        <v>258328.71780921504</v>
      </c>
      <c r="AM59" s="23" cm="1">
        <f t="array" ref="AM59">SUMPRODUCT($AA$3:AA59,_xlfn.SORTBY($BH$3:BH59,_xlfn.SEQUENCE(ROWS($BH$3:BH59)),-1)/$BH$3)</f>
        <v>271242.30832044175</v>
      </c>
      <c r="AN59" s="23">
        <f t="shared" si="30"/>
        <v>80784.527094623889</v>
      </c>
      <c r="AO59" s="23">
        <f t="shared" si="47"/>
        <v>0</v>
      </c>
      <c r="AP59" s="23">
        <f t="shared" si="31"/>
        <v>352026.83541506564</v>
      </c>
      <c r="AQ59" s="23"/>
      <c r="AR59" s="11">
        <f>IF($B$10="3BR_H",
INDEX('ns-combined'!$C:$D,MATCH($L59,'ns-combined'!$B:$B,0),MATCH(Council_Area,'ns-combined'!$C$1:$D$1,0))*1000,
INDEX('s-combined'!$C:$D,MATCH($L59,'s-combined'!$B:$B,0),MATCH(Council_Area,'s-combined'!$C$1:$D$1,0))*1000)</f>
        <v>730000</v>
      </c>
      <c r="AS59" s="23">
        <f t="shared" si="35"/>
        <v>47025</v>
      </c>
      <c r="AT59" s="11">
        <v>0</v>
      </c>
      <c r="AU59" s="23">
        <f t="shared" si="48"/>
        <v>14600</v>
      </c>
      <c r="AV59" s="23">
        <f t="shared" si="49"/>
        <v>2098.75</v>
      </c>
      <c r="AW59" s="23">
        <f>SUM($AV$3:AV59)</f>
        <v>86892.5625</v>
      </c>
      <c r="AX59" s="23">
        <f t="shared" si="50"/>
        <v>581482.4375</v>
      </c>
      <c r="AY59" s="23">
        <f t="shared" si="51"/>
        <v>1865.5000000000002</v>
      </c>
      <c r="AZ59" s="25">
        <f t="shared" si="52"/>
        <v>1.022191780821918E-2</v>
      </c>
      <c r="BA59" s="25">
        <f t="shared" si="53"/>
        <v>0.35000000000000003</v>
      </c>
      <c r="BB59" s="26">
        <f>IF(MortgageRate="Discounted",_xlfn.XLOOKUP(L59,'mortgage-rates'!$A:$A,'mortgage-rates'!$E:$E)/100,_xlfn.XLOOKUP(L59,'mortgage-rates'!$A:$A,'mortgage-rates'!$D:$D)/100)</f>
        <v>3.9100000000000003E-2</v>
      </c>
      <c r="BC59" s="11">
        <f t="shared" si="67"/>
        <v>161002.13668001004</v>
      </c>
      <c r="BD59" s="11">
        <f t="shared" si="54"/>
        <v>4519.8553776442632</v>
      </c>
      <c r="BE59" s="11">
        <f t="shared" si="55"/>
        <v>1573.7958860470983</v>
      </c>
      <c r="BF59" s="11">
        <f t="shared" si="36"/>
        <v>2946.0594915971651</v>
      </c>
      <c r="BG59" s="13">
        <f t="shared" si="56"/>
        <v>6385.3553776442632</v>
      </c>
      <c r="BH59" s="23">
        <f>INDEX(cpi!B:B,MATCH($L59,cpi!A:A))</f>
        <v>116.7</v>
      </c>
      <c r="BI59" s="23">
        <f t="shared" si="57"/>
        <v>137.94326241134752</v>
      </c>
      <c r="BJ59" s="23">
        <f t="shared" si="58"/>
        <v>253.84774076246714</v>
      </c>
      <c r="BK59" s="23">
        <f t="shared" si="59"/>
        <v>255.20796804239237</v>
      </c>
      <c r="BL59" s="23">
        <f t="shared" si="60"/>
        <v>254.25580894644472</v>
      </c>
      <c r="BM59" s="23">
        <f t="shared" si="61"/>
        <v>507.4776146295975</v>
      </c>
      <c r="BN59" s="23">
        <f t="shared" si="62"/>
        <v>221.21212121212122</v>
      </c>
      <c r="BO59">
        <f t="shared" si="63"/>
        <v>180.79445863016468</v>
      </c>
    </row>
    <row r="60" spans="1:67" x14ac:dyDescent="0.25">
      <c r="L60" s="1">
        <f t="shared" si="33"/>
        <v>43983</v>
      </c>
      <c r="M60" s="11">
        <f t="shared" si="38"/>
        <v>420017.6696181345</v>
      </c>
      <c r="N60" s="11">
        <f t="shared" si="39"/>
        <v>410731.36031158711</v>
      </c>
      <c r="O60" s="8">
        <f t="shared" si="25"/>
        <v>1.0226092044676176</v>
      </c>
      <c r="P60" s="8">
        <f t="shared" si="40"/>
        <v>0.86758199267385627</v>
      </c>
      <c r="Q60">
        <v>58</v>
      </c>
      <c r="R60">
        <f t="shared" si="41"/>
        <v>91</v>
      </c>
      <c r="S60" s="23"/>
      <c r="T60" s="23">
        <f>IF($B$10="3BR_H",
INDEX('3BR_H-processed'!$C:$D,MATCH($L60,'3BR_H-processed'!$B:$B,0),MATCH(Council_Area,'3BR_H-processed'!$C$1:$D$1,0)),
INDEX('2BR_F-processed'!$C:$D,MATCH($L60,'2BR_F-processed'!$B:$B,0),MATCH(Council_Area,'2BR_F-processed'!$C$1:$D$1,0)))</f>
        <v>400</v>
      </c>
      <c r="U60" s="23">
        <f t="shared" si="26"/>
        <v>410</v>
      </c>
      <c r="V60" s="23">
        <f t="shared" si="34"/>
        <v>5330</v>
      </c>
      <c r="W60" s="23">
        <f>$B$53/4*BH60/_xlfn.XLOOKUP(Q_end,cpi!A:A,cpi!B:B)</f>
        <v>158.25846579129234</v>
      </c>
      <c r="X60" s="23">
        <f t="shared" si="42"/>
        <v>5488.2584657912921</v>
      </c>
      <c r="Y60" s="23">
        <f t="shared" si="43"/>
        <v>837.66635991501153</v>
      </c>
      <c r="Z60" s="23">
        <f t="shared" si="64"/>
        <v>0</v>
      </c>
      <c r="AA60" s="23" cm="1">
        <f t="array" ref="AA60">(Y60+Z60)*eff_invest</f>
        <v>837.66635991501153</v>
      </c>
      <c r="AB60" s="23">
        <f>AA60*(_xlfn.XLOOKUP(Q_end,cpi!A:A,cpi!B:B)/BH60)</f>
        <v>1058.605434757224</v>
      </c>
      <c r="AC60" s="23" cm="1">
        <f t="array" ref="AC60">INDEX('msci-indices'!C:C,MATCH($L60,'msci-indices'!$B:$B)-2)</f>
        <v>1491.44822</v>
      </c>
      <c r="AD60" s="23" cm="1">
        <f t="array" ref="AD60">INDEX('msci-indices'!D:D,MATCH($L60,'msci-indices'!$B:$B)-2)</f>
        <v>1384.5123450000001</v>
      </c>
      <c r="AE60" s="23">
        <f t="shared" si="65"/>
        <v>352864.50177498063</v>
      </c>
      <c r="AF60" s="23" cm="1">
        <f t="array" ref="AF60">INDEX('msci-indices'!C:C,MATCH($L60,'msci-indices'!$B:$B)+1)</f>
        <v>1788.7914370000001</v>
      </c>
      <c r="AG60" s="23" cm="1">
        <f t="array" ref="AG60">INDEX('msci-indices'!D:D,MATCH($L60,'msci-indices'!$B:$B)+1)</f>
        <v>1621.623241</v>
      </c>
      <c r="AH60" s="23">
        <f t="shared" si="44"/>
        <v>220.5403136093629</v>
      </c>
      <c r="AI60" s="23">
        <f t="shared" si="45"/>
        <v>420017.6696181345</v>
      </c>
      <c r="AJ60" s="23">
        <f t="shared" si="66"/>
        <v>209178.79537398135</v>
      </c>
      <c r="AK60" s="23">
        <f t="shared" si="46"/>
        <v>210838.87424415315</v>
      </c>
      <c r="AL60" s="23">
        <f>AJ60*(_xlfn.XLOOKUP(Q_end,cpi!A:A,cpi!B:B)/BH60)</f>
        <v>264350.84445952054</v>
      </c>
      <c r="AM60" s="23" cm="1">
        <f t="array" ref="AM60">SUMPRODUCT($AA$3:AA60,_xlfn.SORTBY($BH$3:BH60,_xlfn.SEQUENCE(ROWS($BH$3:BH60)),-1)/$BH$3)</f>
        <v>270509.26683832047</v>
      </c>
      <c r="AN60" s="23">
        <f t="shared" si="30"/>
        <v>149508.40277981403</v>
      </c>
      <c r="AO60" s="23">
        <f t="shared" si="47"/>
        <v>0</v>
      </c>
      <c r="AP60" s="23">
        <f t="shared" si="31"/>
        <v>420017.6696181345</v>
      </c>
      <c r="AQ60" s="23"/>
      <c r="AR60" s="11">
        <f>IF($B$10="3BR_H",
INDEX('ns-combined'!$C:$D,MATCH($L60,'ns-combined'!$B:$B,0),MATCH(Council_Area,'ns-combined'!$C$1:$D$1,0))*1000,
INDEX('s-combined'!$C:$D,MATCH($L60,'s-combined'!$B:$B,0),MATCH(Council_Area,'s-combined'!$C$1:$D$1,0))*1000)</f>
        <v>720000</v>
      </c>
      <c r="AS60" s="23">
        <f t="shared" si="35"/>
        <v>47850</v>
      </c>
      <c r="AT60" s="11">
        <v>0</v>
      </c>
      <c r="AU60" s="23">
        <f t="shared" si="48"/>
        <v>14400</v>
      </c>
      <c r="AV60" s="23">
        <f t="shared" si="49"/>
        <v>2070</v>
      </c>
      <c r="AW60" s="23">
        <f>SUM($AV$3:AV60)</f>
        <v>88962.5625</v>
      </c>
      <c r="AX60" s="23">
        <f t="shared" si="50"/>
        <v>568787.4375</v>
      </c>
      <c r="AY60" s="23">
        <f t="shared" si="51"/>
        <v>1865.5000000000002</v>
      </c>
      <c r="AZ60" s="25">
        <f t="shared" si="52"/>
        <v>1.0363888888888889E-2</v>
      </c>
      <c r="BA60" s="25">
        <f t="shared" si="53"/>
        <v>0.35000000000000003</v>
      </c>
      <c r="BB60" s="26">
        <f>IF(MortgageRate="Discounted",_xlfn.XLOOKUP(L60,'mortgage-rates'!$A:$A,'mortgage-rates'!$E:$E)/100,_xlfn.XLOOKUP(L60,'mortgage-rates'!$A:$A,'mortgage-rates'!$D:$D)/100)</f>
        <v>3.6499999999999998E-2</v>
      </c>
      <c r="BC60" s="11">
        <f t="shared" si="67"/>
        <v>158056.07718841286</v>
      </c>
      <c r="BD60" s="11">
        <f t="shared" si="54"/>
        <v>4460.4248257063036</v>
      </c>
      <c r="BE60" s="11">
        <f t="shared" si="55"/>
        <v>1442.2617043442672</v>
      </c>
      <c r="BF60" s="11">
        <f t="shared" si="36"/>
        <v>3018.1631213620367</v>
      </c>
      <c r="BG60" s="13">
        <f t="shared" si="56"/>
        <v>6325.9248257063036</v>
      </c>
      <c r="BH60" s="23">
        <f>INDEX(cpi!B:B,MATCH($L60,cpi!A:A))</f>
        <v>114.5</v>
      </c>
      <c r="BI60" s="23">
        <f t="shared" si="57"/>
        <v>135.34278959810877</v>
      </c>
      <c r="BJ60" s="23">
        <f t="shared" si="58"/>
        <v>197.57431493271579</v>
      </c>
      <c r="BK60" s="23">
        <f t="shared" si="59"/>
        <v>194.19317115542438</v>
      </c>
      <c r="BL60" s="23">
        <f t="shared" si="60"/>
        <v>196.55997179952837</v>
      </c>
      <c r="BM60" s="23">
        <f t="shared" si="61"/>
        <v>392.94613817047707</v>
      </c>
      <c r="BN60" s="23">
        <f t="shared" si="62"/>
        <v>218.18181818181819</v>
      </c>
      <c r="BO60">
        <f t="shared" si="63"/>
        <v>176.84733055837327</v>
      </c>
    </row>
    <row r="61" spans="1:67" x14ac:dyDescent="0.25">
      <c r="L61" s="1">
        <f t="shared" si="33"/>
        <v>44075</v>
      </c>
      <c r="M61" s="11">
        <f t="shared" si="38"/>
        <v>443696.18854917475</v>
      </c>
      <c r="N61" s="11">
        <f t="shared" si="39"/>
        <v>401083.27343294921</v>
      </c>
      <c r="O61" s="8">
        <f t="shared" si="25"/>
        <v>1.10624455802281</v>
      </c>
      <c r="P61" s="8">
        <f t="shared" si="40"/>
        <v>0.87437884096529783</v>
      </c>
      <c r="Q61">
        <v>59</v>
      </c>
      <c r="R61">
        <f t="shared" si="41"/>
        <v>92</v>
      </c>
      <c r="S61" s="23"/>
      <c r="T61" s="23">
        <f>IF($B$10="3BR_H",
INDEX('3BR_H-processed'!$C:$D,MATCH($L61,'3BR_H-processed'!$B:$B,0),MATCH(Council_Area,'3BR_H-processed'!$C$1:$D$1,0)),
INDEX('2BR_F-processed'!$C:$D,MATCH($L61,'2BR_F-processed'!$B:$B,0),MATCH(Council_Area,'2BR_F-processed'!$C$1:$D$1,0)))</f>
        <v>400</v>
      </c>
      <c r="U61" s="23">
        <f t="shared" si="26"/>
        <v>410</v>
      </c>
      <c r="V61" s="23">
        <f t="shared" si="34"/>
        <v>5388.5714285714284</v>
      </c>
      <c r="W61" s="23">
        <f>$B$53/4*BH61/_xlfn.XLOOKUP(Q_end,cpi!A:A,cpi!B:B)</f>
        <v>160.60815480304078</v>
      </c>
      <c r="X61" s="23">
        <f t="shared" si="42"/>
        <v>5549.1795833744691</v>
      </c>
      <c r="Y61" s="23">
        <f t="shared" si="43"/>
        <v>797.24524233183365</v>
      </c>
      <c r="Z61" s="23">
        <f t="shared" si="64"/>
        <v>0</v>
      </c>
      <c r="AA61" s="23" cm="1">
        <f t="array" ref="AA61">(Y61+Z61)*eff_invest</f>
        <v>797.24524233183365</v>
      </c>
      <c r="AB61" s="23">
        <f>AA61*(_xlfn.XLOOKUP(Q_end,cpi!A:A,cpi!B:B)/BH61)</f>
        <v>992.78301691408194</v>
      </c>
      <c r="AC61" s="23" cm="1">
        <f t="array" ref="AC61">INDEX('msci-indices'!C:C,MATCH($L61,'msci-indices'!$B:$B)-2)</f>
        <v>1788.7914370000001</v>
      </c>
      <c r="AD61" s="23" cm="1">
        <f t="array" ref="AD61">INDEX('msci-indices'!D:D,MATCH($L61,'msci-indices'!$B:$B)-2)</f>
        <v>1621.623241</v>
      </c>
      <c r="AE61" s="23">
        <f t="shared" si="65"/>
        <v>420814.91486046632</v>
      </c>
      <c r="AF61" s="23" cm="1">
        <f t="array" ref="AF61">INDEX('msci-indices'!C:C,MATCH($L61,'msci-indices'!$B:$B)+1)</f>
        <v>1929.6383699999999</v>
      </c>
      <c r="AG61" s="23" cm="1">
        <f t="array" ref="AG61">INDEX('msci-indices'!D:D,MATCH($L61,'msci-indices'!$B:$B)+1)</f>
        <v>1620.9837990000001</v>
      </c>
      <c r="AH61" s="23">
        <f t="shared" si="44"/>
        <v>263.00932178779146</v>
      </c>
      <c r="AI61" s="23">
        <f t="shared" si="45"/>
        <v>443696.18854917475</v>
      </c>
      <c r="AJ61" s="23">
        <f t="shared" si="66"/>
        <v>209976.0406163132</v>
      </c>
      <c r="AK61" s="23">
        <f t="shared" si="46"/>
        <v>233720.14793286155</v>
      </c>
      <c r="AL61" s="23">
        <f>AJ61*(_xlfn.XLOOKUP(Q_end,cpi!A:A,cpi!B:B)/BH61)</f>
        <v>261476.18827177727</v>
      </c>
      <c r="AM61" s="23" cm="1">
        <f t="array" ref="AM61">SUMPRODUCT($AA$3:AA61,_xlfn.SORTBY($BH$3:BH61,_xlfn.SEQUENCE(ROWS($BH$3:BH61)),-1)/$BH$3)</f>
        <v>273762.42182275269</v>
      </c>
      <c r="AN61" s="23">
        <f t="shared" si="30"/>
        <v>169933.76672642207</v>
      </c>
      <c r="AO61" s="23">
        <f t="shared" si="47"/>
        <v>0</v>
      </c>
      <c r="AP61" s="23">
        <f t="shared" si="31"/>
        <v>443696.18854917475</v>
      </c>
      <c r="AQ61" s="23"/>
      <c r="AR61" s="11">
        <f>IF($B$10="3BR_H",
INDEX('ns-combined'!$C:$D,MATCH($L61,'ns-combined'!$B:$B,0),MATCH(Council_Area,'ns-combined'!$C$1:$D$1,0))*1000,
INDEX('s-combined'!$C:$D,MATCH($L61,'s-combined'!$B:$B,0),MATCH(Council_Area,'s-combined'!$C$1:$D$1,0))*1000)</f>
        <v>710000</v>
      </c>
      <c r="AS61" s="23">
        <f t="shared" si="35"/>
        <v>48675</v>
      </c>
      <c r="AT61" s="11">
        <v>0</v>
      </c>
      <c r="AU61" s="23">
        <f t="shared" si="48"/>
        <v>14200</v>
      </c>
      <c r="AV61" s="23">
        <f t="shared" si="49"/>
        <v>2041.25</v>
      </c>
      <c r="AW61" s="23">
        <f>SUM($AV$3:AV61)</f>
        <v>91003.8125</v>
      </c>
      <c r="AX61" s="23">
        <f t="shared" si="50"/>
        <v>556121.1875</v>
      </c>
      <c r="AY61" s="23">
        <f t="shared" si="51"/>
        <v>1886.0000000000002</v>
      </c>
      <c r="AZ61" s="25">
        <f t="shared" si="52"/>
        <v>1.0625352112676057E-2</v>
      </c>
      <c r="BA61" s="25">
        <f t="shared" si="53"/>
        <v>0.35000000000000003</v>
      </c>
      <c r="BB61" s="26">
        <f>IF(MortgageRate="Discounted",_xlfn.XLOOKUP(L61,'mortgage-rates'!$A:$A,'mortgage-rates'!$E:$E)/100,_xlfn.XLOOKUP(L61,'mortgage-rates'!$A:$A,'mortgage-rates'!$D:$D)/100)</f>
        <v>3.6499999999999998E-2</v>
      </c>
      <c r="BC61" s="11">
        <f t="shared" si="67"/>
        <v>155037.91406705082</v>
      </c>
      <c r="BD61" s="11">
        <f t="shared" si="54"/>
        <v>4460.4248257063027</v>
      </c>
      <c r="BE61" s="11">
        <f t="shared" si="55"/>
        <v>1414.7209658618387</v>
      </c>
      <c r="BF61" s="11">
        <f t="shared" si="36"/>
        <v>3045.7038598444642</v>
      </c>
      <c r="BG61" s="13">
        <f t="shared" si="56"/>
        <v>6346.4248257063027</v>
      </c>
      <c r="BH61" s="23">
        <f>INDEX(cpi!B:B,MATCH($L61,cpi!A:A))</f>
        <v>116.2</v>
      </c>
      <c r="BI61" s="23">
        <f t="shared" si="57"/>
        <v>137.35224586288416</v>
      </c>
      <c r="BJ61" s="23">
        <f t="shared" si="58"/>
        <v>236.96380335804304</v>
      </c>
      <c r="BK61" s="23">
        <f t="shared" si="59"/>
        <v>227.4505971191806</v>
      </c>
      <c r="BL61" s="23">
        <f t="shared" si="60"/>
        <v>234.10984148638431</v>
      </c>
      <c r="BM61" s="23">
        <f t="shared" si="61"/>
        <v>468.61499200734511</v>
      </c>
      <c r="BN61" s="23">
        <f t="shared" si="62"/>
        <v>215.15151515151516</v>
      </c>
      <c r="BO61">
        <f t="shared" si="63"/>
        <v>172.90914143357392</v>
      </c>
    </row>
    <row r="62" spans="1:67" x14ac:dyDescent="0.25">
      <c r="L62" s="1">
        <f t="shared" si="33"/>
        <v>44166</v>
      </c>
      <c r="M62" s="11">
        <f t="shared" si="38"/>
        <v>509986.97240352764</v>
      </c>
      <c r="N62" s="11">
        <f t="shared" si="39"/>
        <v>450118.97729279369</v>
      </c>
      <c r="O62" s="8">
        <f t="shared" si="25"/>
        <v>1.1330048234598005</v>
      </c>
      <c r="P62" s="8">
        <f t="shared" si="40"/>
        <v>0.8745966281517642</v>
      </c>
      <c r="Q62">
        <v>60</v>
      </c>
      <c r="R62">
        <f t="shared" si="41"/>
        <v>92</v>
      </c>
      <c r="S62" s="23"/>
      <c r="T62" s="23">
        <f>IF($B$10="3BR_H",
INDEX('3BR_H-processed'!$C:$D,MATCH($L62,'3BR_H-processed'!$B:$B,0),MATCH(Council_Area,'3BR_H-processed'!$C$1:$D$1,0)),
INDEX('2BR_F-processed'!$C:$D,MATCH($L62,'2BR_F-processed'!$B:$B,0),MATCH(Council_Area,'2BR_F-processed'!$C$1:$D$1,0)))</f>
        <v>400</v>
      </c>
      <c r="U62" s="23">
        <f t="shared" si="26"/>
        <v>410</v>
      </c>
      <c r="V62" s="23">
        <f t="shared" si="34"/>
        <v>5388.5714285714284</v>
      </c>
      <c r="W62" s="23">
        <f>$B$53/4*BH62/_xlfn.XLOOKUP(Q_end,cpi!A:A,cpi!B:B)</f>
        <v>161.99032480995163</v>
      </c>
      <c r="X62" s="23">
        <f t="shared" si="42"/>
        <v>5550.5617533813802</v>
      </c>
      <c r="Y62" s="23">
        <f t="shared" si="43"/>
        <v>795.86307232492254</v>
      </c>
      <c r="Z62" s="23">
        <f t="shared" si="64"/>
        <v>0</v>
      </c>
      <c r="AA62" s="23" cm="1">
        <f t="array" ref="AA62">(Y62+Z62)*eff_invest</f>
        <v>795.86307232492254</v>
      </c>
      <c r="AB62" s="23">
        <f>AA62*(_xlfn.XLOOKUP(Q_end,cpi!A:A,cpi!B:B)/BH62)</f>
        <v>982.6056874182276</v>
      </c>
      <c r="AC62" s="23" cm="1">
        <f t="array" ref="AC62">INDEX('msci-indices'!C:C,MATCH($L62,'msci-indices'!$B:$B)-2)</f>
        <v>1929.6383699999999</v>
      </c>
      <c r="AD62" s="23" cm="1">
        <f t="array" ref="AD62">INDEX('msci-indices'!D:D,MATCH($L62,'msci-indices'!$B:$B)-2)</f>
        <v>1620.9837990000001</v>
      </c>
      <c r="AE62" s="23">
        <f t="shared" si="65"/>
        <v>444492.0516214997</v>
      </c>
      <c r="AF62" s="23" cm="1">
        <f t="array" ref="AF62">INDEX('msci-indices'!C:C,MATCH($L62,'msci-indices'!$B:$B)+1)</f>
        <v>2220.940302</v>
      </c>
      <c r="AG62" s="23" cm="1">
        <f t="array" ref="AG62">INDEX('msci-indices'!D:D,MATCH($L62,'msci-indices'!$B:$B)+1)</f>
        <v>1849.5394759999999</v>
      </c>
      <c r="AH62" s="23">
        <f t="shared" si="44"/>
        <v>277.80753226343734</v>
      </c>
      <c r="AI62" s="23">
        <f t="shared" si="45"/>
        <v>509986.97240352764</v>
      </c>
      <c r="AJ62" s="23">
        <f t="shared" si="66"/>
        <v>210771.90368863812</v>
      </c>
      <c r="AK62" s="23">
        <f t="shared" si="46"/>
        <v>299215.06871488952</v>
      </c>
      <c r="AL62" s="23">
        <f>AJ62*(_xlfn.XLOOKUP(Q_end,cpi!A:A,cpi!B:B)/BH62)</f>
        <v>260227.76846199602</v>
      </c>
      <c r="AM62" s="23" cm="1">
        <f t="array" ref="AM62">SUMPRODUCT($AA$3:AA62,_xlfn.SORTBY($BH$3:BH62,_xlfn.SEQUENCE(ROWS($BH$3:BH62)),-1)/$BH$3)</f>
        <v>276316.85931499698</v>
      </c>
      <c r="AN62" s="23">
        <f t="shared" si="30"/>
        <v>233670.11308853066</v>
      </c>
      <c r="AO62" s="23">
        <f t="shared" si="47"/>
        <v>0</v>
      </c>
      <c r="AP62" s="23">
        <f t="shared" si="31"/>
        <v>509986.97240352764</v>
      </c>
      <c r="AQ62" s="23"/>
      <c r="AR62" s="11">
        <f>IF($B$10="3BR_H",
INDEX('ns-combined'!$C:$D,MATCH($L62,'ns-combined'!$B:$B,0),MATCH(Council_Area,'ns-combined'!$C$1:$D$1,0))*1000,
INDEX('s-combined'!$C:$D,MATCH($L62,'s-combined'!$B:$B,0),MATCH(Council_Area,'s-combined'!$C$1:$D$1,0))*1000)</f>
        <v>760000</v>
      </c>
      <c r="AS62" s="23">
        <f t="shared" si="35"/>
        <v>49500</v>
      </c>
      <c r="AT62" s="11">
        <v>0</v>
      </c>
      <c r="AU62" s="23">
        <f t="shared" si="48"/>
        <v>15200</v>
      </c>
      <c r="AV62" s="23">
        <f t="shared" si="49"/>
        <v>2185</v>
      </c>
      <c r="AW62" s="23">
        <f>SUM($AV$3:AV62)</f>
        <v>93188.8125</v>
      </c>
      <c r="AX62" s="23">
        <f t="shared" si="50"/>
        <v>602111.1875</v>
      </c>
      <c r="AY62" s="23">
        <f t="shared" si="51"/>
        <v>1886.0000000000002</v>
      </c>
      <c r="AZ62" s="25">
        <f t="shared" si="52"/>
        <v>9.9263157894736859E-3</v>
      </c>
      <c r="BA62" s="25">
        <f t="shared" si="53"/>
        <v>0.35000000000000003</v>
      </c>
      <c r="BB62" s="26">
        <f>IF(MortgageRate="Discounted",_xlfn.XLOOKUP(L62,'mortgage-rates'!$A:$A,'mortgage-rates'!$E:$E)/100,_xlfn.XLOOKUP(L62,'mortgage-rates'!$A:$A,'mortgage-rates'!$D:$D)/100)</f>
        <v>3.6499999999999998E-2</v>
      </c>
      <c r="BC62" s="11">
        <f t="shared" si="67"/>
        <v>151992.21020720634</v>
      </c>
      <c r="BD62" s="11">
        <f t="shared" si="54"/>
        <v>4460.4248257063027</v>
      </c>
      <c r="BE62" s="11">
        <f t="shared" si="55"/>
        <v>1386.9289181407578</v>
      </c>
      <c r="BF62" s="11">
        <f t="shared" si="36"/>
        <v>3073.4959075655452</v>
      </c>
      <c r="BG62" s="13">
        <f t="shared" si="56"/>
        <v>6346.4248257063027</v>
      </c>
      <c r="BH62" s="23">
        <f>INDEX(cpi!B:B,MATCH($L62,cpi!A:A))</f>
        <v>117.2</v>
      </c>
      <c r="BI62" s="23">
        <f t="shared" si="57"/>
        <v>138.53427895981088</v>
      </c>
      <c r="BJ62" s="23">
        <f t="shared" si="58"/>
        <v>255.62200142666194</v>
      </c>
      <c r="BK62" s="23">
        <f t="shared" si="59"/>
        <v>227.36090830549944</v>
      </c>
      <c r="BL62" s="23">
        <f t="shared" si="60"/>
        <v>247.14367349031318</v>
      </c>
      <c r="BM62" s="23">
        <f t="shared" si="61"/>
        <v>494.98159847068183</v>
      </c>
      <c r="BN62" s="23">
        <f t="shared" si="62"/>
        <v>230.30303030303031</v>
      </c>
      <c r="BO62">
        <f t="shared" si="63"/>
        <v>187.20834742189109</v>
      </c>
    </row>
    <row r="63" spans="1:67" x14ac:dyDescent="0.25">
      <c r="L63" s="1">
        <f t="shared" si="33"/>
        <v>44256</v>
      </c>
      <c r="M63" s="11">
        <f t="shared" si="38"/>
        <v>536864.24963837315</v>
      </c>
      <c r="N63" s="11">
        <f t="shared" si="39"/>
        <v>489267.47320035921</v>
      </c>
      <c r="O63" s="8">
        <f t="shared" si="25"/>
        <v>1.0972817099953069</v>
      </c>
      <c r="P63" s="8">
        <f t="shared" si="40"/>
        <v>0.86183696554243705</v>
      </c>
      <c r="Q63">
        <v>61</v>
      </c>
      <c r="R63">
        <f t="shared" si="41"/>
        <v>90</v>
      </c>
      <c r="S63" s="23"/>
      <c r="T63" s="23">
        <f>IF($B$10="3BR_H",
INDEX('3BR_H-processed'!$C:$D,MATCH($L63,'3BR_H-processed'!$B:$B,0),MATCH(Council_Area,'3BR_H-processed'!$C$1:$D$1,0)),
INDEX('2BR_F-processed'!$C:$D,MATCH($L63,'2BR_F-processed'!$B:$B,0),MATCH(Council_Area,'2BR_F-processed'!$C$1:$D$1,0)))</f>
        <v>410</v>
      </c>
      <c r="U63" s="23">
        <f t="shared" si="26"/>
        <v>410</v>
      </c>
      <c r="V63" s="23">
        <f t="shared" si="34"/>
        <v>5271.4285714285716</v>
      </c>
      <c r="W63" s="23">
        <f>$B$53/4*BH63/_xlfn.XLOOKUP(Q_end,cpi!A:A,cpi!B:B)</f>
        <v>162.81962681409814</v>
      </c>
      <c r="X63" s="23">
        <f t="shared" si="42"/>
        <v>5434.2481982426698</v>
      </c>
      <c r="Y63" s="23">
        <f t="shared" si="43"/>
        <v>871.17662746363294</v>
      </c>
      <c r="Z63" s="23">
        <f t="shared" si="64"/>
        <v>0</v>
      </c>
      <c r="AA63" s="23" cm="1">
        <f t="array" ref="AA63">(Y63+Z63)*eff_invest</f>
        <v>871.17662746363294</v>
      </c>
      <c r="AB63" s="23">
        <f>AA63*(_xlfn.XLOOKUP(Q_end,cpi!A:A,cpi!B:B)/BH63)</f>
        <v>1070.1125466382655</v>
      </c>
      <c r="AC63" s="23" cm="1">
        <f t="array" ref="AC63">INDEX('msci-indices'!C:C,MATCH($L63,'msci-indices'!$B:$B)-2)</f>
        <v>2220.940302</v>
      </c>
      <c r="AD63" s="23" cm="1">
        <f t="array" ref="AD63">INDEX('msci-indices'!D:D,MATCH($L63,'msci-indices'!$B:$B)-2)</f>
        <v>1849.5394759999999</v>
      </c>
      <c r="AE63" s="23">
        <f t="shared" si="65"/>
        <v>510858.14903099131</v>
      </c>
      <c r="AF63" s="23" cm="1">
        <f t="array" ref="AF63">INDEX('msci-indices'!C:C,MATCH($L63,'msci-indices'!$B:$B)+1)</f>
        <v>2342.5854599999998</v>
      </c>
      <c r="AG63" s="23" cm="1">
        <f t="array" ref="AG63">INDEX('msci-indices'!D:D,MATCH($L63,'msci-indices'!$B:$B)+1)</f>
        <v>1930.8659110000001</v>
      </c>
      <c r="AH63" s="23">
        <f t="shared" si="44"/>
        <v>319.2863431443696</v>
      </c>
      <c r="AI63" s="23">
        <f t="shared" si="45"/>
        <v>536864.24963837315</v>
      </c>
      <c r="AJ63" s="23">
        <f t="shared" si="66"/>
        <v>211643.08031610175</v>
      </c>
      <c r="AK63" s="23">
        <f t="shared" si="46"/>
        <v>325221.16932227137</v>
      </c>
      <c r="AL63" s="23">
        <f>AJ63*(_xlfn.XLOOKUP(Q_end,cpi!A:A,cpi!B:B)/BH63)</f>
        <v>259972.44245959187</v>
      </c>
      <c r="AM63" s="23" cm="1">
        <f t="array" ref="AM63">SUMPRODUCT($AA$3:AA63,_xlfn.SORTBY($BH$3:BH63,_xlfn.SEQUENCE(ROWS($BH$3:BH63)),-1)/$BH$3)</f>
        <v>278542.33470137737</v>
      </c>
      <c r="AN63" s="23">
        <f t="shared" si="30"/>
        <v>258321.91493699577</v>
      </c>
      <c r="AO63" s="23">
        <f t="shared" si="47"/>
        <v>0</v>
      </c>
      <c r="AP63" s="23">
        <f t="shared" si="31"/>
        <v>536864.24963837315</v>
      </c>
      <c r="AQ63" s="23"/>
      <c r="AR63" s="11">
        <f>IF($B$10="3BR_H",
INDEX('ns-combined'!$C:$D,MATCH($L63,'ns-combined'!$B:$B,0),MATCH(Council_Area,'ns-combined'!$C$1:$D$1,0))*1000,
INDEX('s-combined'!$C:$D,MATCH($L63,'s-combined'!$B:$B,0),MATCH(Council_Area,'s-combined'!$C$1:$D$1,0))*1000)</f>
        <v>800000</v>
      </c>
      <c r="AS63" s="23">
        <f t="shared" si="35"/>
        <v>50325</v>
      </c>
      <c r="AT63" s="11">
        <v>0</v>
      </c>
      <c r="AU63" s="23">
        <f t="shared" si="48"/>
        <v>16000</v>
      </c>
      <c r="AV63" s="23">
        <f t="shared" si="49"/>
        <v>2300</v>
      </c>
      <c r="AW63" s="23">
        <f>SUM($AV$3:AV63)</f>
        <v>95488.8125</v>
      </c>
      <c r="AX63" s="23">
        <f t="shared" si="50"/>
        <v>638186.1875</v>
      </c>
      <c r="AY63" s="23">
        <f t="shared" si="51"/>
        <v>1845.0000000000002</v>
      </c>
      <c r="AZ63" s="25">
        <f t="shared" si="52"/>
        <v>9.2250000000000006E-3</v>
      </c>
      <c r="BA63" s="25">
        <f t="shared" si="53"/>
        <v>0.35000000000000003</v>
      </c>
      <c r="BB63" s="26">
        <f>IF(MortgageRate="Discounted",_xlfn.XLOOKUP(L63,'mortgage-rates'!$A:$A,'mortgage-rates'!$E:$E)/100,_xlfn.XLOOKUP(L63,'mortgage-rates'!$A:$A,'mortgage-rates'!$D:$D)/100)</f>
        <v>3.6499999999999998E-2</v>
      </c>
      <c r="BC63" s="11">
        <f t="shared" si="67"/>
        <v>148918.71429964079</v>
      </c>
      <c r="BD63" s="11">
        <f t="shared" si="54"/>
        <v>4460.4248257063027</v>
      </c>
      <c r="BE63" s="11">
        <f t="shared" si="55"/>
        <v>1358.8832679842221</v>
      </c>
      <c r="BF63" s="11">
        <f t="shared" si="36"/>
        <v>3101.5415577220806</v>
      </c>
      <c r="BG63" s="13">
        <f t="shared" si="56"/>
        <v>6305.4248257063027</v>
      </c>
      <c r="BH63" s="23">
        <f>INDEX(cpi!B:B,MATCH($L63,cpi!A:A))</f>
        <v>117.8</v>
      </c>
      <c r="BI63" s="23">
        <f t="shared" si="57"/>
        <v>139.24349881796692</v>
      </c>
      <c r="BJ63" s="23">
        <f t="shared" si="58"/>
        <v>294.21119204132276</v>
      </c>
      <c r="BK63" s="23">
        <f t="shared" si="59"/>
        <v>259.41837017103796</v>
      </c>
      <c r="BL63" s="23">
        <f t="shared" si="60"/>
        <v>283.77334548023731</v>
      </c>
      <c r="BM63" s="23">
        <f t="shared" si="61"/>
        <v>568.88617530208944</v>
      </c>
      <c r="BN63" s="23">
        <f t="shared" si="62"/>
        <v>242.42424242424244</v>
      </c>
      <c r="BO63">
        <f t="shared" si="63"/>
        <v>198.42478264756065</v>
      </c>
    </row>
    <row r="64" spans="1:67" x14ac:dyDescent="0.25">
      <c r="L64" s="1">
        <f t="shared" si="33"/>
        <v>44348</v>
      </c>
      <c r="M64" s="11">
        <f t="shared" si="38"/>
        <v>578865.59963624552</v>
      </c>
      <c r="N64" s="11">
        <f t="shared" si="39"/>
        <v>518557.76475808129</v>
      </c>
      <c r="O64" s="8">
        <f t="shared" si="25"/>
        <v>1.1162991646770524</v>
      </c>
      <c r="P64" s="8">
        <f t="shared" si="40"/>
        <v>0.87023953715695523</v>
      </c>
      <c r="Q64">
        <v>62</v>
      </c>
      <c r="R64">
        <f t="shared" si="41"/>
        <v>91</v>
      </c>
      <c r="S64" s="23"/>
      <c r="T64" s="23">
        <f>IF($B$10="3BR_H",
INDEX('3BR_H-processed'!$C:$D,MATCH($L64,'3BR_H-processed'!$B:$B,0),MATCH(Council_Area,'3BR_H-processed'!$C$1:$D$1,0)),
INDEX('2BR_F-processed'!$C:$D,MATCH($L64,'2BR_F-processed'!$B:$B,0),MATCH(Council_Area,'2BR_F-processed'!$C$1:$D$1,0)))</f>
        <v>410</v>
      </c>
      <c r="U64" s="23">
        <f t="shared" si="26"/>
        <v>410</v>
      </c>
      <c r="V64" s="23">
        <f t="shared" si="34"/>
        <v>5330</v>
      </c>
      <c r="W64" s="23">
        <f>$B$53/4*BH64/_xlfn.XLOOKUP(Q_end,cpi!A:A,cpi!B:B)</f>
        <v>164.201796821009</v>
      </c>
      <c r="X64" s="23">
        <f t="shared" si="42"/>
        <v>5494.2017968210093</v>
      </c>
      <c r="Y64" s="23">
        <f t="shared" si="43"/>
        <v>819.23440348125587</v>
      </c>
      <c r="Z64" s="23">
        <f t="shared" si="64"/>
        <v>0</v>
      </c>
      <c r="AA64" s="23" cm="1">
        <f t="array" ref="AA64">(Y64+Z64)*eff_invest</f>
        <v>819.23440348125587</v>
      </c>
      <c r="AB64" s="23">
        <f>AA64*(_xlfn.XLOOKUP(Q_end,cpi!A:A,cpi!B:B)/BH64)</f>
        <v>997.83853690014917</v>
      </c>
      <c r="AC64" s="23" cm="1">
        <f t="array" ref="AC64">INDEX('msci-indices'!C:C,MATCH($L64,'msci-indices'!$B:$B)-2)</f>
        <v>2342.5854599999998</v>
      </c>
      <c r="AD64" s="23" cm="1">
        <f t="array" ref="AD64">INDEX('msci-indices'!D:D,MATCH($L64,'msci-indices'!$B:$B)-2)</f>
        <v>1930.8659110000001</v>
      </c>
      <c r="AE64" s="23">
        <f t="shared" si="65"/>
        <v>537683.48404185439</v>
      </c>
      <c r="AF64" s="23" cm="1">
        <f t="array" ref="AF64">INDEX('msci-indices'!C:C,MATCH($L64,'msci-indices'!$B:$B)+1)</f>
        <v>2515.6062010000001</v>
      </c>
      <c r="AG64" s="23" cm="1">
        <f t="array" ref="AG64">INDEX('msci-indices'!D:D,MATCH($L64,'msci-indices'!$B:$B)+1)</f>
        <v>2095.0894480000002</v>
      </c>
      <c r="AH64" s="23">
        <f t="shared" si="44"/>
        <v>336.05217752615903</v>
      </c>
      <c r="AI64" s="23">
        <f t="shared" si="45"/>
        <v>578865.59963624552</v>
      </c>
      <c r="AJ64" s="23">
        <f t="shared" si="66"/>
        <v>212462.31471958302</v>
      </c>
      <c r="AK64" s="23">
        <f t="shared" si="46"/>
        <v>366403.28491666249</v>
      </c>
      <c r="AL64" s="23">
        <f>AJ64*(_xlfn.XLOOKUP(Q_end,cpi!A:A,cpi!B:B)/BH64)</f>
        <v>258781.96077376819</v>
      </c>
      <c r="AM64" s="23" cm="1">
        <f t="array" ref="AM64">SUMPRODUCT($AA$3:AA64,_xlfn.SORTBY($BH$3:BH64,_xlfn.SEQUENCE(ROWS($BH$3:BH64)),-1)/$BH$3)</f>
        <v>281160.74923931743</v>
      </c>
      <c r="AN64" s="23">
        <f t="shared" si="30"/>
        <v>297704.85039692809</v>
      </c>
      <c r="AO64" s="23">
        <f t="shared" si="47"/>
        <v>0</v>
      </c>
      <c r="AP64" s="23">
        <f t="shared" si="31"/>
        <v>578865.59963624552</v>
      </c>
      <c r="AQ64" s="23"/>
      <c r="AR64" s="11">
        <f>IF($B$10="3BR_H",
INDEX('ns-combined'!$C:$D,MATCH($L64,'ns-combined'!$B:$B,0),MATCH(Council_Area,'ns-combined'!$C$1:$D$1,0))*1000,
INDEX('s-combined'!$C:$D,MATCH($L64,'s-combined'!$B:$B,0),MATCH(Council_Area,'s-combined'!$C$1:$D$1,0))*1000)</f>
        <v>830000</v>
      </c>
      <c r="AS64" s="23">
        <f t="shared" si="35"/>
        <v>51150</v>
      </c>
      <c r="AT64" s="11">
        <v>0</v>
      </c>
      <c r="AU64" s="23">
        <f t="shared" si="48"/>
        <v>16600</v>
      </c>
      <c r="AV64" s="23">
        <f t="shared" si="49"/>
        <v>2386.25</v>
      </c>
      <c r="AW64" s="23">
        <f>SUM($AV$3:AV64)</f>
        <v>97875.0625</v>
      </c>
      <c r="AX64" s="23">
        <f t="shared" si="50"/>
        <v>664374.9375</v>
      </c>
      <c r="AY64" s="23">
        <f t="shared" si="51"/>
        <v>1865.5000000000002</v>
      </c>
      <c r="AZ64" s="25">
        <f t="shared" si="52"/>
        <v>8.9903614457831332E-3</v>
      </c>
      <c r="BA64" s="25">
        <f t="shared" si="53"/>
        <v>0.35000000000000003</v>
      </c>
      <c r="BB64" s="26">
        <f>IF(MortgageRate="Discounted",_xlfn.XLOOKUP(L64,'mortgage-rates'!$A:$A,'mortgage-rates'!$E:$E)/100,_xlfn.XLOOKUP(L64,'mortgage-rates'!$A:$A,'mortgage-rates'!$D:$D)/100)</f>
        <v>3.5900000000000001E-2</v>
      </c>
      <c r="BC64" s="11">
        <f t="shared" si="67"/>
        <v>145817.17274191871</v>
      </c>
      <c r="BD64" s="11">
        <f t="shared" si="54"/>
        <v>4447.9362003022652</v>
      </c>
      <c r="BE64" s="11">
        <f t="shared" si="55"/>
        <v>1308.7091253587205</v>
      </c>
      <c r="BF64" s="11">
        <f t="shared" si="36"/>
        <v>3139.2270749435447</v>
      </c>
      <c r="BG64" s="13">
        <f t="shared" si="56"/>
        <v>6313.4362003022652</v>
      </c>
      <c r="BH64" s="23">
        <f>INDEX(cpi!B:B,MATCH($L64,cpi!A:A))</f>
        <v>118.8</v>
      </c>
      <c r="BI64" s="23">
        <f t="shared" si="57"/>
        <v>140.42553191489364</v>
      </c>
      <c r="BJ64" s="23">
        <f t="shared" si="58"/>
        <v>310.32570304776715</v>
      </c>
      <c r="BK64" s="23">
        <f t="shared" si="59"/>
        <v>270.82530227131878</v>
      </c>
      <c r="BL64" s="23">
        <f t="shared" si="60"/>
        <v>298.47558281483265</v>
      </c>
      <c r="BM64" s="23">
        <f t="shared" si="61"/>
        <v>598.75858169214848</v>
      </c>
      <c r="BN64" s="23">
        <f t="shared" si="62"/>
        <v>251.5151515151515</v>
      </c>
      <c r="BO64">
        <f t="shared" si="63"/>
        <v>206.56738605757459</v>
      </c>
    </row>
    <row r="65" spans="2:67" x14ac:dyDescent="0.25">
      <c r="L65" s="1">
        <f t="shared" si="33"/>
        <v>44440</v>
      </c>
      <c r="M65" s="11">
        <f t="shared" si="38"/>
        <v>580974.29427096224</v>
      </c>
      <c r="N65" s="11">
        <f t="shared" si="39"/>
        <v>528256.99183302489</v>
      </c>
      <c r="O65" s="8">
        <f t="shared" si="25"/>
        <v>1.0997948030086853</v>
      </c>
      <c r="P65" s="8">
        <f t="shared" si="40"/>
        <v>0.88083492690323084</v>
      </c>
      <c r="Q65">
        <v>63</v>
      </c>
      <c r="R65">
        <f t="shared" si="41"/>
        <v>92</v>
      </c>
      <c r="S65" s="23"/>
      <c r="T65" s="23">
        <f>IF($B$10="3BR_H",
INDEX('3BR_H-processed'!$C:$D,MATCH($L65,'3BR_H-processed'!$B:$B,0),MATCH(Council_Area,'3BR_H-processed'!$C$1:$D$1,0)),
INDEX('2BR_F-processed'!$C:$D,MATCH($L65,'2BR_F-processed'!$B:$B,0),MATCH(Council_Area,'2BR_F-processed'!$C$1:$D$1,0)))</f>
        <v>410</v>
      </c>
      <c r="U65" s="23">
        <f t="shared" si="26"/>
        <v>410</v>
      </c>
      <c r="V65" s="23">
        <f t="shared" si="34"/>
        <v>5388.5714285714284</v>
      </c>
      <c r="W65" s="23">
        <f>$B$53/4*BH65/_xlfn.XLOOKUP(Q_end,cpi!A:A,cpi!B:B)</f>
        <v>165.58396682791985</v>
      </c>
      <c r="X65" s="23">
        <f t="shared" si="42"/>
        <v>5554.155395399348</v>
      </c>
      <c r="Y65" s="23">
        <f t="shared" si="43"/>
        <v>751.4022360699264</v>
      </c>
      <c r="Z65" s="23">
        <f t="shared" si="64"/>
        <v>0</v>
      </c>
      <c r="AA65" s="23" cm="1">
        <f t="array" ref="AA65">(Y65+Z65)*eff_invest</f>
        <v>751.4022360699264</v>
      </c>
      <c r="AB65" s="23">
        <f>AA65*(_xlfn.XLOOKUP(Q_end,cpi!A:A,cpi!B:B)/BH65)</f>
        <v>907.57849381734843</v>
      </c>
      <c r="AC65" s="23" cm="1">
        <f t="array" ref="AC65">INDEX('msci-indices'!C:C,MATCH($L65,'msci-indices'!$B:$B)-2)</f>
        <v>2515.6062010000001</v>
      </c>
      <c r="AD65" s="23" cm="1">
        <f t="array" ref="AD65">INDEX('msci-indices'!D:D,MATCH($L65,'msci-indices'!$B:$B)-2)</f>
        <v>2095.0894480000002</v>
      </c>
      <c r="AE65" s="23">
        <f t="shared" si="65"/>
        <v>579617.00187231542</v>
      </c>
      <c r="AF65" s="23" cm="1">
        <f t="array" ref="AF65">INDEX('msci-indices'!C:C,MATCH($L65,'msci-indices'!$B:$B)+1)</f>
        <v>2510.8156309999999</v>
      </c>
      <c r="AG65" s="23" cm="1">
        <f t="array" ref="AG65">INDEX('msci-indices'!D:D,MATCH($L65,'msci-indices'!$B:$B)+1)</f>
        <v>2125.1172740000002</v>
      </c>
      <c r="AH65" s="23">
        <f t="shared" si="44"/>
        <v>362.26062617019716</v>
      </c>
      <c r="AI65" s="23">
        <f t="shared" si="45"/>
        <v>580974.29427096224</v>
      </c>
      <c r="AJ65" s="23">
        <f t="shared" si="66"/>
        <v>213213.71695565296</v>
      </c>
      <c r="AK65" s="23">
        <f t="shared" si="46"/>
        <v>367760.57731530932</v>
      </c>
      <c r="AL65" s="23">
        <f>AJ65*(_xlfn.XLOOKUP(Q_end,cpi!A:A,cpi!B:B)/BH65)</f>
        <v>257529.42273358078</v>
      </c>
      <c r="AM65" s="23" cm="1">
        <f t="array" ref="AM65">SUMPRODUCT($AA$3:AA65,_xlfn.SORTBY($BH$3:BH65,_xlfn.SEQUENCE(ROWS($BH$3:BH65)),-1)/$BH$3)</f>
        <v>283736.10763470008</v>
      </c>
      <c r="AN65" s="23">
        <f t="shared" si="30"/>
        <v>297238.18663626217</v>
      </c>
      <c r="AO65" s="23">
        <f t="shared" si="47"/>
        <v>0</v>
      </c>
      <c r="AP65" s="23">
        <f t="shared" si="31"/>
        <v>580974.29427096224</v>
      </c>
      <c r="AQ65" s="23"/>
      <c r="AR65" s="11">
        <f>IF($B$10="3BR_H",
INDEX('ns-combined'!$C:$D,MATCH($L65,'ns-combined'!$B:$B,0),MATCH(Council_Area,'ns-combined'!$C$1:$D$1,0))*1000,
INDEX('s-combined'!$C:$D,MATCH($L65,'s-combined'!$B:$B,0),MATCH(Council_Area,'s-combined'!$C$1:$D$1,0))*1000)</f>
        <v>840000</v>
      </c>
      <c r="AS65" s="23">
        <f t="shared" si="35"/>
        <v>51975</v>
      </c>
      <c r="AT65" s="11">
        <v>0</v>
      </c>
      <c r="AU65" s="23">
        <f t="shared" si="48"/>
        <v>16800</v>
      </c>
      <c r="AV65" s="23">
        <f t="shared" si="49"/>
        <v>2415</v>
      </c>
      <c r="AW65" s="23">
        <f>SUM($AV$3:AV65)</f>
        <v>100290.0625</v>
      </c>
      <c r="AX65" s="23">
        <f t="shared" si="50"/>
        <v>670934.9375</v>
      </c>
      <c r="AY65" s="23">
        <f t="shared" si="51"/>
        <v>1886.0000000000002</v>
      </c>
      <c r="AZ65" s="25">
        <f t="shared" si="52"/>
        <v>8.9809523809523829E-3</v>
      </c>
      <c r="BA65" s="25">
        <f t="shared" si="53"/>
        <v>0.35000000000000003</v>
      </c>
      <c r="BB65" s="26">
        <f>IF(MortgageRate="Discounted",_xlfn.XLOOKUP(L65,'mortgage-rates'!$A:$A,'mortgage-rates'!$E:$E)/100,_xlfn.XLOOKUP(L65,'mortgage-rates'!$A:$A,'mortgage-rates'!$D:$D)/100)</f>
        <v>3.4500000000000003E-2</v>
      </c>
      <c r="BC65" s="11">
        <f t="shared" si="67"/>
        <v>142677.94566697517</v>
      </c>
      <c r="BD65" s="11">
        <f t="shared" si="54"/>
        <v>4419.5576314692744</v>
      </c>
      <c r="BE65" s="11">
        <f t="shared" si="55"/>
        <v>1230.5972813776609</v>
      </c>
      <c r="BF65" s="11">
        <f t="shared" si="36"/>
        <v>3188.9603500916137</v>
      </c>
      <c r="BG65" s="13">
        <f t="shared" si="56"/>
        <v>6305.5576314692744</v>
      </c>
      <c r="BH65" s="23">
        <f>INDEX(cpi!B:B,MATCH($L65,cpi!A:A))</f>
        <v>119.8</v>
      </c>
      <c r="BI65" s="23">
        <f t="shared" si="57"/>
        <v>141.60756501182033</v>
      </c>
      <c r="BJ65" s="23">
        <f t="shared" si="58"/>
        <v>333.24601225717834</v>
      </c>
      <c r="BK65" s="23">
        <f t="shared" si="59"/>
        <v>293.85946989254734</v>
      </c>
      <c r="BL65" s="23">
        <f t="shared" si="60"/>
        <v>321.43004954778905</v>
      </c>
      <c r="BM65" s="23">
        <f t="shared" si="61"/>
        <v>645.45529901139355</v>
      </c>
      <c r="BN65" s="23">
        <f t="shared" si="62"/>
        <v>254.54545454545453</v>
      </c>
      <c r="BO65">
        <f t="shared" si="63"/>
        <v>208.60702057123757</v>
      </c>
    </row>
    <row r="66" spans="2:67" x14ac:dyDescent="0.25">
      <c r="L66" s="1">
        <f t="shared" si="33"/>
        <v>44531</v>
      </c>
      <c r="M66" s="11">
        <f t="shared" si="38"/>
        <v>614061.88391883962</v>
      </c>
      <c r="N66" s="11">
        <f t="shared" si="39"/>
        <v>625918.45218311646</v>
      </c>
      <c r="O66" s="8">
        <f t="shared" si="25"/>
        <v>0.98105732747944596</v>
      </c>
      <c r="P66" s="8">
        <f t="shared" si="40"/>
        <v>0.88118564481595296</v>
      </c>
      <c r="Q66">
        <v>64</v>
      </c>
      <c r="R66">
        <f t="shared" si="41"/>
        <v>92</v>
      </c>
      <c r="S66" s="23"/>
      <c r="T66" s="23">
        <f>IF($B$10="3BR_H",
INDEX('3BR_H-processed'!$C:$D,MATCH($L66,'3BR_H-processed'!$B:$B,0),MATCH(Council_Area,'3BR_H-processed'!$C$1:$D$1,0)),
INDEX('2BR_F-processed'!$C:$D,MATCH($L66,'2BR_F-processed'!$B:$B,0),MATCH(Council_Area,'2BR_F-processed'!$C$1:$D$1,0)))</f>
        <v>420</v>
      </c>
      <c r="U66" s="23">
        <f t="shared" si="26"/>
        <v>410</v>
      </c>
      <c r="V66" s="23">
        <f t="shared" si="34"/>
        <v>5388.5714285714284</v>
      </c>
      <c r="W66" s="23">
        <f>$B$53/4*BH66/_xlfn.XLOOKUP(Q_end,cpi!A:A,cpi!B:B)</f>
        <v>167.79543883897722</v>
      </c>
      <c r="X66" s="23">
        <f t="shared" si="42"/>
        <v>5556.3668674104056</v>
      </c>
      <c r="Y66" s="23">
        <f t="shared" si="43"/>
        <v>749.19076405886881</v>
      </c>
      <c r="Z66" s="23">
        <f t="shared" si="64"/>
        <v>0</v>
      </c>
      <c r="AA66" s="23" cm="1">
        <f t="array" ref="AA66">(Y66+Z66)*eff_invest</f>
        <v>749.19076405886881</v>
      </c>
      <c r="AB66" s="23">
        <f>AA66*(_xlfn.XLOOKUP(Q_end,cpi!A:A,cpi!B:B)/BH66)</f>
        <v>892.98108368466478</v>
      </c>
      <c r="AC66" s="23" cm="1">
        <f t="array" ref="AC66">INDEX('msci-indices'!C:C,MATCH($L66,'msci-indices'!$B:$B)-2)</f>
        <v>2510.8156309999999</v>
      </c>
      <c r="AD66" s="23" cm="1">
        <f t="array" ref="AD66">INDEX('msci-indices'!D:D,MATCH($L66,'msci-indices'!$B:$B)-2)</f>
        <v>2125.1172740000002</v>
      </c>
      <c r="AE66" s="23">
        <f t="shared" si="65"/>
        <v>581723.48503502109</v>
      </c>
      <c r="AF66" s="23" cm="1">
        <f t="array" ref="AF66">INDEX('msci-indices'!C:C,MATCH($L66,'msci-indices'!$B:$B)+1)</f>
        <v>2688.1915319999998</v>
      </c>
      <c r="AG66" s="23" cm="1">
        <f t="array" ref="AG66">INDEX('msci-indices'!D:D,MATCH($L66,'msci-indices'!$B:$B)+1)</f>
        <v>2173.034118</v>
      </c>
      <c r="AH66" s="23">
        <f t="shared" si="44"/>
        <v>363.57717814688817</v>
      </c>
      <c r="AI66" s="23">
        <f t="shared" si="45"/>
        <v>614061.88391883962</v>
      </c>
      <c r="AJ66" s="23">
        <f t="shared" si="66"/>
        <v>213962.90771971183</v>
      </c>
      <c r="AK66" s="23">
        <f t="shared" si="46"/>
        <v>400098.97619912779</v>
      </c>
      <c r="AL66" s="23">
        <f>AJ66*(_xlfn.XLOOKUP(Q_end,cpi!A:A,cpi!B:B)/BH66)</f>
        <v>255028.27633478006</v>
      </c>
      <c r="AM66" s="23" cm="1">
        <f t="array" ref="AM66">SUMPRODUCT($AA$3:AA66,_xlfn.SORTBY($BH$3:BH66,_xlfn.SEQUENCE(ROWS($BH$3:BH66)),-1)/$BH$3)</f>
        <v>286972.71412673692</v>
      </c>
      <c r="AN66" s="23">
        <f t="shared" si="30"/>
        <v>327089.16979210271</v>
      </c>
      <c r="AO66" s="23">
        <f t="shared" si="47"/>
        <v>0</v>
      </c>
      <c r="AP66" s="23">
        <f t="shared" si="31"/>
        <v>614061.88391883962</v>
      </c>
      <c r="AQ66" s="23"/>
      <c r="AR66" s="11">
        <f>IF($B$10="3BR_H",
INDEX('ns-combined'!$C:$D,MATCH($L66,'ns-combined'!$B:$B,0),MATCH(Council_Area,'ns-combined'!$C$1:$D$1,0))*1000,
INDEX('s-combined'!$C:$D,MATCH($L66,'s-combined'!$B:$B,0),MATCH(Council_Area,'s-combined'!$C$1:$D$1,0))*1000)</f>
        <v>940000</v>
      </c>
      <c r="AS66" s="23">
        <f t="shared" si="35"/>
        <v>52800</v>
      </c>
      <c r="AT66" s="11">
        <v>0</v>
      </c>
      <c r="AU66" s="23">
        <f t="shared" si="48"/>
        <v>18800</v>
      </c>
      <c r="AV66" s="23">
        <f t="shared" si="49"/>
        <v>2702.5</v>
      </c>
      <c r="AW66" s="23">
        <f>SUM($AV$3:AV66)</f>
        <v>102992.5625</v>
      </c>
      <c r="AX66" s="23">
        <f t="shared" si="50"/>
        <v>765407.4375</v>
      </c>
      <c r="AY66" s="23">
        <f t="shared" si="51"/>
        <v>1886.0000000000002</v>
      </c>
      <c r="AZ66" s="25">
        <f t="shared" si="52"/>
        <v>8.0255319148936181E-3</v>
      </c>
      <c r="BA66" s="25">
        <f t="shared" si="53"/>
        <v>0.35000000000000003</v>
      </c>
      <c r="BB66" s="26">
        <f>IF(MortgageRate="Discounted",_xlfn.XLOOKUP(L66,'mortgage-rates'!$A:$A,'mortgage-rates'!$E:$E)/100,_xlfn.XLOOKUP(L66,'mortgage-rates'!$A:$A,'mortgage-rates'!$D:$D)/100)</f>
        <v>3.4500000000000003E-2</v>
      </c>
      <c r="BC66" s="11">
        <f t="shared" si="67"/>
        <v>139488.98531688354</v>
      </c>
      <c r="BD66" s="11">
        <f t="shared" si="54"/>
        <v>4419.5576314692744</v>
      </c>
      <c r="BE66" s="11">
        <f t="shared" si="55"/>
        <v>1203.0924983581206</v>
      </c>
      <c r="BF66" s="11">
        <f t="shared" si="36"/>
        <v>3216.4651331111536</v>
      </c>
      <c r="BG66" s="13">
        <f t="shared" si="56"/>
        <v>6305.5576314692744</v>
      </c>
      <c r="BH66" s="23">
        <f>INDEX(cpi!B:B,MATCH($L66,cpi!A:A))</f>
        <v>121.4</v>
      </c>
      <c r="BI66" s="23">
        <f t="shared" si="57"/>
        <v>143.49881796690309</v>
      </c>
      <c r="BJ66" s="23">
        <f t="shared" si="58"/>
        <v>332.61139848165806</v>
      </c>
      <c r="BK66" s="23">
        <f t="shared" si="59"/>
        <v>298.0712046415382</v>
      </c>
      <c r="BL66" s="23">
        <f t="shared" si="60"/>
        <v>322.2493403296221</v>
      </c>
      <c r="BM66" s="23">
        <f t="shared" si="61"/>
        <v>647.80105614973604</v>
      </c>
      <c r="BN66" s="23">
        <f t="shared" si="62"/>
        <v>284.84848484848487</v>
      </c>
      <c r="BO66">
        <f t="shared" si="63"/>
        <v>237.98040038709527</v>
      </c>
    </row>
    <row r="67" spans="2:67" x14ac:dyDescent="0.25">
      <c r="L67" s="1">
        <f t="shared" si="33"/>
        <v>44621</v>
      </c>
      <c r="M67" s="11">
        <f t="shared" ref="M67:M82" si="68">AP67</f>
        <v>596174.30498868891</v>
      </c>
      <c r="N67" s="11">
        <f t="shared" ref="N67:N82" si="69">AX67-BC67</f>
        <v>574796.91731622769</v>
      </c>
      <c r="O67" s="8">
        <f t="shared" si="25"/>
        <v>1.0371912009762925</v>
      </c>
      <c r="P67" s="8">
        <f t="shared" ref="P67:P82" si="70">X67/BG67</f>
        <v>0.89696602391342117</v>
      </c>
      <c r="Q67">
        <v>65</v>
      </c>
      <c r="R67">
        <f t="shared" ref="R67:R82" si="71">EOMONTH(L67,0)-EOMONTH(L67,-3)</f>
        <v>90</v>
      </c>
      <c r="S67" s="23"/>
      <c r="T67" s="23">
        <f>IF($B$10="3BR_H",
INDEX('3BR_H-processed'!$C:$D,MATCH($L67,'3BR_H-processed'!$B:$B,0),MATCH(Council_Area,'3BR_H-processed'!$C$1:$D$1,0)),
INDEX('2BR_F-processed'!$C:$D,MATCH($L67,'2BR_F-processed'!$B:$B,0),MATCH(Council_Area,'2BR_F-processed'!$C$1:$D$1,0)))</f>
        <v>430</v>
      </c>
      <c r="U67" s="23">
        <f t="shared" si="26"/>
        <v>430</v>
      </c>
      <c r="V67" s="23">
        <f t="shared" si="34"/>
        <v>5528.5714285714284</v>
      </c>
      <c r="W67" s="23">
        <f>$B$53/4*BH67/_xlfn.XLOOKUP(Q_end,cpi!A:A,cpi!B:B)</f>
        <v>171.25086385625434</v>
      </c>
      <c r="X67" s="23">
        <f t="shared" ref="X67:X81" si="72">V67+W67</f>
        <v>5699.8222924276824</v>
      </c>
      <c r="Y67" s="23">
        <f t="shared" ref="Y67:Y81" si="73">BG67-X67</f>
        <v>654.73533904159194</v>
      </c>
      <c r="Z67" s="23">
        <f t="shared" si="64"/>
        <v>0</v>
      </c>
      <c r="AA67" s="23" cm="1">
        <f t="array" ref="AA67">(Y67+Z67)*eff_invest</f>
        <v>654.73533904159194</v>
      </c>
      <c r="AB67" s="23">
        <f>AA67*(_xlfn.XLOOKUP(Q_end,cpi!A:A,cpi!B:B)/BH67)</f>
        <v>764.65055334397368</v>
      </c>
      <c r="AC67" s="23" cm="1">
        <f t="array" ref="AC67">INDEX('msci-indices'!C:C,MATCH($L67,'msci-indices'!$B:$B)-2)</f>
        <v>2688.1915319999998</v>
      </c>
      <c r="AD67" s="23" cm="1">
        <f t="array" ref="AD67">INDEX('msci-indices'!D:D,MATCH($L67,'msci-indices'!$B:$B)-2)</f>
        <v>2173.034118</v>
      </c>
      <c r="AE67" s="23">
        <f t="shared" si="65"/>
        <v>614716.61925788119</v>
      </c>
      <c r="AF67" s="23" cm="1">
        <f t="array" ref="AF67">INDEX('msci-indices'!C:C,MATCH($L67,'msci-indices'!$B:$B)+1)</f>
        <v>2545.291346</v>
      </c>
      <c r="AG67" s="23" cm="1">
        <f t="array" ref="AG67">INDEX('msci-indices'!D:D,MATCH($L67,'msci-indices'!$B:$B)+1)</f>
        <v>2228.6053740000002</v>
      </c>
      <c r="AH67" s="23">
        <f t="shared" ref="AH67:AH82" si="74">(InvestFees/4)*AE67</f>
        <v>384.19788703617576</v>
      </c>
      <c r="AI67" s="23">
        <f t="shared" ref="AI67:AI82" si="75">((AF67/AC67)*GlobalPortfolio+(AG67/AD67)*AusPortfolio)*AE67-AH67</f>
        <v>596174.30498868891</v>
      </c>
      <c r="AJ67" s="23">
        <f t="shared" si="66"/>
        <v>214617.64305875343</v>
      </c>
      <c r="AK67" s="23">
        <f t="shared" ref="AK67:AK82" si="76">AI67-AJ67</f>
        <v>381556.66192993545</v>
      </c>
      <c r="AL67" s="23">
        <f>AJ67*(_xlfn.XLOOKUP(Q_end,cpi!A:A,cpi!B:B)/BH67)</f>
        <v>250647.07789024708</v>
      </c>
      <c r="AM67" s="23" cm="1">
        <f t="array" ref="AM67">SUMPRODUCT($AA$3:AA67,_xlfn.SORTBY($BH$3:BH67,_xlfn.SEQUENCE(ROWS($BH$3:BH67)),-1)/$BH$3)</f>
        <v>291116.34917730774</v>
      </c>
      <c r="AN67" s="23">
        <f t="shared" si="30"/>
        <v>305057.95581138117</v>
      </c>
      <c r="AO67" s="23">
        <f t="shared" ref="AO67:AO82" si="77">IF($B$49="Real gains",MAX($B$50*AN67,0),IF($B$49="Discounted nominal gains",MAX($B$50*AK67/2,0),0))</f>
        <v>0</v>
      </c>
      <c r="AP67" s="23">
        <f t="shared" si="31"/>
        <v>596174.30498868891</v>
      </c>
      <c r="AQ67" s="23"/>
      <c r="AR67" s="11">
        <f>IF($B$10="3BR_H",
INDEX('ns-combined'!$C:$D,MATCH($L67,'ns-combined'!$B:$B,0),MATCH(Council_Area,'ns-combined'!$C$1:$D$1,0))*1000,
INDEX('s-combined'!$C:$D,MATCH($L67,'s-combined'!$B:$B,0),MATCH(Council_Area,'s-combined'!$C$1:$D$1,0))*1000)</f>
        <v>888000</v>
      </c>
      <c r="AS67" s="23">
        <f t="shared" si="35"/>
        <v>53625</v>
      </c>
      <c r="AT67" s="11">
        <v>0</v>
      </c>
      <c r="AU67" s="23">
        <f t="shared" ref="AU67:AU82" si="78">SUM($B$28:$B$29)*AR67</f>
        <v>17760</v>
      </c>
      <c r="AV67" s="23">
        <f t="shared" ref="AV67:AV82" si="79">AR67*$B$15/4</f>
        <v>2553</v>
      </c>
      <c r="AW67" s="23">
        <f>SUM($AV$3:AV67)</f>
        <v>105545.5625</v>
      </c>
      <c r="AX67" s="23">
        <f t="shared" ref="AX67:AX82" si="80">AR67-AS67-AU67-AW67</f>
        <v>711069.4375</v>
      </c>
      <c r="AY67" s="23">
        <f t="shared" ref="AY67:AY82" si="81">$B$36*V67</f>
        <v>1935.0000000000002</v>
      </c>
      <c r="AZ67" s="25">
        <f t="shared" ref="AZ67:AZ82" si="82">SUM(AY67:AY67)*4/AR67</f>
        <v>8.7162162162162174E-3</v>
      </c>
      <c r="BA67" s="25">
        <f t="shared" ref="BA67:BA82" si="83">SUM(AY67:AY67)/V67</f>
        <v>0.35000000000000003</v>
      </c>
      <c r="BB67" s="26">
        <f>IF(MortgageRate="Discounted",_xlfn.XLOOKUP(L67,'mortgage-rates'!$A:$A,'mortgage-rates'!$E:$E)/100,_xlfn.XLOOKUP(L67,'mortgage-rates'!$A:$A,'mortgage-rates'!$D:$D)/100)</f>
        <v>3.4500000000000003E-2</v>
      </c>
      <c r="BC67" s="11">
        <f t="shared" si="67"/>
        <v>136272.52018377237</v>
      </c>
      <c r="BD67" s="11">
        <f t="shared" ref="BD67:BD82" si="84">IF($B$16*12/3-Q67+1&gt;0,-PMT($BB67/4,$B$16*12/3-Q67+1,BC67),0)</f>
        <v>4419.5576314692744</v>
      </c>
      <c r="BE67" s="11">
        <f t="shared" si="55"/>
        <v>1175.3504865850368</v>
      </c>
      <c r="BF67" s="11">
        <f t="shared" si="36"/>
        <v>3244.2071448842376</v>
      </c>
      <c r="BG67" s="13">
        <f t="shared" ref="BG67:BG82" si="85">AT67+AY67+BD67</f>
        <v>6354.5576314692744</v>
      </c>
      <c r="BH67" s="23">
        <f>INDEX(cpi!B:B,MATCH($L67,cpi!A:A))</f>
        <v>123.9</v>
      </c>
      <c r="BI67" s="23">
        <f t="shared" ref="BI67:BI82" si="86">100*BH67/BH$3</f>
        <v>146.45390070921988</v>
      </c>
      <c r="BJ67" s="23">
        <f t="shared" ref="BJ67:BJ82" si="87">100*AC67/AC$3</f>
        <v>356.10864207060962</v>
      </c>
      <c r="BK67" s="23">
        <f t="shared" ref="BK67:BK82" si="88">100*AD67/AD$3</f>
        <v>304.79207204421903</v>
      </c>
      <c r="BL67" s="23">
        <f t="shared" ref="BL67:BL82" si="89">BJ67*GlobalPortfolio+BK67*AusPortfolio</f>
        <v>340.71367106269247</v>
      </c>
      <c r="BM67" s="23">
        <f t="shared" ref="BM67:BM82" si="90">100*AE67/$AE$3</f>
        <v>684.54185782799743</v>
      </c>
      <c r="BN67" s="23">
        <f t="shared" ref="BN67:BN82" si="91">100*AR67/AR$3</f>
        <v>269.09090909090907</v>
      </c>
      <c r="BO67">
        <f t="shared" ref="BO67:BO82" si="92">100*AX67/AX$3</f>
        <v>221.08563511218378</v>
      </c>
    </row>
    <row r="68" spans="2:67" x14ac:dyDescent="0.25">
      <c r="L68" s="1">
        <f t="shared" si="33"/>
        <v>44713</v>
      </c>
      <c r="M68" s="11">
        <f t="shared" si="68"/>
        <v>506784.66583705397</v>
      </c>
      <c r="N68" s="11">
        <f t="shared" si="69"/>
        <v>586388.62446111185</v>
      </c>
      <c r="O68" s="8">
        <f t="shared" ref="O68:O82" si="93">M68/N68</f>
        <v>0.86424709603257821</v>
      </c>
      <c r="P68" s="8">
        <f t="shared" si="70"/>
        <v>0.88435335023308315</v>
      </c>
      <c r="Q68">
        <v>66</v>
      </c>
      <c r="R68">
        <f t="shared" si="71"/>
        <v>91</v>
      </c>
      <c r="S68" s="23"/>
      <c r="T68" s="23">
        <f>IF($B$10="3BR_H",
INDEX('3BR_H-processed'!$C:$D,MATCH($L68,'3BR_H-processed'!$B:$B,0),MATCH(Council_Area,'3BR_H-processed'!$C$1:$D$1,0)),
INDEX('2BR_F-processed'!$C:$D,MATCH($L68,'2BR_F-processed'!$B:$B,0),MATCH(Council_Area,'2BR_F-processed'!$C$1:$D$1,0)))</f>
        <v>430</v>
      </c>
      <c r="U68" s="23">
        <f t="shared" ref="U68:U82" si="94">IF(MOD(Q68,4)=1,T68,U67)</f>
        <v>430</v>
      </c>
      <c r="V68" s="23">
        <f t="shared" ref="V68:V82" si="95">U68*(R68)/7</f>
        <v>5590</v>
      </c>
      <c r="W68" s="23">
        <f>$B$53/4*BH68/_xlfn.XLOOKUP(Q_end,cpi!A:A,cpi!B:B)</f>
        <v>174.29163787145819</v>
      </c>
      <c r="X68" s="23">
        <f t="shared" si="72"/>
        <v>5764.2916378714581</v>
      </c>
      <c r="Y68" s="23">
        <f t="shared" si="73"/>
        <v>753.79486720278874</v>
      </c>
      <c r="Z68" s="23">
        <f t="shared" ref="Z68:Z82" si="96">Y68*$B$47</f>
        <v>0</v>
      </c>
      <c r="AA68" s="23" cm="1">
        <f t="array" ref="AA68">(Y68+Z68)*eff_invest</f>
        <v>753.79486720278874</v>
      </c>
      <c r="AB68" s="23">
        <f>AA68*(_xlfn.XLOOKUP(Q_end,cpi!A:A,cpi!B:B)/BH68)</f>
        <v>864.98110455387405</v>
      </c>
      <c r="AC68" s="23" cm="1">
        <f t="array" ref="AC68">INDEX('msci-indices'!C:C,MATCH($L68,'msci-indices'!$B:$B)-2)</f>
        <v>2545.291346</v>
      </c>
      <c r="AD68" s="23" cm="1">
        <f t="array" ref="AD68">INDEX('msci-indices'!D:D,MATCH($L68,'msci-indices'!$B:$B)-2)</f>
        <v>2228.6053740000002</v>
      </c>
      <c r="AE68" s="23">
        <f t="shared" ref="AE68:AE82" si="97">AI67+AA68</f>
        <v>596928.09985589166</v>
      </c>
      <c r="AF68" s="23" cm="1">
        <f t="array" ref="AF68">INDEX('msci-indices'!C:C,MATCH($L68,'msci-indices'!$B:$B)+1)</f>
        <v>2130.2472859999998</v>
      </c>
      <c r="AG68" s="23" cm="1">
        <f t="array" ref="AG68">INDEX('msci-indices'!D:D,MATCH($L68,'msci-indices'!$B:$B)+1)</f>
        <v>1959.3691980000001</v>
      </c>
      <c r="AH68" s="23">
        <f t="shared" si="74"/>
        <v>373.08006240993228</v>
      </c>
      <c r="AI68" s="23">
        <f t="shared" si="75"/>
        <v>506784.66583705397</v>
      </c>
      <c r="AJ68" s="23">
        <f t="shared" ref="AJ68:AJ82" si="98">AJ67+AA68</f>
        <v>215371.43792595621</v>
      </c>
      <c r="AK68" s="23">
        <f t="shared" si="76"/>
        <v>291413.22791109775</v>
      </c>
      <c r="AL68" s="23">
        <f>AJ68*(_xlfn.XLOOKUP(Q_end,cpi!A:A,cpi!B:B)/BH68)</f>
        <v>247139.15200543904</v>
      </c>
      <c r="AM68" s="23" cm="1">
        <f t="array" ref="AM68">SUMPRODUCT($AA$3:AA68,_xlfn.SORTBY($BH$3:BH68,_xlfn.SEQUENCE(ROWS($BH$3:BH68)),-1)/$BH$3)</f>
        <v>295126.85049512994</v>
      </c>
      <c r="AN68" s="23">
        <f t="shared" ref="AN68:AN81" si="99">AI68-AM68</f>
        <v>211657.81534192403</v>
      </c>
      <c r="AO68" s="23">
        <f t="shared" si="77"/>
        <v>0</v>
      </c>
      <c r="AP68" s="23">
        <f t="shared" ref="AP68:AP81" si="100">AI68-AO68</f>
        <v>506784.66583705397</v>
      </c>
      <c r="AQ68" s="23"/>
      <c r="AR68" s="11">
        <f>IF($B$10="3BR_H",
INDEX('ns-combined'!$C:$D,MATCH($L68,'ns-combined'!$B:$B,0),MATCH(Council_Area,'ns-combined'!$C$1:$D$1,0))*1000,
INDEX('s-combined'!$C:$D,MATCH($L68,'s-combined'!$B:$B,0),MATCH(Council_Area,'s-combined'!$C$1:$D$1,0))*1000)</f>
        <v>900000</v>
      </c>
      <c r="AS68" s="23">
        <f t="shared" si="35"/>
        <v>54450</v>
      </c>
      <c r="AT68" s="11">
        <v>0</v>
      </c>
      <c r="AU68" s="23">
        <f t="shared" si="78"/>
        <v>18000</v>
      </c>
      <c r="AV68" s="23">
        <f t="shared" si="79"/>
        <v>2587.5</v>
      </c>
      <c r="AW68" s="23">
        <f>SUM($AV$3:AV68)</f>
        <v>108133.0625</v>
      </c>
      <c r="AX68" s="23">
        <f t="shared" si="80"/>
        <v>719416.9375</v>
      </c>
      <c r="AY68" s="23">
        <f t="shared" si="81"/>
        <v>1956.5000000000002</v>
      </c>
      <c r="AZ68" s="25">
        <f t="shared" si="82"/>
        <v>8.6955555555555571E-3</v>
      </c>
      <c r="BA68" s="25">
        <f t="shared" si="83"/>
        <v>0.35000000000000003</v>
      </c>
      <c r="BB68" s="26">
        <f>IF(MortgageRate="Discounted",_xlfn.XLOOKUP(L68,'mortgage-rates'!$A:$A,'mortgage-rates'!$E:$E)/100,_xlfn.XLOOKUP(L68,'mortgage-rates'!$A:$A,'mortgage-rates'!$D:$D)/100)</f>
        <v>4.2000000000000003E-2</v>
      </c>
      <c r="BC68" s="11">
        <f t="shared" ref="BC68:BC82" si="101">BC67-BF67</f>
        <v>133028.31303888813</v>
      </c>
      <c r="BD68" s="11">
        <f t="shared" si="84"/>
        <v>4561.5865050742468</v>
      </c>
      <c r="BE68" s="11">
        <f t="shared" ref="BE68:BE82" si="102">BC68*($BB68/4)</f>
        <v>1396.7972869083253</v>
      </c>
      <c r="BF68" s="11">
        <f t="shared" si="36"/>
        <v>3164.7892181659217</v>
      </c>
      <c r="BG68" s="13">
        <f t="shared" si="85"/>
        <v>6518.0865050742468</v>
      </c>
      <c r="BH68" s="23">
        <f>INDEX(cpi!B:B,MATCH($L68,cpi!A:A))</f>
        <v>126.1</v>
      </c>
      <c r="BI68" s="23">
        <f t="shared" si="86"/>
        <v>149.05437352245863</v>
      </c>
      <c r="BJ68" s="23">
        <f t="shared" si="87"/>
        <v>337.17844659073722</v>
      </c>
      <c r="BK68" s="23">
        <f t="shared" si="88"/>
        <v>312.58655539910018</v>
      </c>
      <c r="BL68" s="23">
        <f t="shared" si="89"/>
        <v>329.80087923324612</v>
      </c>
      <c r="BM68" s="23">
        <f t="shared" si="90"/>
        <v>664.73275272498597</v>
      </c>
      <c r="BN68" s="23">
        <f t="shared" si="91"/>
        <v>272.72727272727275</v>
      </c>
      <c r="BO68">
        <f t="shared" si="92"/>
        <v>223.6810389388304</v>
      </c>
    </row>
    <row r="69" spans="2:67" x14ac:dyDescent="0.25">
      <c r="L69" s="1">
        <f t="shared" ref="L69:L81" si="103">DATE(YEAR(L68),MONTH(L68)+3,1)</f>
        <v>44805</v>
      </c>
      <c r="M69" s="11">
        <f t="shared" si="68"/>
        <v>486538.17584509909</v>
      </c>
      <c r="N69" s="11">
        <f t="shared" si="69"/>
        <v>537284.66367927776</v>
      </c>
      <c r="O69" s="8">
        <f t="shared" si="93"/>
        <v>0.90555009054851632</v>
      </c>
      <c r="P69" s="8">
        <f t="shared" si="70"/>
        <v>0.85419545809067543</v>
      </c>
      <c r="Q69">
        <v>67</v>
      </c>
      <c r="R69">
        <f t="shared" si="71"/>
        <v>92</v>
      </c>
      <c r="S69" s="23"/>
      <c r="T69" s="23">
        <f>IF($B$10="3BR_H",
INDEX('3BR_H-processed'!$C:$D,MATCH($L69,'3BR_H-processed'!$B:$B,0),MATCH(Council_Area,'3BR_H-processed'!$C$1:$D$1,0)),
INDEX('2BR_F-processed'!$C:$D,MATCH($L69,'2BR_F-processed'!$B:$B,0),MATCH(Council_Area,'2BR_F-processed'!$C$1:$D$1,0)))</f>
        <v>445</v>
      </c>
      <c r="U69" s="23">
        <f t="shared" si="94"/>
        <v>430</v>
      </c>
      <c r="V69" s="23">
        <f t="shared" si="95"/>
        <v>5651.4285714285716</v>
      </c>
      <c r="W69" s="23">
        <f>$B$53/4*BH69/_xlfn.XLOOKUP(Q_end,cpi!A:A,cpi!B:B)</f>
        <v>177.47062888735317</v>
      </c>
      <c r="X69" s="23">
        <f t="shared" si="72"/>
        <v>5828.8992003159246</v>
      </c>
      <c r="Y69" s="23">
        <f t="shared" si="73"/>
        <v>994.94790060973901</v>
      </c>
      <c r="Z69" s="23">
        <f t="shared" si="96"/>
        <v>0</v>
      </c>
      <c r="AA69" s="23" cm="1">
        <f t="array" ref="AA69">(Y69+Z69)*eff_invest</f>
        <v>994.94790060973901</v>
      </c>
      <c r="AB69" s="23">
        <f>AA69*(_xlfn.XLOOKUP(Q_end,cpi!A:A,cpi!B:B)/BH69)</f>
        <v>1121.2535920422838</v>
      </c>
      <c r="AC69" s="23" cm="1">
        <f t="array" ref="AC69">INDEX('msci-indices'!C:C,MATCH($L69,'msci-indices'!$B:$B)-2)</f>
        <v>2130.2472859999998</v>
      </c>
      <c r="AD69" s="23" cm="1">
        <f t="array" ref="AD69">INDEX('msci-indices'!D:D,MATCH($L69,'msci-indices'!$B:$B)-2)</f>
        <v>1959.3691980000001</v>
      </c>
      <c r="AE69" s="23">
        <f t="shared" si="97"/>
        <v>507779.61373766372</v>
      </c>
      <c r="AF69" s="23" cm="1">
        <f t="array" ref="AF69">INDEX('msci-indices'!C:C,MATCH($L69,'msci-indices'!$B:$B)+1)</f>
        <v>2000.7468469999999</v>
      </c>
      <c r="AG69" s="23" cm="1">
        <f t="array" ref="AG69">INDEX('msci-indices'!D:D,MATCH($L69,'msci-indices'!$B:$B)+1)</f>
        <v>1968.166029</v>
      </c>
      <c r="AH69" s="23">
        <f t="shared" si="74"/>
        <v>317.36225858603984</v>
      </c>
      <c r="AI69" s="23">
        <f t="shared" si="75"/>
        <v>486538.17584509909</v>
      </c>
      <c r="AJ69" s="23">
        <f t="shared" si="98"/>
        <v>216366.38582656597</v>
      </c>
      <c r="AK69" s="23">
        <f t="shared" si="76"/>
        <v>270171.79001853312</v>
      </c>
      <c r="AL69" s="23">
        <f>AJ69*(_xlfn.XLOOKUP(Q_end,cpi!A:A,cpi!B:B)/BH69)</f>
        <v>243833.45817059264</v>
      </c>
      <c r="AM69" s="23" cm="1">
        <f t="array" ref="AM69">SUMPRODUCT($AA$3:AA69,_xlfn.SORTBY($BH$3:BH69,_xlfn.SEQUENCE(ROWS($BH$3:BH69)),-1)/$BH$3)</f>
        <v>299559.49440168875</v>
      </c>
      <c r="AN69" s="23">
        <f t="shared" si="99"/>
        <v>186978.68144341034</v>
      </c>
      <c r="AO69" s="23">
        <f t="shared" si="77"/>
        <v>0</v>
      </c>
      <c r="AP69" s="23">
        <f t="shared" si="100"/>
        <v>486538.17584509909</v>
      </c>
      <c r="AQ69" s="23"/>
      <c r="AR69" s="11">
        <f>IF($B$10="3BR_H",
INDEX('ns-combined'!$C:$D,MATCH($L69,'ns-combined'!$B:$B,0),MATCH(Council_Area,'ns-combined'!$C$1:$D$1,0))*1000,
INDEX('s-combined'!$C:$D,MATCH($L69,'s-combined'!$B:$B,0),MATCH(Council_Area,'s-combined'!$C$1:$D$1,0))*1000)</f>
        <v>850000</v>
      </c>
      <c r="AS69" s="23">
        <f t="shared" ref="AS69:AS81" si="104">AS68+$AS$3</f>
        <v>55275</v>
      </c>
      <c r="AT69" s="11">
        <v>0</v>
      </c>
      <c r="AU69" s="23">
        <f t="shared" si="78"/>
        <v>17000</v>
      </c>
      <c r="AV69" s="23">
        <f t="shared" si="79"/>
        <v>2443.75</v>
      </c>
      <c r="AW69" s="23">
        <f>SUM($AV$3:AV69)</f>
        <v>110576.8125</v>
      </c>
      <c r="AX69" s="23">
        <f t="shared" si="80"/>
        <v>667148.1875</v>
      </c>
      <c r="AY69" s="23">
        <f t="shared" si="81"/>
        <v>1978.0000000000002</v>
      </c>
      <c r="AZ69" s="25">
        <f t="shared" si="82"/>
        <v>9.3082352941176484E-3</v>
      </c>
      <c r="BA69" s="25">
        <f t="shared" si="83"/>
        <v>0.35000000000000003</v>
      </c>
      <c r="BB69" s="26">
        <f>IF(MortgageRate="Discounted",_xlfn.XLOOKUP(L69,'mortgage-rates'!$A:$A,'mortgage-rates'!$E:$E)/100,_xlfn.XLOOKUP(L69,'mortgage-rates'!$A:$A,'mortgage-rates'!$D:$D)/100)</f>
        <v>5.7000000000000002E-2</v>
      </c>
      <c r="BC69" s="11">
        <f t="shared" si="101"/>
        <v>129863.5238207222</v>
      </c>
      <c r="BD69" s="11">
        <f t="shared" si="84"/>
        <v>4845.8471009256637</v>
      </c>
      <c r="BE69" s="11">
        <f t="shared" si="102"/>
        <v>1850.5552144452913</v>
      </c>
      <c r="BF69" s="11">
        <f t="shared" ref="BF69:BF82" si="105">BD69-BE69</f>
        <v>2995.2918864803723</v>
      </c>
      <c r="BG69" s="13">
        <f t="shared" si="85"/>
        <v>6823.8471009256637</v>
      </c>
      <c r="BH69" s="23">
        <f>INDEX(cpi!B:B,MATCH($L69,cpi!A:A))</f>
        <v>128.4</v>
      </c>
      <c r="BI69" s="23">
        <f t="shared" si="86"/>
        <v>151.77304964539007</v>
      </c>
      <c r="BJ69" s="23">
        <f t="shared" si="87"/>
        <v>282.19695630380454</v>
      </c>
      <c r="BK69" s="23">
        <f t="shared" si="88"/>
        <v>274.82320356188706</v>
      </c>
      <c r="BL69" s="23">
        <f t="shared" si="89"/>
        <v>279.98483048122927</v>
      </c>
      <c r="BM69" s="23">
        <f t="shared" si="90"/>
        <v>565.45795129925102</v>
      </c>
      <c r="BN69" s="23">
        <f t="shared" si="91"/>
        <v>257.57575757575756</v>
      </c>
      <c r="BO69">
        <f t="shared" si="92"/>
        <v>207.42964465742457</v>
      </c>
    </row>
    <row r="70" spans="2:67" x14ac:dyDescent="0.25">
      <c r="L70" s="1">
        <f t="shared" si="103"/>
        <v>44896</v>
      </c>
      <c r="M70" s="11">
        <f t="shared" si="68"/>
        <v>534510.31633442244</v>
      </c>
      <c r="N70" s="11">
        <f t="shared" si="69"/>
        <v>561439.33056575817</v>
      </c>
      <c r="O70" s="8">
        <f t="shared" si="93"/>
        <v>0.95203575388243722</v>
      </c>
      <c r="P70" s="8">
        <f t="shared" si="70"/>
        <v>0.84839941727137769</v>
      </c>
      <c r="Q70">
        <v>68</v>
      </c>
      <c r="R70">
        <f t="shared" si="71"/>
        <v>92</v>
      </c>
      <c r="S70" s="23"/>
      <c r="T70" s="23">
        <f>IF($B$10="3BR_H",
INDEX('3BR_H-processed'!$C:$D,MATCH($L70,'3BR_H-processed'!$B:$B,0),MATCH(Council_Area,'3BR_H-processed'!$C$1:$D$1,0)),
INDEX('2BR_F-processed'!$C:$D,MATCH($L70,'2BR_F-processed'!$B:$B,0),MATCH(Council_Area,'2BR_F-processed'!$C$1:$D$1,0)))</f>
        <v>450</v>
      </c>
      <c r="U70" s="23">
        <f t="shared" si="94"/>
        <v>430</v>
      </c>
      <c r="V70" s="23">
        <f t="shared" si="95"/>
        <v>5651.4285714285716</v>
      </c>
      <c r="W70" s="23">
        <f>$B$53/4*BH70/_xlfn.XLOOKUP(Q_end,cpi!A:A,cpi!B:B)</f>
        <v>181.06427090532137</v>
      </c>
      <c r="X70" s="23">
        <f t="shared" si="72"/>
        <v>5832.4928423338933</v>
      </c>
      <c r="Y70" s="23">
        <f t="shared" si="73"/>
        <v>1042.2087706072816</v>
      </c>
      <c r="Z70" s="23">
        <f t="shared" si="96"/>
        <v>0</v>
      </c>
      <c r="AA70" s="23" cm="1">
        <f t="array" ref="AA70">(Y70+Z70)*eff_invest</f>
        <v>1042.2087706072816</v>
      </c>
      <c r="AB70" s="23">
        <f>AA70*(_xlfn.XLOOKUP(Q_end,cpi!A:A,cpi!B:B)/BH70)</f>
        <v>1151.2031229532338</v>
      </c>
      <c r="AC70" s="23" cm="1">
        <f t="array" ref="AC70">INDEX('msci-indices'!C:C,MATCH($L70,'msci-indices'!$B:$B)-2)</f>
        <v>2000.7468469999999</v>
      </c>
      <c r="AD70" s="23" cm="1">
        <f t="array" ref="AD70">INDEX('msci-indices'!D:D,MATCH($L70,'msci-indices'!$B:$B)-2)</f>
        <v>1968.166029</v>
      </c>
      <c r="AE70" s="23">
        <f t="shared" si="97"/>
        <v>487580.3846157064</v>
      </c>
      <c r="AF70" s="23" cm="1">
        <f t="array" ref="AF70">INDEX('msci-indices'!C:C,MATCH($L70,'msci-indices'!$B:$B)+1)</f>
        <v>2198.4432400000001</v>
      </c>
      <c r="AG70" s="23" cm="1">
        <f t="array" ref="AG70">INDEX('msci-indices'!D:D,MATCH($L70,'msci-indices'!$B:$B)+1)</f>
        <v>2149.944184</v>
      </c>
      <c r="AH70" s="23">
        <f t="shared" si="74"/>
        <v>304.7377403848165</v>
      </c>
      <c r="AI70" s="23">
        <f t="shared" si="75"/>
        <v>534510.31633442244</v>
      </c>
      <c r="AJ70" s="23">
        <f t="shared" si="98"/>
        <v>217408.59459717324</v>
      </c>
      <c r="AK70" s="23">
        <f t="shared" si="76"/>
        <v>317101.72173724917</v>
      </c>
      <c r="AL70" s="23">
        <f>AJ70*(_xlfn.XLOOKUP(Q_end,cpi!A:A,cpi!B:B)/BH70)</f>
        <v>240145.21861229744</v>
      </c>
      <c r="AM70" s="23" cm="1">
        <f t="array" ref="AM70">SUMPRODUCT($AA$3:AA70,_xlfn.SORTBY($BH$3:BH70,_xlfn.SEQUENCE(ROWS($BH$3:BH70)),-1)/$BH$3)</f>
        <v>304443.95017056371</v>
      </c>
      <c r="AN70" s="23">
        <f t="shared" si="99"/>
        <v>230066.36616385874</v>
      </c>
      <c r="AO70" s="23">
        <f t="shared" si="77"/>
        <v>0</v>
      </c>
      <c r="AP70" s="23">
        <f t="shared" si="100"/>
        <v>534510.31633442244</v>
      </c>
      <c r="AQ70" s="23"/>
      <c r="AR70" s="11">
        <f>IF($B$10="3BR_H",
INDEX('ns-combined'!$C:$D,MATCH($L70,'ns-combined'!$B:$B,0),MATCH(Council_Area,'ns-combined'!$C$1:$D$1,0))*1000,
INDEX('s-combined'!$C:$D,MATCH($L70,'s-combined'!$B:$B,0),MATCH(Council_Area,'s-combined'!$C$1:$D$1,0))*1000)</f>
        <v>875000</v>
      </c>
      <c r="AS70" s="23">
        <f t="shared" si="104"/>
        <v>56100</v>
      </c>
      <c r="AT70" s="11">
        <v>0</v>
      </c>
      <c r="AU70" s="23">
        <f t="shared" si="78"/>
        <v>17500</v>
      </c>
      <c r="AV70" s="23">
        <f t="shared" si="79"/>
        <v>2515.625</v>
      </c>
      <c r="AW70" s="23">
        <f>SUM($AV$3:AV70)</f>
        <v>113092.4375</v>
      </c>
      <c r="AX70" s="23">
        <f t="shared" si="80"/>
        <v>688307.5625</v>
      </c>
      <c r="AY70" s="23">
        <f t="shared" si="81"/>
        <v>1978.0000000000002</v>
      </c>
      <c r="AZ70" s="25">
        <f t="shared" si="82"/>
        <v>9.0422857142857145E-3</v>
      </c>
      <c r="BA70" s="25">
        <f t="shared" si="83"/>
        <v>0.35000000000000003</v>
      </c>
      <c r="BB70" s="26">
        <f>IF(MortgageRate="Discounted",_xlfn.XLOOKUP(L70,'mortgage-rates'!$A:$A,'mortgage-rates'!$E:$E)/100,_xlfn.XLOOKUP(L70,'mortgage-rates'!$A:$A,'mortgage-rates'!$D:$D)/100)</f>
        <v>5.9699999999999996E-2</v>
      </c>
      <c r="BC70" s="11">
        <f t="shared" si="101"/>
        <v>126868.23193424183</v>
      </c>
      <c r="BD70" s="11">
        <f t="shared" si="84"/>
        <v>4896.701612941175</v>
      </c>
      <c r="BE70" s="11">
        <f t="shared" si="102"/>
        <v>1893.5083616185593</v>
      </c>
      <c r="BF70" s="11">
        <f t="shared" si="105"/>
        <v>3003.1932513226157</v>
      </c>
      <c r="BG70" s="13">
        <f t="shared" si="85"/>
        <v>6874.701612941175</v>
      </c>
      <c r="BH70" s="23">
        <f>INDEX(cpi!B:B,MATCH($L70,cpi!A:A))</f>
        <v>131</v>
      </c>
      <c r="BI70" s="23">
        <f t="shared" si="86"/>
        <v>154.84633569739952</v>
      </c>
      <c r="BJ70" s="23">
        <f t="shared" si="87"/>
        <v>265.04184479821646</v>
      </c>
      <c r="BK70" s="23">
        <f t="shared" si="88"/>
        <v>276.05705641569335</v>
      </c>
      <c r="BL70" s="23">
        <f t="shared" si="89"/>
        <v>268.34640828345954</v>
      </c>
      <c r="BM70" s="23">
        <f t="shared" si="90"/>
        <v>542.96430561495026</v>
      </c>
      <c r="BN70" s="23">
        <f t="shared" si="91"/>
        <v>265.15151515151513</v>
      </c>
      <c r="BO70">
        <f t="shared" si="92"/>
        <v>214.00851531863461</v>
      </c>
    </row>
    <row r="71" spans="2:67" x14ac:dyDescent="0.25">
      <c r="L71" s="1">
        <f t="shared" si="103"/>
        <v>44986</v>
      </c>
      <c r="M71" s="11">
        <f t="shared" si="68"/>
        <v>567952.19563935068</v>
      </c>
      <c r="N71" s="11">
        <f t="shared" si="69"/>
        <v>522016.89881708077</v>
      </c>
      <c r="O71" s="8">
        <f t="shared" si="93"/>
        <v>1.087995804209331</v>
      </c>
      <c r="P71" s="8">
        <f t="shared" si="70"/>
        <v>0.87105227058977497</v>
      </c>
      <c r="Q71">
        <v>69</v>
      </c>
      <c r="R71">
        <f t="shared" si="71"/>
        <v>90</v>
      </c>
      <c r="S71" s="23"/>
      <c r="T71" s="23">
        <f>IF($B$10="3BR_H",
INDEX('3BR_H-processed'!$C:$D,MATCH($L71,'3BR_H-processed'!$B:$B,0),MATCH(Council_Area,'3BR_H-processed'!$C$1:$D$1,0)),
INDEX('2BR_F-processed'!$C:$D,MATCH($L71,'2BR_F-processed'!$B:$B,0),MATCH(Council_Area,'2BR_F-processed'!$C$1:$D$1,0)))</f>
        <v>465</v>
      </c>
      <c r="U71" s="23">
        <f t="shared" si="94"/>
        <v>465</v>
      </c>
      <c r="V71" s="23">
        <f t="shared" si="95"/>
        <v>5978.5714285714284</v>
      </c>
      <c r="W71" s="23">
        <f>$B$53/4*BH71/_xlfn.XLOOKUP(Q_end,cpi!A:A,cpi!B:B)</f>
        <v>183.41395991706977</v>
      </c>
      <c r="X71" s="23">
        <f t="shared" si="72"/>
        <v>6161.9853884884978</v>
      </c>
      <c r="Y71" s="23">
        <f t="shared" si="73"/>
        <v>912.20016448218666</v>
      </c>
      <c r="Z71" s="23">
        <f t="shared" si="96"/>
        <v>0</v>
      </c>
      <c r="AA71" s="23" cm="1">
        <f t="array" ref="AA71">(Y71+Z71)*eff_invest</f>
        <v>912.20016448218666</v>
      </c>
      <c r="AB71" s="23">
        <f>AA71*(_xlfn.XLOOKUP(Q_end,cpi!A:A,cpi!B:B)/BH71)</f>
        <v>994.69000603294955</v>
      </c>
      <c r="AC71" s="23" cm="1">
        <f t="array" ref="AC71">INDEX('msci-indices'!C:C,MATCH($L71,'msci-indices'!$B:$B)-2)</f>
        <v>2198.4432400000001</v>
      </c>
      <c r="AD71" s="23" cm="1">
        <f t="array" ref="AD71">INDEX('msci-indices'!D:D,MATCH($L71,'msci-indices'!$B:$B)-2)</f>
        <v>2149.944184</v>
      </c>
      <c r="AE71" s="23">
        <f t="shared" si="97"/>
        <v>535422.51649890468</v>
      </c>
      <c r="AF71" s="23" cm="1">
        <f t="array" ref="AF71">INDEX('msci-indices'!C:C,MATCH($L71,'msci-indices'!$B:$B)+1)</f>
        <v>2359.7519419999999</v>
      </c>
      <c r="AG71" s="23" cm="1">
        <f t="array" ref="AG71">INDEX('msci-indices'!D:D,MATCH($L71,'msci-indices'!$B:$B)+1)</f>
        <v>2221.7402550000002</v>
      </c>
      <c r="AH71" s="23">
        <f t="shared" si="74"/>
        <v>334.63907281181542</v>
      </c>
      <c r="AI71" s="23">
        <f t="shared" si="75"/>
        <v>567952.19563935068</v>
      </c>
      <c r="AJ71" s="23">
        <f t="shared" si="98"/>
        <v>218320.79476165544</v>
      </c>
      <c r="AK71" s="23">
        <f t="shared" si="76"/>
        <v>349631.40087769524</v>
      </c>
      <c r="AL71" s="23">
        <f>AJ71*(_xlfn.XLOOKUP(Q_end,cpi!A:A,cpi!B:B)/BH71)</f>
        <v>238063.44387348564</v>
      </c>
      <c r="AM71" s="23" cm="1">
        <f t="array" ref="AM71">SUMPRODUCT($AA$3:AA71,_xlfn.SORTBY($BH$3:BH71,_xlfn.SEQUENCE(ROWS($BH$3:BH71)),-1)/$BH$3)</f>
        <v>308380.87912506546</v>
      </c>
      <c r="AN71" s="23">
        <f t="shared" si="99"/>
        <v>259571.31651428522</v>
      </c>
      <c r="AO71" s="23">
        <f t="shared" si="77"/>
        <v>0</v>
      </c>
      <c r="AP71" s="23">
        <f t="shared" si="100"/>
        <v>567952.19563935068</v>
      </c>
      <c r="AQ71" s="23"/>
      <c r="AR71" s="11">
        <f>IF($B$10="3BR_H",
INDEX('ns-combined'!$C:$D,MATCH($L71,'ns-combined'!$B:$B,0),MATCH(Council_Area,'ns-combined'!$C$1:$D$1,0))*1000,
INDEX('s-combined'!$C:$D,MATCH($L71,'s-combined'!$B:$B,0),MATCH(Council_Area,'s-combined'!$C$1:$D$1,0))*1000)</f>
        <v>835000</v>
      </c>
      <c r="AS71" s="23">
        <f t="shared" si="104"/>
        <v>56925</v>
      </c>
      <c r="AT71" s="11">
        <v>0</v>
      </c>
      <c r="AU71" s="23">
        <f t="shared" si="78"/>
        <v>16700</v>
      </c>
      <c r="AV71" s="23">
        <f t="shared" si="79"/>
        <v>2400.625</v>
      </c>
      <c r="AW71" s="23">
        <f>SUM($AV$3:AV71)</f>
        <v>115493.0625</v>
      </c>
      <c r="AX71" s="23">
        <f t="shared" si="80"/>
        <v>645881.9375</v>
      </c>
      <c r="AY71" s="23">
        <f t="shared" si="81"/>
        <v>2092.5</v>
      </c>
      <c r="AZ71" s="25">
        <f t="shared" si="82"/>
        <v>1.0023952095808383E-2</v>
      </c>
      <c r="BA71" s="25">
        <f t="shared" si="83"/>
        <v>0.35000000000000003</v>
      </c>
      <c r="BB71" s="26">
        <f>IF(MortgageRate="Discounted",_xlfn.XLOOKUP(L71,'mortgage-rates'!$A:$A,'mortgage-rates'!$E:$E)/100,_xlfn.XLOOKUP(L71,'mortgage-rates'!$A:$A,'mortgage-rates'!$D:$D)/100)</f>
        <v>6.4299999999999996E-2</v>
      </c>
      <c r="BC71" s="11">
        <f t="shared" si="101"/>
        <v>123865.03868291921</v>
      </c>
      <c r="BD71" s="11">
        <f t="shared" si="84"/>
        <v>4981.6855529706845</v>
      </c>
      <c r="BE71" s="11">
        <f t="shared" si="102"/>
        <v>1991.1304968279262</v>
      </c>
      <c r="BF71" s="11">
        <f t="shared" si="105"/>
        <v>2990.5550561427581</v>
      </c>
      <c r="BG71" s="13">
        <f t="shared" si="85"/>
        <v>7074.1855529706845</v>
      </c>
      <c r="BH71" s="23">
        <f>INDEX(cpi!B:B,MATCH($L71,cpi!A:A))</f>
        <v>132.69999999999999</v>
      </c>
      <c r="BI71" s="23">
        <f t="shared" si="86"/>
        <v>156.85579196217492</v>
      </c>
      <c r="BJ71" s="23">
        <f t="shared" si="87"/>
        <v>291.23097351744474</v>
      </c>
      <c r="BK71" s="23">
        <f t="shared" si="88"/>
        <v>301.55345339164973</v>
      </c>
      <c r="BL71" s="23">
        <f t="shared" si="89"/>
        <v>294.32771747970622</v>
      </c>
      <c r="BM71" s="23">
        <f t="shared" si="90"/>
        <v>596.24079239891591</v>
      </c>
      <c r="BN71" s="23">
        <f t="shared" si="91"/>
        <v>253.03030303030303</v>
      </c>
      <c r="BO71">
        <f t="shared" si="92"/>
        <v>200.81754443239629</v>
      </c>
    </row>
    <row r="72" spans="2:67" x14ac:dyDescent="0.25">
      <c r="L72" s="1">
        <f t="shared" si="103"/>
        <v>45078</v>
      </c>
      <c r="M72" s="11">
        <f t="shared" si="68"/>
        <v>595991.46389746678</v>
      </c>
      <c r="N72" s="11">
        <f t="shared" si="69"/>
        <v>526960.59137322346</v>
      </c>
      <c r="O72" s="8">
        <f t="shared" si="93"/>
        <v>1.1309981688466562</v>
      </c>
      <c r="P72" s="8">
        <f t="shared" si="70"/>
        <v>0.86383950144748212</v>
      </c>
      <c r="Q72">
        <v>70</v>
      </c>
      <c r="R72">
        <f t="shared" si="71"/>
        <v>91</v>
      </c>
      <c r="S72" s="23"/>
      <c r="T72" s="23">
        <f>IF($B$10="3BR_H",
INDEX('3BR_H-processed'!$C:$D,MATCH($L72,'3BR_H-processed'!$B:$B,0),MATCH(Council_Area,'3BR_H-processed'!$C$1:$D$1,0)),
INDEX('2BR_F-processed'!$C:$D,MATCH($L72,'2BR_F-processed'!$B:$B,0),MATCH(Council_Area,'2BR_F-processed'!$C$1:$D$1,0)))</f>
        <v>480</v>
      </c>
      <c r="U72" s="23">
        <f t="shared" si="94"/>
        <v>465</v>
      </c>
      <c r="V72" s="23">
        <f t="shared" si="95"/>
        <v>6045</v>
      </c>
      <c r="W72" s="23">
        <f>$B$53/4*BH72/_xlfn.XLOOKUP(Q_end,cpi!A:A,cpi!B:B)</f>
        <v>184.93434692467179</v>
      </c>
      <c r="X72" s="23">
        <f t="shared" si="72"/>
        <v>6229.9343469246714</v>
      </c>
      <c r="Y72" s="23">
        <f t="shared" si="73"/>
        <v>981.97751457918184</v>
      </c>
      <c r="Z72" s="23">
        <f t="shared" si="96"/>
        <v>0</v>
      </c>
      <c r="AA72" s="23" cm="1">
        <f t="array" ref="AA72">(Y72+Z72)*eff_invest</f>
        <v>981.97751457918184</v>
      </c>
      <c r="AB72" s="23">
        <f>AA72*(_xlfn.XLOOKUP(Q_end,cpi!A:A,cpi!B:B)/BH72)</f>
        <v>1061.9741880389206</v>
      </c>
      <c r="AC72" s="23" cm="1">
        <f t="array" ref="AC72">INDEX('msci-indices'!C:C,MATCH($L72,'msci-indices'!$B:$B)-2)</f>
        <v>2359.7519419999999</v>
      </c>
      <c r="AD72" s="23" cm="1">
        <f t="array" ref="AD72">INDEX('msci-indices'!D:D,MATCH($L72,'msci-indices'!$B:$B)-2)</f>
        <v>2221.7402550000002</v>
      </c>
      <c r="AE72" s="23">
        <f t="shared" si="97"/>
        <v>568934.17315392988</v>
      </c>
      <c r="AF72" s="23" cm="1">
        <f t="array" ref="AF72">INDEX('msci-indices'!C:C,MATCH($L72,'msci-indices'!$B:$B)+1)</f>
        <v>2511.4075790000002</v>
      </c>
      <c r="AG72" s="23" cm="1">
        <f t="array" ref="AG72">INDEX('msci-indices'!D:D,MATCH($L72,'msci-indices'!$B:$B)+1)</f>
        <v>2245.4056799999998</v>
      </c>
      <c r="AH72" s="23">
        <f t="shared" si="74"/>
        <v>355.58385822120619</v>
      </c>
      <c r="AI72" s="23">
        <f t="shared" si="75"/>
        <v>595991.46389746678</v>
      </c>
      <c r="AJ72" s="23">
        <f t="shared" si="98"/>
        <v>219302.77227623464</v>
      </c>
      <c r="AK72" s="23">
        <f t="shared" si="76"/>
        <v>376688.69162123214</v>
      </c>
      <c r="AL72" s="23">
        <f>AJ72*(_xlfn.XLOOKUP(Q_end,cpi!A:A,cpi!B:B)/BH72)</f>
        <v>237168.24475613714</v>
      </c>
      <c r="AM72" s="23" cm="1">
        <f t="array" ref="AM72">SUMPRODUCT($AA$3:AA72,_xlfn.SORTBY($BH$3:BH72,_xlfn.SEQUENCE(ROWS($BH$3:BH72)),-1)/$BH$3)</f>
        <v>311809.97325006459</v>
      </c>
      <c r="AN72" s="23">
        <f t="shared" si="99"/>
        <v>284181.49064740218</v>
      </c>
      <c r="AO72" s="23">
        <f t="shared" si="77"/>
        <v>0</v>
      </c>
      <c r="AP72" s="23">
        <f t="shared" si="100"/>
        <v>595991.46389746678</v>
      </c>
      <c r="AQ72" s="23"/>
      <c r="AR72" s="11">
        <f>IF($B$10="3BR_H",
INDEX('ns-combined'!$C:$D,MATCH($L72,'ns-combined'!$B:$B,0),MATCH(Council_Area,'ns-combined'!$C$1:$D$1,0))*1000,
INDEX('s-combined'!$C:$D,MATCH($L72,'s-combined'!$B:$B,0),MATCH(Council_Area,'s-combined'!$C$1:$D$1,0))*1000)</f>
        <v>840300</v>
      </c>
      <c r="AS72" s="23">
        <f t="shared" si="104"/>
        <v>57750</v>
      </c>
      <c r="AT72" s="11">
        <v>0</v>
      </c>
      <c r="AU72" s="23">
        <f t="shared" si="78"/>
        <v>16806</v>
      </c>
      <c r="AV72" s="23">
        <f t="shared" si="79"/>
        <v>2415.8625000000002</v>
      </c>
      <c r="AW72" s="23">
        <f>SUM($AV$3:AV72)</f>
        <v>117908.925</v>
      </c>
      <c r="AX72" s="23">
        <f t="shared" si="80"/>
        <v>647835.07499999995</v>
      </c>
      <c r="AY72" s="23">
        <f t="shared" si="81"/>
        <v>2115.75</v>
      </c>
      <c r="AZ72" s="25">
        <f t="shared" si="82"/>
        <v>1.0071403070332025E-2</v>
      </c>
      <c r="BA72" s="25">
        <f t="shared" si="83"/>
        <v>0.35</v>
      </c>
      <c r="BB72" s="26">
        <f>IF(MortgageRate="Discounted",_xlfn.XLOOKUP(L72,'mortgage-rates'!$A:$A,'mortgage-rates'!$E:$E)/100,_xlfn.XLOOKUP(L72,'mortgage-rates'!$A:$A,'mortgage-rates'!$D:$D)/100)</f>
        <v>7.0599999999999996E-2</v>
      </c>
      <c r="BC72" s="11">
        <f t="shared" si="101"/>
        <v>120874.48362677646</v>
      </c>
      <c r="BD72" s="11">
        <f t="shared" si="84"/>
        <v>5096.1618615038533</v>
      </c>
      <c r="BE72" s="11">
        <f t="shared" si="102"/>
        <v>2133.4346360126046</v>
      </c>
      <c r="BF72" s="11">
        <f t="shared" si="105"/>
        <v>2962.7272254912486</v>
      </c>
      <c r="BG72" s="13">
        <f t="shared" si="85"/>
        <v>7211.9118615038533</v>
      </c>
      <c r="BH72" s="23">
        <f>INDEX(cpi!B:B,MATCH($L72,cpi!A:A))</f>
        <v>133.80000000000001</v>
      </c>
      <c r="BI72" s="23">
        <f t="shared" si="86"/>
        <v>158.15602836879435</v>
      </c>
      <c r="BJ72" s="23">
        <f t="shared" si="87"/>
        <v>312.59977188601005</v>
      </c>
      <c r="BK72" s="23">
        <f t="shared" si="88"/>
        <v>311.62364652090639</v>
      </c>
      <c r="BL72" s="23">
        <f t="shared" si="89"/>
        <v>312.30693427647896</v>
      </c>
      <c r="BM72" s="23">
        <f t="shared" si="90"/>
        <v>633.55901511627064</v>
      </c>
      <c r="BN72" s="23">
        <f t="shared" si="91"/>
        <v>254.63636363636363</v>
      </c>
      <c r="BO72">
        <f t="shared" si="92"/>
        <v>201.42481373955016</v>
      </c>
    </row>
    <row r="73" spans="2:67" x14ac:dyDescent="0.25">
      <c r="L73" s="1">
        <f t="shared" si="103"/>
        <v>45170</v>
      </c>
      <c r="M73" s="11">
        <f t="shared" si="68"/>
        <v>580872.19657186</v>
      </c>
      <c r="N73" s="11">
        <f t="shared" si="69"/>
        <v>518572.31859871477</v>
      </c>
      <c r="O73" s="8">
        <f t="shared" si="93"/>
        <v>1.1201372995409624</v>
      </c>
      <c r="P73" s="8">
        <f t="shared" si="70"/>
        <v>0.87051237787426561</v>
      </c>
      <c r="Q73">
        <v>71</v>
      </c>
      <c r="R73">
        <f t="shared" si="71"/>
        <v>92</v>
      </c>
      <c r="S73" s="23"/>
      <c r="T73" s="23">
        <f>IF($B$10="3BR_H",
INDEX('3BR_H-processed'!$C:$D,MATCH($L73,'3BR_H-processed'!$B:$B,0),MATCH(Council_Area,'3BR_H-processed'!$C$1:$D$1,0)),
INDEX('2BR_F-processed'!$C:$D,MATCH($L73,'2BR_F-processed'!$B:$B,0),MATCH(Council_Area,'2BR_F-processed'!$C$1:$D$1,0)))</f>
        <v>500</v>
      </c>
      <c r="U73" s="23">
        <f t="shared" si="94"/>
        <v>465</v>
      </c>
      <c r="V73" s="23">
        <f t="shared" si="95"/>
        <v>6111.4285714285716</v>
      </c>
      <c r="W73" s="23">
        <f>$B$53/4*BH73/_xlfn.XLOOKUP(Q_end,cpi!A:A,cpi!B:B)</f>
        <v>186.86938493434693</v>
      </c>
      <c r="X73" s="23">
        <f t="shared" si="72"/>
        <v>6298.2979563629187</v>
      </c>
      <c r="Y73" s="23">
        <f t="shared" si="73"/>
        <v>936.86390514093637</v>
      </c>
      <c r="Z73" s="23">
        <f t="shared" si="96"/>
        <v>0</v>
      </c>
      <c r="AA73" s="23" cm="1">
        <f t="array" ref="AA73">(Y73+Z73)*eff_invest</f>
        <v>936.86390514093637</v>
      </c>
      <c r="AB73" s="23">
        <f>AA73*(_xlfn.XLOOKUP(Q_end,cpi!A:A,cpi!B:B)/BH73)</f>
        <v>1002.6938393039461</v>
      </c>
      <c r="AC73" s="23" cm="1">
        <f t="array" ref="AC73">INDEX('msci-indices'!C:C,MATCH($L73,'msci-indices'!$B:$B)-2)</f>
        <v>2511.4075790000002</v>
      </c>
      <c r="AD73" s="23" cm="1">
        <f t="array" ref="AD73">INDEX('msci-indices'!D:D,MATCH($L73,'msci-indices'!$B:$B)-2)</f>
        <v>2245.4056799999998</v>
      </c>
      <c r="AE73" s="23">
        <f t="shared" si="97"/>
        <v>596928.32780260767</v>
      </c>
      <c r="AF73" s="23" cm="1">
        <f t="array" ref="AF73">INDEX('msci-indices'!C:C,MATCH($L73,'msci-indices'!$B:$B)+1)</f>
        <v>2421.9848459999998</v>
      </c>
      <c r="AG73" s="23" cm="1">
        <f t="array" ref="AG73">INDEX('msci-indices'!D:D,MATCH($L73,'msci-indices'!$B:$B)+1)</f>
        <v>2235.3141679999999</v>
      </c>
      <c r="AH73" s="23">
        <f t="shared" si="74"/>
        <v>373.08020487662981</v>
      </c>
      <c r="AI73" s="23">
        <f t="shared" si="75"/>
        <v>580872.19657186</v>
      </c>
      <c r="AJ73" s="23">
        <f t="shared" si="98"/>
        <v>220239.63618137556</v>
      </c>
      <c r="AK73" s="23">
        <f t="shared" si="76"/>
        <v>360632.5603904844</v>
      </c>
      <c r="AL73" s="23">
        <f>AJ73*(_xlfn.XLOOKUP(Q_end,cpi!A:A,cpi!B:B)/BH73)</f>
        <v>235715.05440417933</v>
      </c>
      <c r="AM73" s="23" cm="1">
        <f t="array" ref="AM73">SUMPRODUCT($AA$3:AA73,_xlfn.SORTBY($BH$3:BH73,_xlfn.SEQUENCE(ROWS($BH$3:BH73)),-1)/$BH$3)</f>
        <v>315534.39238404733</v>
      </c>
      <c r="AN73" s="23">
        <f t="shared" si="99"/>
        <v>265337.80418781267</v>
      </c>
      <c r="AO73" s="23">
        <f t="shared" si="77"/>
        <v>0</v>
      </c>
      <c r="AP73" s="23">
        <f t="shared" si="100"/>
        <v>580872.19657186</v>
      </c>
      <c r="AQ73" s="23"/>
      <c r="AR73" s="11">
        <f>IF($B$10="3BR_H",
INDEX('ns-combined'!$C:$D,MATCH($L73,'ns-combined'!$B:$B,0),MATCH(Council_Area,'ns-combined'!$C$1:$D$1,0))*1000,
INDEX('s-combined'!$C:$D,MATCH($L73,'s-combined'!$B:$B,0),MATCH(Council_Area,'s-combined'!$C$1:$D$1,0))*1000)</f>
        <v>832000</v>
      </c>
      <c r="AS73" s="23">
        <f t="shared" si="104"/>
        <v>58575</v>
      </c>
      <c r="AT73" s="11">
        <v>0</v>
      </c>
      <c r="AU73" s="23">
        <f t="shared" si="78"/>
        <v>16640</v>
      </c>
      <c r="AV73" s="23">
        <f t="shared" si="79"/>
        <v>2392</v>
      </c>
      <c r="AW73" s="23">
        <f>SUM($AV$3:AV73)</f>
        <v>120300.925</v>
      </c>
      <c r="AX73" s="23">
        <f t="shared" si="80"/>
        <v>636484.07499999995</v>
      </c>
      <c r="AY73" s="23">
        <f t="shared" si="81"/>
        <v>2139.0000000000005</v>
      </c>
      <c r="AZ73" s="25">
        <f t="shared" si="82"/>
        <v>1.0283653846153849E-2</v>
      </c>
      <c r="BA73" s="25">
        <f t="shared" si="83"/>
        <v>0.35000000000000009</v>
      </c>
      <c r="BB73" s="26">
        <f>IF(MortgageRate="Discounted",_xlfn.XLOOKUP(L73,'mortgage-rates'!$A:$A,'mortgage-rates'!$E:$E)/100,_xlfn.XLOOKUP(L73,'mortgage-rates'!$A:$A,'mortgage-rates'!$D:$D)/100)</f>
        <v>7.0599999999999996E-2</v>
      </c>
      <c r="BC73" s="11">
        <f t="shared" si="101"/>
        <v>117911.75640128521</v>
      </c>
      <c r="BD73" s="11">
        <f t="shared" si="84"/>
        <v>5096.1618615038542</v>
      </c>
      <c r="BE73" s="11">
        <f t="shared" si="102"/>
        <v>2081.1425004826838</v>
      </c>
      <c r="BF73" s="11">
        <f t="shared" si="105"/>
        <v>3015.0193610211704</v>
      </c>
      <c r="BG73" s="13">
        <f t="shared" si="85"/>
        <v>7235.1618615038551</v>
      </c>
      <c r="BH73" s="23">
        <f>INDEX(cpi!B:B,MATCH($L73,cpi!A:A))</f>
        <v>135.19999999999999</v>
      </c>
      <c r="BI73" s="23">
        <f t="shared" si="86"/>
        <v>159.81087470449171</v>
      </c>
      <c r="BJ73" s="23">
        <f t="shared" si="87"/>
        <v>332.68981469417383</v>
      </c>
      <c r="BK73" s="23">
        <f t="shared" si="88"/>
        <v>314.94298415201342</v>
      </c>
      <c r="BL73" s="23">
        <f t="shared" si="89"/>
        <v>327.36576553152571</v>
      </c>
      <c r="BM73" s="23">
        <f t="shared" si="90"/>
        <v>664.73300656401273</v>
      </c>
      <c r="BN73" s="23">
        <f t="shared" si="91"/>
        <v>252.12121212121212</v>
      </c>
      <c r="BO73">
        <f t="shared" si="92"/>
        <v>197.89556200714335</v>
      </c>
    </row>
    <row r="74" spans="2:67" x14ac:dyDescent="0.25">
      <c r="L74" s="1">
        <f t="shared" si="103"/>
        <v>45261</v>
      </c>
      <c r="M74" s="11">
        <f t="shared" si="68"/>
        <v>643412.57368834154</v>
      </c>
      <c r="N74" s="11">
        <f t="shared" si="69"/>
        <v>550615.46295973589</v>
      </c>
      <c r="O74" s="8">
        <f t="shared" si="93"/>
        <v>1.1685334266309761</v>
      </c>
      <c r="P74" s="8">
        <f t="shared" si="70"/>
        <v>0.86555040898206426</v>
      </c>
      <c r="Q74">
        <v>72</v>
      </c>
      <c r="R74">
        <f t="shared" si="71"/>
        <v>92</v>
      </c>
      <c r="S74" s="23"/>
      <c r="T74" s="23">
        <f>IF($B$10="3BR_H",
INDEX('3BR_H-processed'!$C:$D,MATCH($L74,'3BR_H-processed'!$B:$B,0),MATCH(Council_Area,'3BR_H-processed'!$C$1:$D$1,0)),
INDEX('2BR_F-processed'!$C:$D,MATCH($L74,'2BR_F-processed'!$B:$B,0),MATCH(Council_Area,'2BR_F-processed'!$C$1:$D$1,0)))</f>
        <v>515</v>
      </c>
      <c r="U74" s="23">
        <f t="shared" si="94"/>
        <v>465</v>
      </c>
      <c r="V74" s="23">
        <f t="shared" si="95"/>
        <v>6111.4285714285716</v>
      </c>
      <c r="W74" s="23">
        <f>$B$53/4*BH74/_xlfn.XLOOKUP(Q_end,cpi!A:A,cpi!B:B)</f>
        <v>188.38977194194891</v>
      </c>
      <c r="X74" s="23">
        <f t="shared" si="72"/>
        <v>6299.8183433705208</v>
      </c>
      <c r="Y74" s="23">
        <f t="shared" si="73"/>
        <v>978.57732023902008</v>
      </c>
      <c r="Z74" s="23">
        <f t="shared" si="96"/>
        <v>0</v>
      </c>
      <c r="AA74" s="23" cm="1">
        <f t="array" ref="AA74">(Y74+Z74)*eff_invest</f>
        <v>978.57732023902008</v>
      </c>
      <c r="AB74" s="23">
        <f>AA74*(_xlfn.XLOOKUP(Q_end,cpi!A:A,cpi!B:B)/BH74)</f>
        <v>1038.8858271356287</v>
      </c>
      <c r="AC74" s="23" cm="1">
        <f t="array" ref="AC74">INDEX('msci-indices'!C:C,MATCH($L74,'msci-indices'!$B:$B)-2)</f>
        <v>2421.9848459999998</v>
      </c>
      <c r="AD74" s="23" cm="1">
        <f t="array" ref="AD74">INDEX('msci-indices'!D:D,MATCH($L74,'msci-indices'!$B:$B)-2)</f>
        <v>2235.3141679999999</v>
      </c>
      <c r="AE74" s="23">
        <f t="shared" si="97"/>
        <v>581850.77389209904</v>
      </c>
      <c r="AF74" s="23" cm="1">
        <f t="array" ref="AF74">INDEX('msci-indices'!C:C,MATCH($L74,'msci-indices'!$B:$B)+1)</f>
        <v>2701.360248</v>
      </c>
      <c r="AG74" s="23" cm="1">
        <f t="array" ref="AG74">INDEX('msci-indices'!D:D,MATCH($L74,'msci-indices'!$B:$B)+1)</f>
        <v>2426.6837019999998</v>
      </c>
      <c r="AH74" s="23">
        <f t="shared" si="74"/>
        <v>363.65673368256188</v>
      </c>
      <c r="AI74" s="23">
        <f t="shared" si="75"/>
        <v>643412.57368834154</v>
      </c>
      <c r="AJ74" s="23">
        <f t="shared" si="98"/>
        <v>221218.21350161458</v>
      </c>
      <c r="AK74" s="23">
        <f t="shared" si="76"/>
        <v>422194.36018672696</v>
      </c>
      <c r="AL74" s="23">
        <f>AJ74*(_xlfn.XLOOKUP(Q_end,cpi!A:A,cpi!B:B)/BH74)</f>
        <v>234851.6177086106</v>
      </c>
      <c r="AM74" s="23" cm="1">
        <f t="array" ref="AM74">SUMPRODUCT($AA$3:AA74,_xlfn.SORTBY($BH$3:BH74,_xlfn.SEQUENCE(ROWS($BH$3:BH74)),-1)/$BH$3)</f>
        <v>319023.5335599464</v>
      </c>
      <c r="AN74" s="23">
        <f t="shared" si="99"/>
        <v>324389.04012839514</v>
      </c>
      <c r="AO74" s="23">
        <f t="shared" si="77"/>
        <v>0</v>
      </c>
      <c r="AP74" s="23">
        <f t="shared" si="100"/>
        <v>643412.57368834154</v>
      </c>
      <c r="AQ74" s="23"/>
      <c r="AR74" s="11">
        <f>IF($B$10="3BR_H",
INDEX('ns-combined'!$C:$D,MATCH($L74,'ns-combined'!$B:$B,0),MATCH(Council_Area,'ns-combined'!$C$1:$D$1,0))*1000,
INDEX('s-combined'!$C:$D,MATCH($L74,'s-combined'!$B:$B,0),MATCH(Council_Area,'s-combined'!$C$1:$D$1,0))*1000)</f>
        <v>865000</v>
      </c>
      <c r="AS74" s="23">
        <f t="shared" si="104"/>
        <v>59400</v>
      </c>
      <c r="AT74" s="11">
        <v>0</v>
      </c>
      <c r="AU74" s="23">
        <f t="shared" si="78"/>
        <v>17300</v>
      </c>
      <c r="AV74" s="23">
        <f t="shared" si="79"/>
        <v>2486.875</v>
      </c>
      <c r="AW74" s="23">
        <f>SUM($AV$3:AV74)</f>
        <v>122787.8</v>
      </c>
      <c r="AX74" s="23">
        <f t="shared" si="80"/>
        <v>665512.19999999995</v>
      </c>
      <c r="AY74" s="23">
        <f t="shared" si="81"/>
        <v>2139.0000000000005</v>
      </c>
      <c r="AZ74" s="25">
        <f t="shared" si="82"/>
        <v>9.891329479768788E-3</v>
      </c>
      <c r="BA74" s="25">
        <f t="shared" si="83"/>
        <v>0.35000000000000009</v>
      </c>
      <c r="BB74" s="26">
        <f>IF(MortgageRate="Discounted",_xlfn.XLOOKUP(L74,'mortgage-rates'!$A:$A,'mortgage-rates'!$E:$E)/100,_xlfn.XLOOKUP(L74,'mortgage-rates'!$A:$A,'mortgage-rates'!$D:$D)/100)</f>
        <v>7.3099999999999998E-2</v>
      </c>
      <c r="BC74" s="11">
        <f t="shared" si="101"/>
        <v>114896.73704026404</v>
      </c>
      <c r="BD74" s="11">
        <f t="shared" si="84"/>
        <v>5139.3956636095409</v>
      </c>
      <c r="BE74" s="11">
        <f t="shared" si="102"/>
        <v>2099.7378694108252</v>
      </c>
      <c r="BF74" s="11">
        <f t="shared" si="105"/>
        <v>3039.6577941987157</v>
      </c>
      <c r="BG74" s="13">
        <f t="shared" si="85"/>
        <v>7278.3956636095409</v>
      </c>
      <c r="BH74" s="23">
        <f>INDEX(cpi!B:B,MATCH($L74,cpi!A:A))</f>
        <v>136.30000000000001</v>
      </c>
      <c r="BI74" s="23">
        <f t="shared" si="86"/>
        <v>161.11111111111114</v>
      </c>
      <c r="BJ74" s="23">
        <f t="shared" si="87"/>
        <v>320.84385519322234</v>
      </c>
      <c r="BK74" s="23">
        <f t="shared" si="88"/>
        <v>313.52753796685647</v>
      </c>
      <c r="BL74" s="23">
        <f t="shared" si="89"/>
        <v>318.64896002531259</v>
      </c>
      <c r="BM74" s="23">
        <f t="shared" si="90"/>
        <v>647.94280366066243</v>
      </c>
      <c r="BN74" s="23">
        <f t="shared" si="91"/>
        <v>262.12121212121212</v>
      </c>
      <c r="BO74">
        <f t="shared" si="92"/>
        <v>206.92098359508898</v>
      </c>
    </row>
    <row r="75" spans="2:67" x14ac:dyDescent="0.25">
      <c r="L75" s="1">
        <f t="shared" si="103"/>
        <v>45352</v>
      </c>
      <c r="M75" s="11">
        <f t="shared" si="68"/>
        <v>692194.93454119819</v>
      </c>
      <c r="N75" s="11">
        <f t="shared" si="69"/>
        <v>530800.74575393461</v>
      </c>
      <c r="O75" s="8">
        <f t="shared" si="93"/>
        <v>1.3040579540973021</v>
      </c>
      <c r="P75" s="8">
        <f t="shared" si="70"/>
        <v>0.93764351824797665</v>
      </c>
      <c r="Q75">
        <v>73</v>
      </c>
      <c r="R75">
        <f t="shared" si="71"/>
        <v>91</v>
      </c>
      <c r="S75" s="23"/>
      <c r="T75" s="23">
        <f>IF($B$10="3BR_H",
INDEX('3BR_H-processed'!$C:$D,MATCH($L75,'3BR_H-processed'!$B:$B,0),MATCH(Council_Area,'3BR_H-processed'!$C$1:$D$1,0)),
INDEX('2BR_F-processed'!$C:$D,MATCH($L75,'2BR_F-processed'!$B:$B,0),MATCH(Council_Area,'2BR_F-processed'!$C$1:$D$1,0)))</f>
        <v>530</v>
      </c>
      <c r="U75" s="23">
        <f t="shared" si="94"/>
        <v>530</v>
      </c>
      <c r="V75" s="23">
        <f t="shared" si="95"/>
        <v>6890</v>
      </c>
      <c r="W75" s="23">
        <f>$B$53/4*BH75/_xlfn.XLOOKUP(Q_end,cpi!A:A,cpi!B:B)</f>
        <v>190.0483759502419</v>
      </c>
      <c r="X75" s="23">
        <f t="shared" si="72"/>
        <v>7080.0483759502422</v>
      </c>
      <c r="Y75" s="23">
        <f t="shared" si="73"/>
        <v>470.84728765930049</v>
      </c>
      <c r="Z75" s="23">
        <f t="shared" si="96"/>
        <v>0</v>
      </c>
      <c r="AA75" s="23" cm="1">
        <f t="array" ref="AA75">(Y75+Z75)*eff_invest</f>
        <v>470.84728765930049</v>
      </c>
      <c r="AB75" s="23">
        <f>AA75*(_xlfn.XLOOKUP(Q_end,cpi!A:A,cpi!B:B)/BH75)</f>
        <v>495.50256381309663</v>
      </c>
      <c r="AC75" s="23" cm="1">
        <f t="array" ref="AC75">INDEX('msci-indices'!C:C,MATCH($L75,'msci-indices'!$B:$B)-2)</f>
        <v>2701.360248</v>
      </c>
      <c r="AD75" s="23" cm="1">
        <f t="array" ref="AD75">INDEX('msci-indices'!D:D,MATCH($L75,'msci-indices'!$B:$B)-2)</f>
        <v>2426.6837019999998</v>
      </c>
      <c r="AE75" s="23">
        <f t="shared" si="97"/>
        <v>643883.42097600084</v>
      </c>
      <c r="AF75" s="23" cm="1">
        <f t="array" ref="AF75">INDEX('msci-indices'!C:C,MATCH($L75,'msci-indices'!$B:$B)+1)</f>
        <v>2928.0916900000002</v>
      </c>
      <c r="AG75" s="23" cm="1">
        <f t="array" ref="AG75">INDEX('msci-indices'!D:D,MATCH($L75,'msci-indices'!$B:$B)+1)</f>
        <v>2563.417899</v>
      </c>
      <c r="AH75" s="23">
        <f t="shared" si="74"/>
        <v>402.42713811000056</v>
      </c>
      <c r="AI75" s="23">
        <f t="shared" si="75"/>
        <v>692194.93454119819</v>
      </c>
      <c r="AJ75" s="23">
        <f t="shared" si="98"/>
        <v>221689.06078927388</v>
      </c>
      <c r="AK75" s="23">
        <f t="shared" si="76"/>
        <v>470505.87375192432</v>
      </c>
      <c r="AL75" s="23">
        <f>AJ75*(_xlfn.XLOOKUP(Q_end,cpi!A:A,cpi!B:B)/BH75)</f>
        <v>233297.5061542395</v>
      </c>
      <c r="AM75" s="23" cm="1">
        <f t="array" ref="AM75">SUMPRODUCT($AA$3:AA75,_xlfn.SORTBY($BH$3:BH75,_xlfn.SEQUENCE(ROWS($BH$3:BH75)),-1)/$BH$3)</f>
        <v>322130.48854938976</v>
      </c>
      <c r="AN75" s="23">
        <f t="shared" si="99"/>
        <v>370064.44599180843</v>
      </c>
      <c r="AO75" s="23">
        <f t="shared" si="77"/>
        <v>0</v>
      </c>
      <c r="AP75" s="23">
        <f t="shared" si="100"/>
        <v>692194.93454119819</v>
      </c>
      <c r="AQ75" s="23"/>
      <c r="AR75" s="11">
        <f>IF($B$10="3BR_H",
INDEX('ns-combined'!$C:$D,MATCH($L75,'ns-combined'!$B:$B,0),MATCH(Council_Area,'ns-combined'!$C$1:$D$1,0))*1000,
INDEX('s-combined'!$C:$D,MATCH($L75,'s-combined'!$B:$B,0),MATCH(Council_Area,'s-combined'!$C$1:$D$1,0))*1000)</f>
        <v>845000</v>
      </c>
      <c r="AS75" s="23">
        <f t="shared" si="104"/>
        <v>60225</v>
      </c>
      <c r="AT75" s="11">
        <v>0</v>
      </c>
      <c r="AU75" s="23">
        <f t="shared" si="78"/>
        <v>16900</v>
      </c>
      <c r="AV75" s="23">
        <f t="shared" si="79"/>
        <v>2429.375</v>
      </c>
      <c r="AW75" s="23">
        <f>SUM($AV$3:AV75)</f>
        <v>125217.175</v>
      </c>
      <c r="AX75" s="23">
        <f t="shared" si="80"/>
        <v>642657.82499999995</v>
      </c>
      <c r="AY75" s="23">
        <f t="shared" si="81"/>
        <v>2411.5000000000005</v>
      </c>
      <c r="AZ75" s="25">
        <f t="shared" si="82"/>
        <v>1.1415384615384617E-2</v>
      </c>
      <c r="BA75" s="25">
        <f t="shared" si="83"/>
        <v>0.35000000000000009</v>
      </c>
      <c r="BB75" s="26">
        <f>IF(MortgageRate="Discounted",_xlfn.XLOOKUP(L75,'mortgage-rates'!$A:$A,'mortgage-rates'!$E:$E)/100,_xlfn.XLOOKUP(L75,'mortgage-rates'!$A:$A,'mortgage-rates'!$D:$D)/100)</f>
        <v>7.3099999999999998E-2</v>
      </c>
      <c r="BC75" s="11">
        <f t="shared" si="101"/>
        <v>111857.07924606532</v>
      </c>
      <c r="BD75" s="11">
        <f t="shared" si="84"/>
        <v>5139.3956636095418</v>
      </c>
      <c r="BE75" s="11">
        <f t="shared" si="102"/>
        <v>2044.1881232218436</v>
      </c>
      <c r="BF75" s="11">
        <f t="shared" si="105"/>
        <v>3095.2075403876979</v>
      </c>
      <c r="BG75" s="13">
        <f t="shared" si="85"/>
        <v>7550.8956636095427</v>
      </c>
      <c r="BH75" s="23">
        <f>INDEX(cpi!B:B,MATCH($L75,cpi!A:A))</f>
        <v>137.5</v>
      </c>
      <c r="BI75" s="23">
        <f t="shared" si="86"/>
        <v>162.52955082742318</v>
      </c>
      <c r="BJ75" s="23">
        <f t="shared" si="87"/>
        <v>357.853121032302</v>
      </c>
      <c r="BK75" s="23">
        <f t="shared" si="88"/>
        <v>340.36923194250375</v>
      </c>
      <c r="BL75" s="23">
        <f t="shared" si="89"/>
        <v>352.60795430536251</v>
      </c>
      <c r="BM75" s="23">
        <f t="shared" si="90"/>
        <v>717.02169652037958</v>
      </c>
      <c r="BN75" s="23">
        <f t="shared" si="91"/>
        <v>256.06060606060606</v>
      </c>
      <c r="BO75">
        <f t="shared" si="92"/>
        <v>199.81510371121757</v>
      </c>
    </row>
    <row r="76" spans="2:67" x14ac:dyDescent="0.25">
      <c r="B76" s="8"/>
      <c r="L76" s="1">
        <f t="shared" si="103"/>
        <v>45444</v>
      </c>
      <c r="M76" s="11">
        <f t="shared" si="68"/>
        <v>699830.89432383736</v>
      </c>
      <c r="N76" s="11">
        <f t="shared" si="69"/>
        <v>530641.57829432236</v>
      </c>
      <c r="O76" s="8">
        <f t="shared" si="93"/>
        <v>1.318839161781012</v>
      </c>
      <c r="P76" s="8">
        <f t="shared" si="70"/>
        <v>0.94175211189132413</v>
      </c>
      <c r="Q76">
        <v>74</v>
      </c>
      <c r="R76">
        <f t="shared" si="71"/>
        <v>91</v>
      </c>
      <c r="S76" s="23"/>
      <c r="T76" s="23">
        <f>IF($B$10="3BR_H",
INDEX('3BR_H-processed'!$C:$D,MATCH($L76,'3BR_H-processed'!$B:$B,0),MATCH(Council_Area,'3BR_H-processed'!$C$1:$D$1,0)),
INDEX('2BR_F-processed'!$C:$D,MATCH($L76,'2BR_F-processed'!$B:$B,0),MATCH(Council_Area,'2BR_F-processed'!$C$1:$D$1,0)))</f>
        <v>550</v>
      </c>
      <c r="U76" s="23">
        <f t="shared" si="94"/>
        <v>530</v>
      </c>
      <c r="V76" s="23">
        <f t="shared" si="95"/>
        <v>6890</v>
      </c>
      <c r="W76" s="23">
        <f>$B$53/4*BH76/_xlfn.XLOOKUP(Q_end,cpi!A:A,cpi!B:B)</f>
        <v>191.98341395991707</v>
      </c>
      <c r="X76" s="23">
        <f t="shared" si="72"/>
        <v>7081.983413959917</v>
      </c>
      <c r="Y76" s="23">
        <f t="shared" si="73"/>
        <v>438.0245844688252</v>
      </c>
      <c r="Z76" s="23">
        <f t="shared" si="96"/>
        <v>0</v>
      </c>
      <c r="AA76" s="23" cm="1">
        <f t="array" ref="AA76">(Y76+Z76)*eff_invest</f>
        <v>438.0245844688252</v>
      </c>
      <c r="AB76" s="23">
        <f>AA76*(_xlfn.XLOOKUP(Q_end,cpi!A:A,cpi!B:B)/BH76)</f>
        <v>456.31502788077034</v>
      </c>
      <c r="AC76" s="23" cm="1">
        <f t="array" ref="AC76">INDEX('msci-indices'!C:C,MATCH($L76,'msci-indices'!$B:$B)-2)</f>
        <v>2928.0916900000002</v>
      </c>
      <c r="AD76" s="23" cm="1">
        <f t="array" ref="AD76">INDEX('msci-indices'!D:D,MATCH($L76,'msci-indices'!$B:$B)-2)</f>
        <v>2563.417899</v>
      </c>
      <c r="AE76" s="23">
        <f t="shared" si="97"/>
        <v>692632.959125667</v>
      </c>
      <c r="AF76" s="23" cm="1">
        <f t="array" ref="AF76">INDEX('msci-indices'!C:C,MATCH($L76,'msci-indices'!$B:$B)+1)</f>
        <v>2988.3970690000001</v>
      </c>
      <c r="AG76" s="23" cm="1">
        <f t="array" ref="AG76">INDEX('msci-indices'!D:D,MATCH($L76,'msci-indices'!$B:$B)+1)</f>
        <v>2534.3685369999998</v>
      </c>
      <c r="AH76" s="23">
        <f t="shared" si="74"/>
        <v>432.89559945354188</v>
      </c>
      <c r="AI76" s="23">
        <f t="shared" si="75"/>
        <v>699830.89432383736</v>
      </c>
      <c r="AJ76" s="23">
        <f t="shared" si="98"/>
        <v>222127.08537374271</v>
      </c>
      <c r="AK76" s="23">
        <f t="shared" si="76"/>
        <v>477703.80895009462</v>
      </c>
      <c r="AL76" s="23">
        <f>AJ76*(_xlfn.XLOOKUP(Q_end,cpi!A:A,cpi!B:B)/BH76)</f>
        <v>231402.3704361452</v>
      </c>
      <c r="AM76" s="23" cm="1">
        <f t="array" ref="AM76">SUMPRODUCT($AA$3:AA76,_xlfn.SORTBY($BH$3:BH76,_xlfn.SEQUENCE(ROWS($BH$3:BH76)),-1)/$BH$3)</f>
        <v>325447.69891172415</v>
      </c>
      <c r="AN76" s="23">
        <f t="shared" si="99"/>
        <v>374383.19541211321</v>
      </c>
      <c r="AO76" s="23">
        <f t="shared" si="77"/>
        <v>0</v>
      </c>
      <c r="AP76" s="23">
        <f t="shared" si="100"/>
        <v>699830.89432383736</v>
      </c>
      <c r="AQ76" s="23"/>
      <c r="AR76" s="11">
        <f>IF($B$10="3BR_H",
INDEX('ns-combined'!$C:$D,MATCH($L76,'ns-combined'!$B:$B,0),MATCH(Council_Area,'ns-combined'!$C$1:$D$1,0))*1000,
INDEX('s-combined'!$C:$D,MATCH($L76,'s-combined'!$B:$B,0),MATCH(Council_Area,'s-combined'!$C$1:$D$1,0))*1000)</f>
        <v>845000</v>
      </c>
      <c r="AS76" s="23">
        <f t="shared" si="104"/>
        <v>61050</v>
      </c>
      <c r="AT76" s="11">
        <v>0</v>
      </c>
      <c r="AU76" s="23">
        <f t="shared" si="78"/>
        <v>16900</v>
      </c>
      <c r="AV76" s="23">
        <f t="shared" si="79"/>
        <v>2429.375</v>
      </c>
      <c r="AW76" s="23">
        <f>SUM($AV$3:AV76)</f>
        <v>127646.55</v>
      </c>
      <c r="AX76" s="23">
        <f t="shared" si="80"/>
        <v>639403.44999999995</v>
      </c>
      <c r="AY76" s="23">
        <f t="shared" si="81"/>
        <v>2411.5000000000005</v>
      </c>
      <c r="AZ76" s="25">
        <f t="shared" si="82"/>
        <v>1.1415384615384617E-2</v>
      </c>
      <c r="BA76" s="25">
        <f t="shared" si="83"/>
        <v>0.35000000000000009</v>
      </c>
      <c r="BB76" s="26">
        <f>IF(MortgageRate="Discounted",_xlfn.XLOOKUP(L76,'mortgage-rates'!$A:$A,'mortgage-rates'!$E:$E)/100,_xlfn.XLOOKUP(L76,'mortgage-rates'!$A:$A,'mortgage-rates'!$D:$D)/100)</f>
        <v>7.1199999999999999E-2</v>
      </c>
      <c r="BC76" s="11">
        <f t="shared" si="101"/>
        <v>108761.87170567762</v>
      </c>
      <c r="BD76" s="11">
        <f t="shared" si="84"/>
        <v>5108.5079984287422</v>
      </c>
      <c r="BE76" s="11">
        <f t="shared" si="102"/>
        <v>1935.9613163610616</v>
      </c>
      <c r="BF76" s="11">
        <f t="shared" si="105"/>
        <v>3172.5466820676806</v>
      </c>
      <c r="BG76" s="13">
        <f t="shared" si="85"/>
        <v>7520.0079984287422</v>
      </c>
      <c r="BH76" s="23">
        <f>INDEX(cpi!B:B,MATCH($L76,cpi!A:A))</f>
        <v>138.9</v>
      </c>
      <c r="BI76" s="23">
        <f t="shared" si="86"/>
        <v>164.18439716312056</v>
      </c>
      <c r="BJ76" s="23">
        <f t="shared" si="87"/>
        <v>387.88856492244037</v>
      </c>
      <c r="BK76" s="23">
        <f t="shared" si="88"/>
        <v>359.54771555567845</v>
      </c>
      <c r="BL76" s="23">
        <f t="shared" si="89"/>
        <v>379.38631011241176</v>
      </c>
      <c r="BM76" s="23">
        <f t="shared" si="90"/>
        <v>771.3086612253793</v>
      </c>
      <c r="BN76" s="23">
        <f t="shared" si="91"/>
        <v>256.06060606060606</v>
      </c>
      <c r="BO76">
        <f t="shared" si="92"/>
        <v>198.80325377670508</v>
      </c>
    </row>
    <row r="77" spans="2:67" x14ac:dyDescent="0.25">
      <c r="B77" s="8"/>
      <c r="L77" s="1">
        <f t="shared" si="103"/>
        <v>45536</v>
      </c>
      <c r="M77" s="11">
        <f t="shared" si="68"/>
        <v>748505.73036533117</v>
      </c>
      <c r="N77" s="11">
        <f t="shared" si="69"/>
        <v>511017.24997639004</v>
      </c>
      <c r="O77" s="8">
        <f t="shared" si="93"/>
        <v>1.46473671955284</v>
      </c>
      <c r="P77" s="8">
        <f t="shared" si="70"/>
        <v>0.94950192727287019</v>
      </c>
      <c r="Q77">
        <v>75</v>
      </c>
      <c r="R77">
        <f t="shared" si="71"/>
        <v>92</v>
      </c>
      <c r="S77" s="23"/>
      <c r="T77" s="23">
        <f>IF($B$10="3BR_H",
INDEX('3BR_H-processed'!$C:$D,MATCH($L77,'3BR_H-processed'!$B:$B,0),MATCH(Council_Area,'3BR_H-processed'!$C$1:$D$1,0)),
INDEX('2BR_F-processed'!$C:$D,MATCH($L77,'2BR_F-processed'!$B:$B,0),MATCH(Council_Area,'2BR_F-processed'!$C$1:$D$1,0)))</f>
        <v>550</v>
      </c>
      <c r="U77" s="23">
        <f t="shared" si="94"/>
        <v>530</v>
      </c>
      <c r="V77" s="23">
        <f t="shared" si="95"/>
        <v>6965.7142857142853</v>
      </c>
      <c r="W77" s="23">
        <f>$B$53/4*BH77/_xlfn.XLOOKUP(Q_end,cpi!A:A,cpi!B:B)</f>
        <v>192.25984796129924</v>
      </c>
      <c r="X77" s="23">
        <f t="shared" si="72"/>
        <v>7157.9741336755842</v>
      </c>
      <c r="Y77" s="23">
        <f t="shared" si="73"/>
        <v>380.6879038354864</v>
      </c>
      <c r="Z77" s="23">
        <f t="shared" si="96"/>
        <v>0</v>
      </c>
      <c r="AA77" s="23" cm="1">
        <f t="array" ref="AA77">(Y77+Z77)*eff_invest</f>
        <v>380.6879038354864</v>
      </c>
      <c r="AB77" s="23">
        <f>AA77*(_xlfn.XLOOKUP(Q_end,cpi!A:A,cpi!B:B)/BH77)</f>
        <v>396.01394453626796</v>
      </c>
      <c r="AC77" s="23" cm="1">
        <f t="array" ref="AC77">INDEX('msci-indices'!C:C,MATCH($L77,'msci-indices'!$B:$B)-2)</f>
        <v>2988.3970690000001</v>
      </c>
      <c r="AD77" s="23" cm="1">
        <f t="array" ref="AD77">INDEX('msci-indices'!D:D,MATCH($L77,'msci-indices'!$B:$B)-2)</f>
        <v>2534.3685369999998</v>
      </c>
      <c r="AE77" s="23">
        <f t="shared" si="97"/>
        <v>700211.5822276728</v>
      </c>
      <c r="AF77" s="23" cm="1">
        <f t="array" ref="AF77">INDEX('msci-indices'!C:C,MATCH($L77,'msci-indices'!$B:$B)+1)</f>
        <v>3187.708345</v>
      </c>
      <c r="AG77" s="23" cm="1">
        <f t="array" ref="AG77">INDEX('msci-indices'!D:D,MATCH($L77,'msci-indices'!$B:$B)+1)</f>
        <v>2727.9035779999999</v>
      </c>
      <c r="AH77" s="23">
        <f t="shared" si="74"/>
        <v>437.6322388922955</v>
      </c>
      <c r="AI77" s="23">
        <f t="shared" si="75"/>
        <v>748505.73036533117</v>
      </c>
      <c r="AJ77" s="23">
        <f t="shared" si="98"/>
        <v>222507.77327757821</v>
      </c>
      <c r="AK77" s="23">
        <f t="shared" si="76"/>
        <v>525997.95708775299</v>
      </c>
      <c r="AL77" s="23">
        <f>AJ77*(_xlfn.XLOOKUP(Q_end,cpi!A:A,cpi!B:B)/BH77)</f>
        <v>231465.67069206011</v>
      </c>
      <c r="AM77" s="23" cm="1">
        <f t="array" ref="AM77">SUMPRODUCT($AA$3:AA77,_xlfn.SORTBY($BH$3:BH77,_xlfn.SEQUENCE(ROWS($BH$3:BH77)),-1)/$BH$3)</f>
        <v>327457.11809689534</v>
      </c>
      <c r="AN77" s="23">
        <f t="shared" si="99"/>
        <v>421048.61226843583</v>
      </c>
      <c r="AO77" s="23">
        <f t="shared" si="77"/>
        <v>0</v>
      </c>
      <c r="AP77" s="23">
        <f t="shared" si="100"/>
        <v>748505.73036533117</v>
      </c>
      <c r="AQ77" s="23"/>
      <c r="AR77" s="11">
        <f>IF($B$10="3BR_H",
INDEX('ns-combined'!$C:$D,MATCH($L77,'ns-combined'!$B:$B,0),MATCH(Council_Area,'ns-combined'!$C$1:$D$1,0))*1000,
INDEX('s-combined'!$C:$D,MATCH($L77,'s-combined'!$B:$B,0),MATCH(Council_Area,'s-combined'!$C$1:$D$1,0))*1000)</f>
        <v>825000</v>
      </c>
      <c r="AS77" s="23">
        <f t="shared" si="104"/>
        <v>61875</v>
      </c>
      <c r="AT77" s="11">
        <v>0</v>
      </c>
      <c r="AU77" s="23">
        <f t="shared" si="78"/>
        <v>16500</v>
      </c>
      <c r="AV77" s="23">
        <f t="shared" si="79"/>
        <v>2371.875</v>
      </c>
      <c r="AW77" s="23">
        <f>SUM($AV$3:AV77)</f>
        <v>130018.425</v>
      </c>
      <c r="AX77" s="23">
        <f t="shared" si="80"/>
        <v>616606.57499999995</v>
      </c>
      <c r="AY77" s="23">
        <f t="shared" si="81"/>
        <v>2438</v>
      </c>
      <c r="AZ77" s="25">
        <f t="shared" si="82"/>
        <v>1.1820606060606061E-2</v>
      </c>
      <c r="BA77" s="25">
        <f t="shared" si="83"/>
        <v>0.35000000000000003</v>
      </c>
      <c r="BB77" s="26">
        <f>IF(MortgageRate="Discounted",_xlfn.XLOOKUP(L77,'mortgage-rates'!$A:$A,'mortgage-rates'!$E:$E)/100,_xlfn.XLOOKUP(L77,'mortgage-rates'!$A:$A,'mortgage-rates'!$D:$D)/100)</f>
        <v>7.0699999999999999E-2</v>
      </c>
      <c r="BC77" s="11">
        <f t="shared" si="101"/>
        <v>105589.32502360994</v>
      </c>
      <c r="BD77" s="11">
        <f t="shared" si="84"/>
        <v>5100.6620375110706</v>
      </c>
      <c r="BE77" s="11">
        <f t="shared" si="102"/>
        <v>1866.2913197923058</v>
      </c>
      <c r="BF77" s="11">
        <f t="shared" si="105"/>
        <v>3234.3707177187648</v>
      </c>
      <c r="BG77" s="13">
        <f t="shared" si="85"/>
        <v>7538.6620375110706</v>
      </c>
      <c r="BH77" s="23">
        <f>INDEX(cpi!B:B,MATCH($L77,cpi!A:A))</f>
        <v>139.1</v>
      </c>
      <c r="BI77" s="23">
        <f t="shared" si="86"/>
        <v>164.42080378250591</v>
      </c>
      <c r="BJ77" s="23">
        <f t="shared" si="87"/>
        <v>395.87730618942362</v>
      </c>
      <c r="BK77" s="23">
        <f t="shared" si="88"/>
        <v>355.47322120595709</v>
      </c>
      <c r="BL77" s="23">
        <f t="shared" si="89"/>
        <v>383.75608069438363</v>
      </c>
      <c r="BM77" s="23">
        <f t="shared" si="90"/>
        <v>779.74813492024737</v>
      </c>
      <c r="BN77" s="23">
        <f t="shared" si="91"/>
        <v>250</v>
      </c>
      <c r="BO77">
        <f t="shared" si="92"/>
        <v>191.71525178681776</v>
      </c>
    </row>
    <row r="78" spans="2:67" x14ac:dyDescent="0.25">
      <c r="B78" s="8"/>
      <c r="L78" s="1">
        <f t="shared" si="103"/>
        <v>45627</v>
      </c>
      <c r="M78" s="11">
        <f t="shared" si="68"/>
        <v>743773.80213712214</v>
      </c>
      <c r="N78" s="11">
        <f t="shared" si="69"/>
        <v>535482.87069410877</v>
      </c>
      <c r="O78" s="8">
        <f t="shared" si="93"/>
        <v>1.3889777672496237</v>
      </c>
      <c r="P78" s="8">
        <f t="shared" si="70"/>
        <v>0.94957526495534128</v>
      </c>
      <c r="Q78">
        <v>76</v>
      </c>
      <c r="R78">
        <f t="shared" si="71"/>
        <v>92</v>
      </c>
      <c r="S78" s="23"/>
      <c r="T78" s="23">
        <f>IF($B$10="3BR_H",
INDEX('3BR_H-processed'!$C:$D,MATCH($L78,'3BR_H-processed'!$B:$B,0),MATCH(Council_Area,'3BR_H-processed'!$C$1:$D$1,0)),
INDEX('2BR_F-processed'!$C:$D,MATCH($L78,'2BR_F-processed'!$B:$B,0),MATCH(Council_Area,'2BR_F-processed'!$C$1:$D$1,0)))</f>
        <v>550</v>
      </c>
      <c r="U78" s="23">
        <f t="shared" si="94"/>
        <v>530</v>
      </c>
      <c r="V78" s="23">
        <f t="shared" si="95"/>
        <v>6965.7142857142853</v>
      </c>
      <c r="W78" s="23">
        <f>$B$53/4*BH78/_xlfn.XLOOKUP(Q_end,cpi!A:A,cpi!B:B)</f>
        <v>192.81271596406359</v>
      </c>
      <c r="X78" s="23">
        <f t="shared" si="72"/>
        <v>7158.5270016783488</v>
      </c>
      <c r="Y78" s="23">
        <f t="shared" si="73"/>
        <v>380.13503583272268</v>
      </c>
      <c r="Z78" s="23">
        <f t="shared" si="96"/>
        <v>0</v>
      </c>
      <c r="AA78" s="23" cm="1">
        <f t="array" ref="AA78">(Y78+Z78)*eff_invest</f>
        <v>380.13503583272268</v>
      </c>
      <c r="AB78" s="23">
        <f>AA78*(_xlfn.XLOOKUP(Q_end,cpi!A:A,cpi!B:B)/BH78)</f>
        <v>394.3049439784586</v>
      </c>
      <c r="AC78" s="23" cm="1">
        <f t="array" ref="AC78">INDEX('msci-indices'!C:C,MATCH($L78,'msci-indices'!$B:$B)-2)</f>
        <v>3187.708345</v>
      </c>
      <c r="AD78" s="23" cm="1">
        <f t="array" ref="AD78">INDEX('msci-indices'!D:D,MATCH($L78,'msci-indices'!$B:$B)-2)</f>
        <v>2727.9035779999999</v>
      </c>
      <c r="AE78" s="23">
        <f t="shared" si="97"/>
        <v>748885.86540116393</v>
      </c>
      <c r="AF78" s="23" cm="1">
        <f t="array" ref="AF78">INDEX('msci-indices'!C:C,MATCH($L78,'msci-indices'!$B:$B)+1)</f>
        <v>3174.5512990000002</v>
      </c>
      <c r="AG78" s="23" cm="1">
        <f t="array" ref="AG78">INDEX('msci-indices'!D:D,MATCH($L78,'msci-indices'!$B:$B)+1)</f>
        <v>2697.7873119999999</v>
      </c>
      <c r="AH78" s="23">
        <f t="shared" si="74"/>
        <v>468.05366587572746</v>
      </c>
      <c r="AI78" s="23">
        <f t="shared" si="75"/>
        <v>743773.80213712214</v>
      </c>
      <c r="AJ78" s="23">
        <f t="shared" si="98"/>
        <v>222887.90831341094</v>
      </c>
      <c r="AK78" s="23">
        <f t="shared" si="76"/>
        <v>520885.8938237112</v>
      </c>
      <c r="AL78" s="23">
        <f>AJ78*(_xlfn.XLOOKUP(Q_end,cpi!A:A,cpi!B:B)/BH78)</f>
        <v>231196.27478817609</v>
      </c>
      <c r="AM78" s="23" cm="1">
        <f t="array" ref="AM78">SUMPRODUCT($AA$3:AA78,_xlfn.SORTBY($BH$3:BH78,_xlfn.SEQUENCE(ROWS($BH$3:BH78)),-1)/$BH$3)</f>
        <v>329645.83565804485</v>
      </c>
      <c r="AN78" s="23">
        <f t="shared" si="99"/>
        <v>414127.96647907729</v>
      </c>
      <c r="AO78" s="23">
        <f t="shared" si="77"/>
        <v>0</v>
      </c>
      <c r="AP78" s="23">
        <f t="shared" si="100"/>
        <v>743773.80213712214</v>
      </c>
      <c r="AQ78" s="23"/>
      <c r="AR78" s="11">
        <f>IF($B$10="3BR_H",
INDEX('ns-combined'!$C:$D,MATCH($L78,'ns-combined'!$B:$B,0),MATCH(Council_Area,'ns-combined'!$C$1:$D$1,0))*1000,
INDEX('s-combined'!$C:$D,MATCH($L78,'s-combined'!$B:$B,0),MATCH(Council_Area,'s-combined'!$C$1:$D$1,0))*1000)</f>
        <v>850000</v>
      </c>
      <c r="AS78" s="23">
        <f t="shared" si="104"/>
        <v>62700</v>
      </c>
      <c r="AT78" s="11">
        <v>0</v>
      </c>
      <c r="AU78" s="23">
        <f t="shared" si="78"/>
        <v>17000</v>
      </c>
      <c r="AV78" s="23">
        <f t="shared" si="79"/>
        <v>2443.75</v>
      </c>
      <c r="AW78" s="23">
        <f>SUM($AV$3:AV78)</f>
        <v>132462.17499999999</v>
      </c>
      <c r="AX78" s="23">
        <f t="shared" si="80"/>
        <v>637837.82499999995</v>
      </c>
      <c r="AY78" s="23">
        <f t="shared" si="81"/>
        <v>2438</v>
      </c>
      <c r="AZ78" s="25">
        <f t="shared" si="82"/>
        <v>1.1472941176470589E-2</v>
      </c>
      <c r="BA78" s="25">
        <f t="shared" si="83"/>
        <v>0.35000000000000003</v>
      </c>
      <c r="BB78" s="26">
        <f>IF(MortgageRate="Discounted",_xlfn.XLOOKUP(L78,'mortgage-rates'!$A:$A,'mortgage-rates'!$E:$E)/100,_xlfn.XLOOKUP(L78,'mortgage-rates'!$A:$A,'mortgage-rates'!$D:$D)/100)</f>
        <v>7.0699999999999999E-2</v>
      </c>
      <c r="BC78" s="11">
        <f t="shared" si="101"/>
        <v>102354.95430589118</v>
      </c>
      <c r="BD78" s="11">
        <f t="shared" si="84"/>
        <v>5100.6620375110715</v>
      </c>
      <c r="BE78" s="11">
        <f t="shared" si="102"/>
        <v>1809.1238173566267</v>
      </c>
      <c r="BF78" s="11">
        <f t="shared" si="105"/>
        <v>3291.5382201544448</v>
      </c>
      <c r="BG78" s="13">
        <f t="shared" si="85"/>
        <v>7538.6620375110715</v>
      </c>
      <c r="BH78" s="23">
        <f>INDEX(cpi!B:B,MATCH($L78,cpi!A:A))</f>
        <v>139.5</v>
      </c>
      <c r="BI78" s="23">
        <f t="shared" si="86"/>
        <v>164.89361702127661</v>
      </c>
      <c r="BJ78" s="23">
        <f t="shared" si="87"/>
        <v>422.28036080842037</v>
      </c>
      <c r="BK78" s="23">
        <f t="shared" si="88"/>
        <v>382.61865149208802</v>
      </c>
      <c r="BL78" s="23">
        <f t="shared" si="89"/>
        <v>410.38184801352065</v>
      </c>
      <c r="BM78" s="23">
        <f t="shared" si="90"/>
        <v>833.95129648801651</v>
      </c>
      <c r="BN78" s="23">
        <f t="shared" si="91"/>
        <v>257.57575757575756</v>
      </c>
      <c r="BO78">
        <f t="shared" si="92"/>
        <v>198.31646981550787</v>
      </c>
    </row>
    <row r="79" spans="2:67" x14ac:dyDescent="0.25">
      <c r="L79" s="1">
        <f t="shared" si="103"/>
        <v>45717</v>
      </c>
      <c r="M79" s="28">
        <f t="shared" si="68"/>
        <v>726762.61636158486</v>
      </c>
      <c r="N79" s="28">
        <f t="shared" si="69"/>
        <v>525734.40891426324</v>
      </c>
      <c r="O79" s="8">
        <f t="shared" si="93"/>
        <v>1.3823759754711153</v>
      </c>
      <c r="P79" s="8">
        <f t="shared" si="70"/>
        <v>0.96376761717197457</v>
      </c>
      <c r="Q79">
        <v>77</v>
      </c>
      <c r="R79">
        <f t="shared" si="71"/>
        <v>90</v>
      </c>
      <c r="S79" s="66"/>
      <c r="T79" s="66">
        <f>IF($B$10="3BR_H",
INDEX('3BR_H-processed'!$C:$D,MATCH($L79,'3BR_H-processed'!$B:$B,0),MATCH(Council_Area,'3BR_H-processed'!$C$1:$D$1,0)),
INDEX('2BR_F-processed'!$C:$D,MATCH($L79,'2BR_F-processed'!$B:$B,0),MATCH(Council_Area,'2BR_F-processed'!$C$1:$D$1,0)))</f>
        <v>550</v>
      </c>
      <c r="U79" s="66">
        <f t="shared" si="94"/>
        <v>550</v>
      </c>
      <c r="V79" s="66">
        <f t="shared" si="95"/>
        <v>7071.4285714285716</v>
      </c>
      <c r="W79" s="66">
        <f>$B$53/4*BH79/_xlfn.XLOOKUP(Q_end,cpi!A:A,cpi!B:B)</f>
        <v>194.60953697304774</v>
      </c>
      <c r="X79" s="66">
        <f t="shared" si="72"/>
        <v>7266.038108401619</v>
      </c>
      <c r="Y79" s="66">
        <f t="shared" si="73"/>
        <v>273.16322907709036</v>
      </c>
      <c r="Z79" s="66">
        <f t="shared" si="96"/>
        <v>0</v>
      </c>
      <c r="AA79" s="66" cm="1">
        <f t="array" ref="AA79">(Y79+Z79)*eff_invest</f>
        <v>273.16322907709036</v>
      </c>
      <c r="AB79" s="66">
        <f>AA79*(_xlfn.XLOOKUP(Q_end,cpi!A:A,cpi!B:B)/BH79)</f>
        <v>280.72954010976542</v>
      </c>
      <c r="AC79" s="66" cm="1">
        <f t="array" ref="AC79">INDEX('msci-indices'!C:C,MATCH($L79,'msci-indices'!$B:$B)-2)</f>
        <v>3174.5512990000002</v>
      </c>
      <c r="AD79" s="66" cm="1">
        <f t="array" ref="AD79">INDEX('msci-indices'!D:D,MATCH($L79,'msci-indices'!$B:$B)-2)</f>
        <v>2697.7873119999999</v>
      </c>
      <c r="AE79" s="66">
        <f t="shared" si="97"/>
        <v>744046.96536619926</v>
      </c>
      <c r="AF79" s="66" cm="1">
        <f t="array" ref="AF79">INDEX('msci-indices'!C:C,MATCH($L79,'msci-indices'!$B:$B)+1)</f>
        <v>3111.4241780000002</v>
      </c>
      <c r="AG79" s="66" cm="1">
        <f t="array" ref="AG79">INDEX('msci-indices'!D:D,MATCH($L79,'msci-indices'!$B:$B)+1)</f>
        <v>2619.6825220000001</v>
      </c>
      <c r="AH79" s="66">
        <f t="shared" si="74"/>
        <v>465.02935335387457</v>
      </c>
      <c r="AI79" s="66">
        <f t="shared" si="75"/>
        <v>726762.61636158486</v>
      </c>
      <c r="AJ79" s="66">
        <f t="shared" si="98"/>
        <v>223161.07154248803</v>
      </c>
      <c r="AK79" s="66">
        <f t="shared" si="76"/>
        <v>503601.5448190968</v>
      </c>
      <c r="AL79" s="66">
        <f>AJ79*(_xlfn.XLOOKUP(Q_end,cpi!A:A,cpi!B:B)/BH79)</f>
        <v>229342.37963208818</v>
      </c>
      <c r="AM79" s="66" cm="1">
        <f t="array" ref="AM79">SUMPRODUCT($AA$3:AA79,_xlfn.SORTBY($BH$3:BH79,_xlfn.SEQUENCE(ROWS($BH$3:BH79)),-1)/$BH$3)</f>
        <v>332644.55670448462</v>
      </c>
      <c r="AN79" s="66">
        <f t="shared" si="99"/>
        <v>394118.05965710024</v>
      </c>
      <c r="AO79" s="66">
        <f t="shared" si="77"/>
        <v>0</v>
      </c>
      <c r="AP79" s="66">
        <f t="shared" si="100"/>
        <v>726762.61636158486</v>
      </c>
      <c r="AQ79" s="66"/>
      <c r="AR79" s="28">
        <f>IF($B$10="3BR_H",
INDEX('ns-combined'!$C:$D,MATCH($L79,'ns-combined'!$B:$B,0),MATCH(Council_Area,'ns-combined'!$C$1:$D$1,0))*1000,
INDEX('s-combined'!$C:$D,MATCH($L79,'s-combined'!$B:$B,0),MATCH(Council_Area,'s-combined'!$C$1:$D$1,0))*1000)</f>
        <v>840000</v>
      </c>
      <c r="AS79" s="66">
        <f t="shared" si="104"/>
        <v>63525</v>
      </c>
      <c r="AT79" s="28">
        <v>0</v>
      </c>
      <c r="AU79" s="66">
        <f t="shared" si="78"/>
        <v>16800</v>
      </c>
      <c r="AV79" s="66">
        <f t="shared" si="79"/>
        <v>2415</v>
      </c>
      <c r="AW79" s="66">
        <f>SUM($AV$3:AV79)</f>
        <v>134877.17499999999</v>
      </c>
      <c r="AX79" s="66">
        <f t="shared" si="80"/>
        <v>624797.82499999995</v>
      </c>
      <c r="AY79" s="66">
        <f t="shared" si="81"/>
        <v>2475.0000000000005</v>
      </c>
      <c r="AZ79" s="67">
        <f t="shared" si="82"/>
        <v>1.1785714285714288E-2</v>
      </c>
      <c r="BA79" s="67">
        <f t="shared" si="83"/>
        <v>0.35000000000000003</v>
      </c>
      <c r="BB79" s="68">
        <f>IF(MortgageRate="Discounted",_xlfn.XLOOKUP(L79,'mortgage-rates'!$A:$A,'mortgage-rates'!$E:$E)/100,_xlfn.XLOOKUP(L79,'mortgage-rates'!$A:$A,'mortgage-rates'!$D:$D)/100)</f>
        <v>6.8199999999999997E-2</v>
      </c>
      <c r="BC79" s="28">
        <f t="shared" si="101"/>
        <v>99063.416085736739</v>
      </c>
      <c r="BD79" s="28">
        <f t="shared" si="84"/>
        <v>5064.2013374787093</v>
      </c>
      <c r="BE79" s="28">
        <f t="shared" si="102"/>
        <v>1689.0312442618113</v>
      </c>
      <c r="BF79" s="28">
        <f t="shared" si="105"/>
        <v>3375.1700932168978</v>
      </c>
      <c r="BG79" s="13">
        <f t="shared" si="85"/>
        <v>7539.2013374787093</v>
      </c>
      <c r="BH79" s="66">
        <f>INDEX(cpi!B:B,MATCH($L79,cpi!A:A))</f>
        <v>140.80000000000001</v>
      </c>
      <c r="BI79" s="66">
        <f t="shared" si="86"/>
        <v>166.43026004728137</v>
      </c>
      <c r="BJ79" s="66">
        <f t="shared" si="87"/>
        <v>420.53742778860141</v>
      </c>
      <c r="BK79" s="66">
        <f t="shared" si="88"/>
        <v>378.39451205481896</v>
      </c>
      <c r="BL79" s="66">
        <f t="shared" si="89"/>
        <v>407.89455306846668</v>
      </c>
      <c r="BM79" s="66">
        <f t="shared" si="90"/>
        <v>828.56274912162576</v>
      </c>
      <c r="BN79" s="66">
        <f t="shared" si="91"/>
        <v>254.54545454545453</v>
      </c>
      <c r="BO79">
        <f t="shared" si="92"/>
        <v>194.26207437981193</v>
      </c>
    </row>
    <row r="80" spans="2:67" x14ac:dyDescent="0.25">
      <c r="B80" s="8"/>
      <c r="L80" s="1">
        <f t="shared" si="103"/>
        <v>45809</v>
      </c>
      <c r="M80" s="11">
        <f t="shared" si="68"/>
        <v>805337.22876200126</v>
      </c>
      <c r="N80" s="11">
        <f t="shared" si="69"/>
        <v>530755.20400748006</v>
      </c>
      <c r="O80" s="8">
        <f t="shared" si="93"/>
        <v>1.517342124356545</v>
      </c>
      <c r="P80" s="8">
        <f t="shared" si="70"/>
        <v>0.98023344016927527</v>
      </c>
      <c r="Q80">
        <v>78</v>
      </c>
      <c r="R80">
        <f t="shared" si="71"/>
        <v>91</v>
      </c>
      <c r="S80" s="23"/>
      <c r="T80" s="23">
        <f>IF($B$10="3BR_H",
INDEX('3BR_H-processed'!$C:$D,MATCH($L80,'3BR_H-processed'!$B:$B,0),MATCH(Council_Area,'3BR_H-processed'!$C$1:$D$1,0)),
INDEX('2BR_F-processed'!$C:$D,MATCH($L80,'2BR_F-processed'!$B:$B,0),MATCH(Council_Area,'2BR_F-processed'!$C$1:$D$1,0)))</f>
        <v>550</v>
      </c>
      <c r="U80" s="23">
        <f t="shared" si="94"/>
        <v>550</v>
      </c>
      <c r="V80" s="23">
        <f t="shared" si="95"/>
        <v>7150</v>
      </c>
      <c r="W80" s="23">
        <f>$B$53/4*BH80/_xlfn.XLOOKUP(Q_end,cpi!A:A,cpi!B:B)</f>
        <v>195.99170697995856</v>
      </c>
      <c r="X80" s="23">
        <f t="shared" si="72"/>
        <v>7345.9917069799585</v>
      </c>
      <c r="Y80" s="23">
        <f t="shared" si="73"/>
        <v>148.13306569805627</v>
      </c>
      <c r="Z80" s="23">
        <f t="shared" si="96"/>
        <v>0</v>
      </c>
      <c r="AA80" s="23" cm="1">
        <f t="array" ref="AA80">(Y80+Z80)*eff_invest</f>
        <v>148.13306569805627</v>
      </c>
      <c r="AB80" s="23">
        <f>AA80*(_xlfn.XLOOKUP(Q_end,cpi!A:A,cpi!B:B)/BH80)</f>
        <v>151.16258537735359</v>
      </c>
      <c r="AC80" s="23" cm="1">
        <f t="array" ref="AC80">INDEX('msci-indices'!C:C,MATCH($L80,'msci-indices'!$B:$B)-2)</f>
        <v>3111.4241780000002</v>
      </c>
      <c r="AD80" s="23" cm="1">
        <f t="array" ref="AD80">INDEX('msci-indices'!D:D,MATCH($L80,'msci-indices'!$B:$B)-2)</f>
        <v>2619.6825220000001</v>
      </c>
      <c r="AE80" s="23">
        <f t="shared" si="97"/>
        <v>726910.74942728295</v>
      </c>
      <c r="AF80" s="23" cm="1">
        <f t="array" ref="AF80">INDEX('msci-indices'!C:C,MATCH($L80,'msci-indices'!$B:$B)+1)</f>
        <v>3468.7668789999998</v>
      </c>
      <c r="AG80" s="23" cm="1">
        <f t="array" ref="AG80">INDEX('msci-indices'!D:D,MATCH($L80,'msci-indices'!$B:$B)+1)</f>
        <v>2865.243618</v>
      </c>
      <c r="AH80" s="23">
        <f t="shared" si="74"/>
        <v>454.31921839205188</v>
      </c>
      <c r="AI80" s="23">
        <f t="shared" si="75"/>
        <v>805337.22876200126</v>
      </c>
      <c r="AJ80" s="23">
        <f t="shared" si="98"/>
        <v>223309.20460818609</v>
      </c>
      <c r="AK80" s="23">
        <f t="shared" si="76"/>
        <v>582028.02415381512</v>
      </c>
      <c r="AL80" s="23">
        <f>AJ80*(_xlfn.XLOOKUP(Q_end,cpi!A:A,cpi!B:B)/BH80)</f>
        <v>227876.17705785981</v>
      </c>
      <c r="AM80" s="23" cm="1">
        <f t="array" ref="AM80">SUMPRODUCT($AA$3:AA80,_xlfn.SORTBY($BH$3:BH80,_xlfn.SEQUENCE(ROWS($BH$3:BH80)),-1)/$BH$3)</f>
        <v>335194.20181229227</v>
      </c>
      <c r="AN80" s="23">
        <f t="shared" si="99"/>
        <v>470143.02694970899</v>
      </c>
      <c r="AO80" s="23">
        <f t="shared" si="77"/>
        <v>0</v>
      </c>
      <c r="AP80" s="23">
        <f t="shared" si="100"/>
        <v>805337.22876200126</v>
      </c>
      <c r="AQ80" s="23"/>
      <c r="AR80" s="11">
        <f>IF($B$10="3BR_H",
INDEX('ns-combined'!$C:$D,MATCH($L80,'ns-combined'!$B:$B,0),MATCH(Council_Area,'ns-combined'!$C$1:$D$1,0))*1000,
INDEX('s-combined'!$C:$D,MATCH($L80,'s-combined'!$B:$B,0),MATCH(Council_Area,'s-combined'!$C$1:$D$1,0))*1000)</f>
        <v>845000</v>
      </c>
      <c r="AS80" s="23">
        <f t="shared" si="104"/>
        <v>64350</v>
      </c>
      <c r="AT80" s="11">
        <v>0</v>
      </c>
      <c r="AU80" s="23">
        <f t="shared" si="78"/>
        <v>16900</v>
      </c>
      <c r="AV80" s="23">
        <f t="shared" si="79"/>
        <v>2429.375</v>
      </c>
      <c r="AW80" s="23">
        <f>SUM($AV$3:AV80)</f>
        <v>137306.54999999999</v>
      </c>
      <c r="AX80" s="23">
        <f t="shared" si="80"/>
        <v>626443.44999999995</v>
      </c>
      <c r="AY80" s="23">
        <f t="shared" si="81"/>
        <v>2502.5000000000005</v>
      </c>
      <c r="AZ80" s="25">
        <f t="shared" si="82"/>
        <v>1.1846153846153848E-2</v>
      </c>
      <c r="BA80" s="25">
        <f t="shared" si="83"/>
        <v>0.35000000000000009</v>
      </c>
      <c r="BB80" s="26">
        <f>IF(MortgageRate="Discounted",_xlfn.XLOOKUP(L80,'mortgage-rates'!$A:$A,'mortgage-rates'!$E:$E)/100,_xlfn.XLOOKUP(L80,'mortgage-rates'!$A:$A,'mortgage-rates'!$D:$D)/100)</f>
        <v>6.3E-2</v>
      </c>
      <c r="BC80" s="11">
        <f t="shared" si="101"/>
        <v>95688.245992519835</v>
      </c>
      <c r="BD80" s="11">
        <f t="shared" si="84"/>
        <v>4991.6247726780139</v>
      </c>
      <c r="BE80" s="11">
        <f t="shared" si="102"/>
        <v>1507.0898743821874</v>
      </c>
      <c r="BF80" s="11">
        <f t="shared" si="105"/>
        <v>3484.5348982958267</v>
      </c>
      <c r="BG80" s="13">
        <f t="shared" si="85"/>
        <v>7494.1247726780148</v>
      </c>
      <c r="BH80" s="23">
        <f>INDEX(cpi!B:B,MATCH($L80,cpi!A:A))</f>
        <v>141.80000000000001</v>
      </c>
      <c r="BI80" s="23">
        <f t="shared" si="86"/>
        <v>167.61229314420808</v>
      </c>
      <c r="BJ80" s="23">
        <f t="shared" si="87"/>
        <v>412.17488625480973</v>
      </c>
      <c r="BK80" s="23">
        <f t="shared" si="88"/>
        <v>367.43945130198153</v>
      </c>
      <c r="BL80" s="23">
        <f t="shared" si="89"/>
        <v>398.75425576896129</v>
      </c>
      <c r="BM80" s="23">
        <f t="shared" si="90"/>
        <v>809.48004218403037</v>
      </c>
      <c r="BN80" s="23">
        <f t="shared" si="91"/>
        <v>256.06060606060606</v>
      </c>
      <c r="BO80">
        <f t="shared" si="92"/>
        <v>194.77373193263918</v>
      </c>
    </row>
    <row r="81" spans="2:67" x14ac:dyDescent="0.25">
      <c r="B81" s="8"/>
      <c r="L81" s="1">
        <f t="shared" si="103"/>
        <v>45901</v>
      </c>
      <c r="M81" s="11">
        <f>AP81</f>
        <v>857735.45895936608</v>
      </c>
      <c r="N81" s="11">
        <f t="shared" si="69"/>
        <v>532744.18890577601</v>
      </c>
      <c r="O81" s="8">
        <f t="shared" si="93"/>
        <v>1.6100325011918051</v>
      </c>
      <c r="P81" s="8">
        <f t="shared" si="70"/>
        <v>0.99182130582786032</v>
      </c>
      <c r="Q81">
        <v>79</v>
      </c>
      <c r="R81">
        <f t="shared" si="71"/>
        <v>92</v>
      </c>
      <c r="S81" s="23"/>
      <c r="T81" s="23">
        <f>IF($B$10="3BR_H",
INDEX('3BR_H-processed'!$C:$D,MATCH($L81,'3BR_H-processed'!$B:$B,0),MATCH(Council_Area,'3BR_H-processed'!$C$1:$D$1,0)),
INDEX('2BR_F-processed'!$C:$D,MATCH($L81,'2BR_F-processed'!$B:$B,0),MATCH(Council_Area,'2BR_F-processed'!$C$1:$D$1,0)))</f>
        <v>550</v>
      </c>
      <c r="U81" s="23">
        <f t="shared" si="94"/>
        <v>550</v>
      </c>
      <c r="V81" s="23">
        <f t="shared" si="95"/>
        <v>7228.5714285714284</v>
      </c>
      <c r="W81" s="23">
        <f>$B$53/4*BH81/_xlfn.XLOOKUP(Q_end,cpi!A:A,cpi!B:B)</f>
        <v>198.47961299239807</v>
      </c>
      <c r="X81" s="23">
        <f t="shared" si="72"/>
        <v>7427.0510415638264</v>
      </c>
      <c r="Y81" s="23">
        <f t="shared" si="73"/>
        <v>61.244478932744641</v>
      </c>
      <c r="Z81" s="23">
        <f t="shared" si="96"/>
        <v>0</v>
      </c>
      <c r="AA81" s="23" cm="1">
        <f t="array" ref="AA81">(Y81+Z81)*eff_invest</f>
        <v>61.244478932744641</v>
      </c>
      <c r="AB81" s="23">
        <f>AA81*(_xlfn.XLOOKUP(Q_end,cpi!A:A,cpi!B:B)/BH81)</f>
        <v>61.713621877215516</v>
      </c>
      <c r="AC81" s="23" cm="1">
        <f t="array" ref="AC81">INDEX('msci-indices'!C:C,MATCH($L81,'msci-indices'!$B:$B)-2)</f>
        <v>3468.7668789999998</v>
      </c>
      <c r="AD81" s="23" cm="1">
        <f t="array" ref="AD81">INDEX('msci-indices'!D:D,MATCH($L81,'msci-indices'!$B:$B)-2)</f>
        <v>2865.243618</v>
      </c>
      <c r="AE81" s="23">
        <f t="shared" si="97"/>
        <v>805398.47324093396</v>
      </c>
      <c r="AF81" s="23" cm="1">
        <f t="array" ref="AF81">INDEX('msci-indices'!C:C,MATCH($L81,'msci-indices'!$B:$B)+1)</f>
        <v>3725.5302940000001</v>
      </c>
      <c r="AG81" s="23" cm="1">
        <f t="array" ref="AG81">INDEX('msci-indices'!D:D,MATCH($L81,'msci-indices'!$B:$B)+1)</f>
        <v>2996.9746749999999</v>
      </c>
      <c r="AH81" s="23">
        <f t="shared" si="74"/>
        <v>503.37404577558374</v>
      </c>
      <c r="AI81" s="23">
        <f t="shared" si="75"/>
        <v>857735.45895936608</v>
      </c>
      <c r="AJ81" s="23">
        <f t="shared" si="98"/>
        <v>223370.44908711885</v>
      </c>
      <c r="AK81" s="23">
        <f t="shared" si="76"/>
        <v>634365.00987224723</v>
      </c>
      <c r="AL81" s="23">
        <f>AJ81*(_xlfn.XLOOKUP(Q_end,cpi!A:A,cpi!B:B)/BH81)</f>
        <v>225081.50405923463</v>
      </c>
      <c r="AM81" s="23" cm="1">
        <f t="array" ref="AM81">SUMPRODUCT($AA$3:AA81,_xlfn.SORTBY($BH$3:BH81,_xlfn.SEQUENCE(ROWS($BH$3:BH81)),-1)/$BH$3)</f>
        <v>338489.7815759537</v>
      </c>
      <c r="AN81" s="23">
        <f t="shared" si="99"/>
        <v>519245.67738341237</v>
      </c>
      <c r="AO81" s="23">
        <f t="shared" si="77"/>
        <v>0</v>
      </c>
      <c r="AP81" s="23">
        <f t="shared" si="100"/>
        <v>857735.45895936608</v>
      </c>
      <c r="AQ81" s="23"/>
      <c r="AR81" s="11">
        <f>IF($B$10="3BR_H",
INDEX('ns-combined'!$C:$D,MATCH($L81,'ns-combined'!$B:$B,0),MATCH(Council_Area,'ns-combined'!$C$1:$D$1,0))*1000,
INDEX('s-combined'!$C:$D,MATCH($L81,'s-combined'!$B:$B,0),MATCH(Council_Area,'s-combined'!$C$1:$D$1,0))*1000)</f>
        <v>846800</v>
      </c>
      <c r="AS81" s="23">
        <f t="shared" si="104"/>
        <v>65175</v>
      </c>
      <c r="AT81" s="11">
        <v>0</v>
      </c>
      <c r="AU81" s="23">
        <f t="shared" si="78"/>
        <v>16936</v>
      </c>
      <c r="AV81" s="23">
        <f t="shared" si="79"/>
        <v>2434.5500000000002</v>
      </c>
      <c r="AW81" s="23">
        <f>SUM($AV$3:AV81)</f>
        <v>139741.09999999998</v>
      </c>
      <c r="AX81" s="23">
        <f t="shared" si="80"/>
        <v>624947.9</v>
      </c>
      <c r="AY81" s="23">
        <f t="shared" si="81"/>
        <v>2530</v>
      </c>
      <c r="AZ81" s="25">
        <f t="shared" si="82"/>
        <v>1.1950873878129429E-2</v>
      </c>
      <c r="BA81" s="25">
        <f t="shared" si="83"/>
        <v>0.35000000000000003</v>
      </c>
      <c r="BB81" s="26">
        <f>IF(MortgageRate="Discounted",_xlfn.XLOOKUP(L81,'mortgage-rates'!$A:$A,'mortgage-rates'!$E:$E)/100,_xlfn.XLOOKUP(L81,'mortgage-rates'!$A:$A,'mortgage-rates'!$D:$D)/100)</f>
        <v>6.0499999999999998E-2</v>
      </c>
      <c r="BC81" s="11">
        <f t="shared" si="101"/>
        <v>92203.711094224011</v>
      </c>
      <c r="BD81" s="11">
        <f t="shared" si="84"/>
        <v>4958.295520496571</v>
      </c>
      <c r="BE81" s="11">
        <f t="shared" si="102"/>
        <v>1394.5811303001381</v>
      </c>
      <c r="BF81" s="11">
        <f t="shared" si="105"/>
        <v>3563.7143901964328</v>
      </c>
      <c r="BG81" s="13">
        <f t="shared" si="85"/>
        <v>7488.295520496571</v>
      </c>
      <c r="BH81" s="23">
        <f>INDEX(cpi!B:B,MATCH($L81,cpi!A:A))</f>
        <v>143.6</v>
      </c>
      <c r="BI81" s="23">
        <f t="shared" si="86"/>
        <v>169.73995271867614</v>
      </c>
      <c r="BJ81" s="23">
        <f t="shared" si="87"/>
        <v>459.51259359156273</v>
      </c>
      <c r="BK81" s="23">
        <f t="shared" si="88"/>
        <v>401.88211128753886</v>
      </c>
      <c r="BL81" s="23">
        <f t="shared" si="89"/>
        <v>442.22344890035555</v>
      </c>
      <c r="BM81" s="23">
        <f t="shared" si="90"/>
        <v>896.88313263723933</v>
      </c>
      <c r="BN81" s="23">
        <f t="shared" si="91"/>
        <v>256.60606060606062</v>
      </c>
      <c r="BO81">
        <f t="shared" si="92"/>
        <v>194.30873568311046</v>
      </c>
    </row>
    <row r="82" spans="2:67" x14ac:dyDescent="0.25">
      <c r="B82" s="8"/>
      <c r="L82" s="1">
        <f>DATE(YEAR(L81),MONTH(L81)+3,1)</f>
        <v>45992</v>
      </c>
      <c r="M82" s="11">
        <f t="shared" si="68"/>
        <v>873002.53263118083</v>
      </c>
      <c r="N82" s="11">
        <f t="shared" si="69"/>
        <v>560603.27829597238</v>
      </c>
      <c r="O82" s="8">
        <f t="shared" si="93"/>
        <v>1.5572554896303625</v>
      </c>
      <c r="P82" s="8">
        <f t="shared" si="70"/>
        <v>0.99202434095159975</v>
      </c>
      <c r="Q82">
        <v>80</v>
      </c>
      <c r="R82">
        <f t="shared" si="71"/>
        <v>92</v>
      </c>
      <c r="S82" s="23"/>
      <c r="T82" s="23">
        <f>IF($B$10="3BR_H",
INDEX('3BR_H-processed'!$C:$D,MATCH($L82,'3BR_H-processed'!$B:$B,0),MATCH(Council_Area,'3BR_H-processed'!$C$1:$D$1,0)),
INDEX('2BR_F-processed'!$C:$D,MATCH($L82,'2BR_F-processed'!$B:$B,0),MATCH(Council_Area,'2BR_F-processed'!$C$1:$D$1,0)))</f>
        <v>550</v>
      </c>
      <c r="U82" s="23">
        <f t="shared" si="94"/>
        <v>550</v>
      </c>
      <c r="V82" s="23">
        <f t="shared" si="95"/>
        <v>7228.5714285714284</v>
      </c>
      <c r="W82" s="23">
        <f>$B$53/4*BH82/_xlfn.XLOOKUP(Q_end,cpi!A:A,cpi!B:B)</f>
        <v>200</v>
      </c>
      <c r="X82" s="23">
        <f>V82+W82</f>
        <v>7428.5714285714284</v>
      </c>
      <c r="Y82" s="23">
        <f>BG82-X82</f>
        <v>59.724091925143512</v>
      </c>
      <c r="Z82" s="23">
        <f t="shared" si="96"/>
        <v>0</v>
      </c>
      <c r="AA82" s="23" cm="1">
        <f t="array" ref="AA82">(Y82+Z82)*eff_invest</f>
        <v>59.724091925143512</v>
      </c>
      <c r="AB82" s="23">
        <f>AA82*(_xlfn.XLOOKUP(Q_end,cpi!A:A,cpi!B:B)/BH82)</f>
        <v>59.724091925143512</v>
      </c>
      <c r="AC82" s="23" cm="1">
        <f t="array" ref="AC82">INDEX('msci-indices'!C:C,MATCH($L82,'msci-indices'!$B:$B)-2)</f>
        <v>3725.5302940000001</v>
      </c>
      <c r="AD82" s="23" cm="1">
        <f t="array" ref="AD82">INDEX('msci-indices'!D:D,MATCH($L82,'msci-indices'!$B:$B)-2)</f>
        <v>2996.9746749999999</v>
      </c>
      <c r="AE82" s="23">
        <f t="shared" si="97"/>
        <v>857795.18305129127</v>
      </c>
      <c r="AF82" s="23" cm="1">
        <f t="array" ref="AF82">INDEX('msci-indices'!C:C,MATCH($L82,'msci-indices'!$B:$B)+1)</f>
        <v>3840.531755</v>
      </c>
      <c r="AG82" s="23" cm="1">
        <f t="array" ref="AG82">INDEX('msci-indices'!D:D,MATCH($L82,'msci-indices'!$B:$B)+1)</f>
        <v>2964.4622850000001</v>
      </c>
      <c r="AH82" s="23">
        <f t="shared" si="74"/>
        <v>536.12198940705707</v>
      </c>
      <c r="AI82" s="23">
        <f t="shared" si="75"/>
        <v>873002.53263118083</v>
      </c>
      <c r="AJ82" s="23">
        <f t="shared" si="98"/>
        <v>223430.17317904398</v>
      </c>
      <c r="AK82" s="23">
        <f t="shared" si="76"/>
        <v>649572.35945213679</v>
      </c>
      <c r="AL82" s="23">
        <f>AJ82*(_xlfn.XLOOKUP(Q_end,cpi!A:A,cpi!B:B)/BH82)</f>
        <v>223430.17317904398</v>
      </c>
      <c r="AM82" s="23" cm="1">
        <f t="array" ref="AM82">SUMPRODUCT($AA$3:AA82,_xlfn.SORTBY($BH$3:BH82,_xlfn.SEQUENCE(ROWS($BH$3:BH82)),-1)/$BH$3)</f>
        <v>341071.48404329253</v>
      </c>
      <c r="AN82" s="23">
        <f>AI82-AM82</f>
        <v>531931.04858788825</v>
      </c>
      <c r="AO82" s="23">
        <f t="shared" si="77"/>
        <v>0</v>
      </c>
      <c r="AP82" s="23">
        <f>AI82-AO82</f>
        <v>873002.53263118083</v>
      </c>
      <c r="AQ82" s="23"/>
      <c r="AR82" s="11">
        <f>IF($B$10="3BR_H",
INDEX('ns-combined'!$C:$D,MATCH($L82,'ns-combined'!$B:$B,0),MATCH(Council_Area,'ns-combined'!$C$1:$D$1,0))*1000,
INDEX('s-combined'!$C:$D,MATCH($L82,'s-combined'!$B:$B,0),MATCH(Council_Area,'s-combined'!$C$1:$D$1,0))*1000)</f>
        <v>875000</v>
      </c>
      <c r="AS82" s="23">
        <f>AS81+$AS$3</f>
        <v>66000</v>
      </c>
      <c r="AT82" s="11">
        <v>0</v>
      </c>
      <c r="AU82" s="23">
        <f t="shared" si="78"/>
        <v>17500</v>
      </c>
      <c r="AV82" s="23">
        <f t="shared" si="79"/>
        <v>2515.625</v>
      </c>
      <c r="AW82" s="23">
        <f>SUM($AV$3:AV82)</f>
        <v>142256.72499999998</v>
      </c>
      <c r="AX82" s="23">
        <f t="shared" si="80"/>
        <v>649243.27500000002</v>
      </c>
      <c r="AY82" s="23">
        <f t="shared" si="81"/>
        <v>2530</v>
      </c>
      <c r="AZ82" s="25">
        <f t="shared" si="82"/>
        <v>1.1565714285714285E-2</v>
      </c>
      <c r="BA82" s="25">
        <f t="shared" si="83"/>
        <v>0.35000000000000003</v>
      </c>
      <c r="BB82" s="26">
        <f>IF(MortgageRate="Discounted",_xlfn.XLOOKUP(L82,'mortgage-rates'!$A:$A,'mortgage-rates'!$E:$E)/100,_xlfn.XLOOKUP(L82,'mortgage-rates'!$A:$A,'mortgage-rates'!$D:$D)/100)</f>
        <v>6.0499999999999998E-2</v>
      </c>
      <c r="BC82" s="11">
        <f t="shared" si="101"/>
        <v>88639.996704027581</v>
      </c>
      <c r="BD82" s="11">
        <f t="shared" si="84"/>
        <v>4958.295520496572</v>
      </c>
      <c r="BE82" s="11">
        <f t="shared" si="102"/>
        <v>1340.6799501484172</v>
      </c>
      <c r="BF82" s="11">
        <f t="shared" si="105"/>
        <v>3617.6155703481545</v>
      </c>
      <c r="BG82" s="13">
        <f t="shared" si="85"/>
        <v>7488.295520496572</v>
      </c>
      <c r="BH82" s="23">
        <f>INDEX(cpi!B:B,MATCH($L82,cpi!A:A))</f>
        <v>144.69999999999999</v>
      </c>
      <c r="BI82" s="23">
        <f t="shared" si="86"/>
        <v>171.04018912529551</v>
      </c>
      <c r="BJ82" s="23">
        <f t="shared" si="87"/>
        <v>493.52641662486235</v>
      </c>
      <c r="BK82" s="23">
        <f t="shared" si="88"/>
        <v>420.35884917353138</v>
      </c>
      <c r="BL82" s="23">
        <f t="shared" si="89"/>
        <v>471.57614638946308</v>
      </c>
      <c r="BM82" s="23">
        <f t="shared" si="90"/>
        <v>955.23154872684802</v>
      </c>
      <c r="BN82" s="23">
        <f t="shared" si="91"/>
        <v>265.15151515151513</v>
      </c>
      <c r="BO82">
        <f t="shared" si="92"/>
        <v>201.86265113621789</v>
      </c>
    </row>
    <row r="83" spans="2:67" x14ac:dyDescent="0.25">
      <c r="L83" s="1"/>
      <c r="M83" s="1"/>
      <c r="N83" s="1"/>
      <c r="O83" s="1"/>
      <c r="P83" s="1"/>
      <c r="R83" s="1"/>
      <c r="S83" s="8"/>
      <c r="AD83" s="31"/>
      <c r="AE83" s="31"/>
      <c r="AG83" s="31"/>
      <c r="AH83" s="31"/>
      <c r="AI83" s="31"/>
      <c r="AK83" s="31"/>
      <c r="AL83" s="31"/>
      <c r="AM83" s="31"/>
      <c r="AN83" s="31"/>
      <c r="AO83" s="31"/>
      <c r="AP83" s="8"/>
      <c r="AQ83" s="8"/>
      <c r="AR83" s="31"/>
      <c r="AS83" s="23"/>
      <c r="AT83" s="1"/>
      <c r="AU83" s="1"/>
      <c r="AV83" s="1"/>
      <c r="AW83" s="23"/>
      <c r="AX83" s="23"/>
      <c r="AY83" s="1"/>
      <c r="AZ83" s="23"/>
      <c r="BA83" s="23"/>
      <c r="BB83" s="26"/>
      <c r="BC83" s="23"/>
      <c r="BD83" s="27"/>
      <c r="BE83" s="27"/>
      <c r="BF83" s="27"/>
      <c r="BG83" s="28"/>
      <c r="BH83" s="31"/>
      <c r="BI83" s="31"/>
      <c r="BJ83" s="31"/>
      <c r="BK83" s="31"/>
      <c r="BL83" s="31"/>
      <c r="BM83" s="31"/>
      <c r="BN83" s="31"/>
    </row>
    <row r="84" spans="2:67" x14ac:dyDescent="0.25">
      <c r="L84" s="1"/>
      <c r="M84" s="1"/>
      <c r="N84" s="1"/>
      <c r="O84" s="1"/>
      <c r="P84" s="1"/>
      <c r="R84" s="1"/>
      <c r="AI84" s="12"/>
      <c r="AL84" s="12"/>
      <c r="AM84" s="23"/>
      <c r="AN84" s="23"/>
      <c r="AR84" s="1"/>
      <c r="AS84" s="1"/>
      <c r="AT84" s="1"/>
      <c r="AU84" s="1"/>
      <c r="AV84" s="1"/>
      <c r="AW84" s="1"/>
      <c r="AY84" s="1"/>
      <c r="AZ84" s="1"/>
      <c r="BA84" s="1"/>
      <c r="BB84" s="26"/>
      <c r="BC84" s="23"/>
      <c r="BD84" s="27"/>
      <c r="BE84" s="27"/>
      <c r="BF84" s="27"/>
      <c r="BG84" s="28"/>
    </row>
    <row r="85" spans="2:67" x14ac:dyDescent="0.25">
      <c r="L85" s="1"/>
      <c r="M85" s="1"/>
      <c r="N85" s="1"/>
      <c r="O85" s="1"/>
      <c r="P85" s="1"/>
      <c r="R85" s="1"/>
      <c r="AN85" s="23"/>
      <c r="AR85" s="1"/>
      <c r="AS85" s="1"/>
      <c r="AT85" s="1"/>
      <c r="AU85" s="1"/>
      <c r="AV85" s="1"/>
      <c r="AW85" s="1"/>
      <c r="AY85" s="1"/>
      <c r="AZ85" s="1"/>
      <c r="BA85" s="1"/>
      <c r="BB85" s="26"/>
      <c r="BC85" s="23"/>
      <c r="BD85" s="27"/>
      <c r="BE85" s="27"/>
      <c r="BF85" s="27"/>
      <c r="BG85" s="28"/>
    </row>
    <row r="86" spans="2:67" x14ac:dyDescent="0.25">
      <c r="AN86" s="23"/>
      <c r="BB86" s="26"/>
      <c r="BC86" s="23"/>
      <c r="BD86" s="27"/>
      <c r="BE86" s="27"/>
      <c r="BF86" s="27"/>
      <c r="BG86" s="28"/>
    </row>
    <row r="87" spans="2:67" x14ac:dyDescent="0.25">
      <c r="AN87" s="23"/>
      <c r="BB87" s="26"/>
      <c r="BC87" s="23"/>
      <c r="BD87" s="27"/>
      <c r="BE87" s="27"/>
      <c r="BF87" s="27"/>
      <c r="BG87" s="28"/>
    </row>
    <row r="88" spans="2:67" x14ac:dyDescent="0.25">
      <c r="AN88" s="23"/>
      <c r="BB88" s="26"/>
      <c r="BC88" s="23"/>
      <c r="BD88" s="27"/>
      <c r="BE88" s="27"/>
      <c r="BF88" s="27"/>
      <c r="BG88" s="28"/>
    </row>
    <row r="89" spans="2:67" x14ac:dyDescent="0.25">
      <c r="AN89" s="23"/>
      <c r="BB89" s="26"/>
      <c r="BC89" s="23"/>
      <c r="BD89" s="27"/>
      <c r="BE89" s="27"/>
      <c r="BF89" s="27"/>
      <c r="BG89" s="28"/>
    </row>
    <row r="90" spans="2:67" x14ac:dyDescent="0.25">
      <c r="AN90" s="23"/>
      <c r="BB90" s="26"/>
      <c r="BC90" s="23"/>
      <c r="BD90" s="27"/>
      <c r="BE90" s="27"/>
      <c r="BF90" s="27"/>
      <c r="BG90" s="28"/>
    </row>
    <row r="91" spans="2:67" x14ac:dyDescent="0.25">
      <c r="AN91" s="23"/>
      <c r="BB91" s="26"/>
      <c r="BC91" s="23"/>
      <c r="BD91" s="27"/>
      <c r="BE91" s="27"/>
      <c r="BF91" s="27"/>
      <c r="BG91" s="28"/>
    </row>
    <row r="92" spans="2:67" x14ac:dyDescent="0.25">
      <c r="AN92" s="23"/>
      <c r="BB92" s="26"/>
      <c r="BC92" s="23"/>
      <c r="BD92" s="27"/>
      <c r="BE92" s="27"/>
      <c r="BF92" s="27"/>
      <c r="BG92" s="28"/>
    </row>
    <row r="93" spans="2:67" x14ac:dyDescent="0.25">
      <c r="AN93" s="23"/>
      <c r="BB93" s="26"/>
      <c r="BC93" s="23"/>
      <c r="BD93" s="27"/>
      <c r="BE93" s="27"/>
      <c r="BF93" s="27"/>
      <c r="BG93" s="28"/>
    </row>
    <row r="94" spans="2:67" x14ac:dyDescent="0.25">
      <c r="AN94" s="23"/>
      <c r="BB94" s="26"/>
      <c r="BC94" s="23"/>
      <c r="BD94" s="27"/>
      <c r="BE94" s="27"/>
      <c r="BF94" s="27"/>
      <c r="BG94" s="28"/>
    </row>
    <row r="95" spans="2:67" x14ac:dyDescent="0.25">
      <c r="AN95" s="23"/>
      <c r="BB95" s="26"/>
      <c r="BC95" s="23"/>
      <c r="BD95" s="27"/>
      <c r="BE95" s="27"/>
      <c r="BF95" s="27"/>
      <c r="BG95" s="28"/>
    </row>
    <row r="96" spans="2:67" x14ac:dyDescent="0.25">
      <c r="AN96" s="23"/>
      <c r="BB96" s="26"/>
      <c r="BC96" s="23"/>
      <c r="BD96" s="27"/>
      <c r="BE96" s="27"/>
      <c r="BF96" s="27"/>
      <c r="BG96" s="28"/>
    </row>
    <row r="97" spans="40:59" x14ac:dyDescent="0.25">
      <c r="AN97" s="23"/>
      <c r="BB97" s="26"/>
      <c r="BC97" s="23"/>
      <c r="BD97" s="27"/>
      <c r="BE97" s="27"/>
      <c r="BF97" s="27"/>
      <c r="BG97" s="28"/>
    </row>
    <row r="98" spans="40:59" x14ac:dyDescent="0.25">
      <c r="AN98" s="23"/>
      <c r="BB98" s="26"/>
      <c r="BC98" s="23"/>
      <c r="BD98" s="27"/>
      <c r="BE98" s="27"/>
      <c r="BF98" s="27"/>
      <c r="BG98" s="28"/>
    </row>
    <row r="99" spans="40:59" x14ac:dyDescent="0.25">
      <c r="AN99" s="23"/>
      <c r="BB99" s="26"/>
      <c r="BC99" s="23"/>
      <c r="BD99" s="27"/>
      <c r="BE99" s="27"/>
      <c r="BF99" s="27"/>
      <c r="BG99" s="28"/>
    </row>
    <row r="100" spans="40:59" x14ac:dyDescent="0.25">
      <c r="AN100" s="23"/>
      <c r="BB100" s="26"/>
      <c r="BC100" s="23"/>
      <c r="BD100" s="27"/>
      <c r="BE100" s="27"/>
      <c r="BF100" s="27"/>
      <c r="BG100" s="28"/>
    </row>
    <row r="101" spans="40:59" x14ac:dyDescent="0.25">
      <c r="AN101" s="23"/>
      <c r="BB101" s="26"/>
      <c r="BC101" s="23"/>
      <c r="BD101" s="27"/>
      <c r="BE101" s="27"/>
      <c r="BF101" s="27"/>
      <c r="BG101" s="28"/>
    </row>
    <row r="102" spans="40:59" x14ac:dyDescent="0.25">
      <c r="AN102" s="23"/>
      <c r="BB102" s="26"/>
      <c r="BC102" s="23"/>
      <c r="BD102" s="27"/>
      <c r="BE102" s="27"/>
      <c r="BF102" s="27"/>
      <c r="BG102" s="28"/>
    </row>
    <row r="103" spans="40:59" x14ac:dyDescent="0.25">
      <c r="AN103" s="23"/>
      <c r="BB103" s="26"/>
      <c r="BC103" s="23"/>
      <c r="BD103" s="27"/>
      <c r="BE103" s="27"/>
      <c r="BF103" s="27"/>
      <c r="BG103" s="28"/>
    </row>
    <row r="104" spans="40:59" x14ac:dyDescent="0.25">
      <c r="AN104" s="23"/>
      <c r="BB104" s="26"/>
    </row>
    <row r="105" spans="40:59" x14ac:dyDescent="0.25">
      <c r="AN105" s="23"/>
      <c r="BB105" s="26"/>
    </row>
    <row r="106" spans="40:59" x14ac:dyDescent="0.25">
      <c r="AN106" s="23"/>
      <c r="BB106" s="26"/>
    </row>
    <row r="107" spans="40:59" x14ac:dyDescent="0.25">
      <c r="AN107" s="23"/>
      <c r="BB107" s="26"/>
    </row>
    <row r="108" spans="40:59" x14ac:dyDescent="0.25">
      <c r="AN108" s="23"/>
      <c r="BB108" s="26"/>
    </row>
    <row r="109" spans="40:59" x14ac:dyDescent="0.25">
      <c r="AN109" s="23"/>
      <c r="BB109" s="26"/>
    </row>
    <row r="110" spans="40:59" x14ac:dyDescent="0.25">
      <c r="AN110" s="23"/>
    </row>
    <row r="111" spans="40:59" x14ac:dyDescent="0.25">
      <c r="AN111" s="23"/>
    </row>
    <row r="112" spans="40:59" x14ac:dyDescent="0.25">
      <c r="AN112" s="23"/>
    </row>
    <row r="113" spans="40:40" x14ac:dyDescent="0.25">
      <c r="AN113" s="23"/>
    </row>
    <row r="114" spans="40:40" x14ac:dyDescent="0.25">
      <c r="AN114" s="23"/>
    </row>
    <row r="115" spans="40:40" x14ac:dyDescent="0.25">
      <c r="AN115" s="23"/>
    </row>
    <row r="116" spans="40:40" x14ac:dyDescent="0.25">
      <c r="AN116" s="23"/>
    </row>
    <row r="117" spans="40:40" x14ac:dyDescent="0.25">
      <c r="AN117" s="23"/>
    </row>
    <row r="118" spans="40:40" x14ac:dyDescent="0.25">
      <c r="AN118" s="23"/>
    </row>
    <row r="119" spans="40:40" x14ac:dyDescent="0.25">
      <c r="AN119" s="23"/>
    </row>
    <row r="120" spans="40:40" x14ac:dyDescent="0.25">
      <c r="AN120" s="23"/>
    </row>
    <row r="121" spans="40:40" x14ac:dyDescent="0.25">
      <c r="AN121" s="23"/>
    </row>
    <row r="122" spans="40:40" x14ac:dyDescent="0.25">
      <c r="AN122" s="23"/>
    </row>
    <row r="123" spans="40:40" x14ac:dyDescent="0.25">
      <c r="AN123" s="23"/>
    </row>
    <row r="124" spans="40:40" x14ac:dyDescent="0.25">
      <c r="AN124" s="23"/>
    </row>
    <row r="125" spans="40:40" x14ac:dyDescent="0.25">
      <c r="AN125" s="23"/>
    </row>
    <row r="126" spans="40:40" x14ac:dyDescent="0.25">
      <c r="AN126" s="23"/>
    </row>
    <row r="127" spans="40:40" x14ac:dyDescent="0.25">
      <c r="AN127" s="23"/>
    </row>
    <row r="128" spans="40:40" x14ac:dyDescent="0.25">
      <c r="AN128" s="23"/>
    </row>
    <row r="129" spans="40:40" x14ac:dyDescent="0.25">
      <c r="AN129" s="23"/>
    </row>
    <row r="130" spans="40:40" x14ac:dyDescent="0.25">
      <c r="AN130" s="23"/>
    </row>
    <row r="131" spans="40:40" x14ac:dyDescent="0.25">
      <c r="AN131" s="23"/>
    </row>
    <row r="132" spans="40:40" x14ac:dyDescent="0.25">
      <c r="AN132" s="23"/>
    </row>
    <row r="133" spans="40:40" x14ac:dyDescent="0.25">
      <c r="AN133" s="23"/>
    </row>
    <row r="134" spans="40:40" x14ac:dyDescent="0.25">
      <c r="AN134" s="23"/>
    </row>
    <row r="135" spans="40:40" x14ac:dyDescent="0.25">
      <c r="AN135" s="23"/>
    </row>
    <row r="136" spans="40:40" x14ac:dyDescent="0.25">
      <c r="AN136" s="23"/>
    </row>
    <row r="137" spans="40:40" x14ac:dyDescent="0.25">
      <c r="AN137" s="23"/>
    </row>
    <row r="138" spans="40:40" x14ac:dyDescent="0.25">
      <c r="AN138" s="23"/>
    </row>
    <row r="139" spans="40:40" x14ac:dyDescent="0.25">
      <c r="AN139" s="23"/>
    </row>
    <row r="140" spans="40:40" x14ac:dyDescent="0.25">
      <c r="AN140" s="23"/>
    </row>
    <row r="141" spans="40:40" x14ac:dyDescent="0.25">
      <c r="AN141" s="23"/>
    </row>
    <row r="142" spans="40:40" x14ac:dyDescent="0.25">
      <c r="AN142" s="23"/>
    </row>
    <row r="143" spans="40:40" x14ac:dyDescent="0.25">
      <c r="AN143" s="23"/>
    </row>
    <row r="144" spans="40:40" x14ac:dyDescent="0.25">
      <c r="AN144" s="23"/>
    </row>
    <row r="145" spans="40:40" x14ac:dyDescent="0.25">
      <c r="AN145" s="23"/>
    </row>
    <row r="146" spans="40:40" x14ac:dyDescent="0.25">
      <c r="AN146" s="23"/>
    </row>
    <row r="147" spans="40:40" x14ac:dyDescent="0.25">
      <c r="AN147" s="23"/>
    </row>
    <row r="148" spans="40:40" x14ac:dyDescent="0.25">
      <c r="AN148" s="23"/>
    </row>
    <row r="149" spans="40:40" x14ac:dyDescent="0.25">
      <c r="AN149" s="23"/>
    </row>
    <row r="150" spans="40:40" x14ac:dyDescent="0.25">
      <c r="AN150" s="23"/>
    </row>
    <row r="151" spans="40:40" x14ac:dyDescent="0.25">
      <c r="AN151" s="23"/>
    </row>
    <row r="152" spans="40:40" x14ac:dyDescent="0.25">
      <c r="AN152" s="23"/>
    </row>
    <row r="153" spans="40:40" x14ac:dyDescent="0.25">
      <c r="AN153" s="23"/>
    </row>
    <row r="154" spans="40:40" x14ac:dyDescent="0.25">
      <c r="AN154" s="23"/>
    </row>
    <row r="155" spans="40:40" x14ac:dyDescent="0.25">
      <c r="AN155" s="23"/>
    </row>
    <row r="156" spans="40:40" x14ac:dyDescent="0.25">
      <c r="AN156" s="23"/>
    </row>
    <row r="157" spans="40:40" x14ac:dyDescent="0.25">
      <c r="AN157" s="23"/>
    </row>
    <row r="158" spans="40:40" x14ac:dyDescent="0.25">
      <c r="AN158" s="23"/>
    </row>
    <row r="159" spans="40:40" x14ac:dyDescent="0.25">
      <c r="AN159" s="23"/>
    </row>
    <row r="160" spans="40:40" x14ac:dyDescent="0.25">
      <c r="AN160" s="23"/>
    </row>
    <row r="161" spans="40:40" x14ac:dyDescent="0.25">
      <c r="AN161" s="23"/>
    </row>
    <row r="162" spans="40:40" x14ac:dyDescent="0.25">
      <c r="AN162" s="23"/>
    </row>
    <row r="163" spans="40:40" x14ac:dyDescent="0.25">
      <c r="AN163" s="23"/>
    </row>
  </sheetData>
  <dataValidations count="4">
    <dataValidation type="list" allowBlank="1" showInputMessage="1" showErrorMessage="1" sqref="B10" xr:uid="{C8DA1B0B-B3E0-4E5A-AF49-F4473966E3DB}">
      <formula1>"2BR_F,3BR_H"</formula1>
    </dataValidation>
    <dataValidation type="list" allowBlank="1" showInputMessage="1" showErrorMessage="1" sqref="B19" xr:uid="{4A8AE90F-EFD6-478B-AAE3-AB31839A644B}">
      <formula1>"Standard,Discounted"</formula1>
    </dataValidation>
    <dataValidation type="list" allowBlank="1" showInputMessage="1" showErrorMessage="1" sqref="B44" xr:uid="{20E607E8-5E58-43AD-85F6-01E2C73EFDDA}">
      <formula1>"Yes,No"</formula1>
    </dataValidation>
    <dataValidation type="list" allowBlank="1" showInputMessage="1" showErrorMessage="1" sqref="B49" xr:uid="{1C4C727B-8910-43C7-967A-B20B4FFEE570}">
      <formula1>"Discounted nominal gains,Real gains,No"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4215-66E7-44EB-BB5D-03FE2969BA57}">
  <dimension ref="A1:B158"/>
  <sheetViews>
    <sheetView workbookViewId="0">
      <selection activeCell="B30" sqref="B30"/>
    </sheetView>
  </sheetViews>
  <sheetFormatPr defaultRowHeight="15" x14ac:dyDescent="0.25"/>
  <cols>
    <col min="1" max="1" width="12.5703125" customWidth="1"/>
    <col min="2" max="2" width="59.5703125" bestFit="1" customWidth="1"/>
  </cols>
  <sheetData>
    <row r="1" spans="1:2" x14ac:dyDescent="0.25">
      <c r="B1" t="s">
        <v>468</v>
      </c>
    </row>
    <row r="2" spans="1:2" x14ac:dyDescent="0.25">
      <c r="A2" s="1">
        <v>31747</v>
      </c>
      <c r="B2">
        <v>44.4</v>
      </c>
    </row>
    <row r="3" spans="1:2" x14ac:dyDescent="0.25">
      <c r="A3" s="1">
        <v>31837</v>
      </c>
      <c r="B3">
        <v>45.3</v>
      </c>
    </row>
    <row r="4" spans="1:2" x14ac:dyDescent="0.25">
      <c r="A4" s="1">
        <v>31929</v>
      </c>
      <c r="B4">
        <v>46.1</v>
      </c>
    </row>
    <row r="5" spans="1:2" x14ac:dyDescent="0.25">
      <c r="A5" s="1">
        <v>32021</v>
      </c>
      <c r="B5">
        <v>46.8</v>
      </c>
    </row>
    <row r="6" spans="1:2" x14ac:dyDescent="0.25">
      <c r="A6" s="1">
        <v>32112</v>
      </c>
      <c r="B6">
        <v>47.6</v>
      </c>
    </row>
    <row r="7" spans="1:2" x14ac:dyDescent="0.25">
      <c r="A7" s="1">
        <v>32203</v>
      </c>
      <c r="B7">
        <v>48.4</v>
      </c>
    </row>
    <row r="8" spans="1:2" x14ac:dyDescent="0.25">
      <c r="A8" s="1">
        <v>32295</v>
      </c>
      <c r="B8">
        <v>49.3</v>
      </c>
    </row>
    <row r="9" spans="1:2" x14ac:dyDescent="0.25">
      <c r="A9" s="1">
        <v>32387</v>
      </c>
      <c r="B9">
        <v>50.3</v>
      </c>
    </row>
    <row r="10" spans="1:2" x14ac:dyDescent="0.25">
      <c r="A10" s="1">
        <v>32478</v>
      </c>
      <c r="B10">
        <v>51.2</v>
      </c>
    </row>
    <row r="11" spans="1:2" x14ac:dyDescent="0.25">
      <c r="A11" s="1">
        <v>32568</v>
      </c>
      <c r="B11">
        <v>51.7</v>
      </c>
    </row>
    <row r="12" spans="1:2" x14ac:dyDescent="0.25">
      <c r="A12" s="1">
        <v>32660</v>
      </c>
      <c r="B12">
        <v>53.1</v>
      </c>
    </row>
    <row r="13" spans="1:2" x14ac:dyDescent="0.25">
      <c r="A13" s="1">
        <v>32752</v>
      </c>
      <c r="B13">
        <v>54.3</v>
      </c>
    </row>
    <row r="14" spans="1:2" x14ac:dyDescent="0.25">
      <c r="A14" s="1">
        <v>32843</v>
      </c>
      <c r="B14">
        <v>55.2</v>
      </c>
    </row>
    <row r="15" spans="1:2" x14ac:dyDescent="0.25">
      <c r="A15" s="1">
        <v>32933</v>
      </c>
      <c r="B15">
        <v>56.1</v>
      </c>
    </row>
    <row r="16" spans="1:2" x14ac:dyDescent="0.25">
      <c r="A16" s="1">
        <v>33025</v>
      </c>
      <c r="B16">
        <v>57.1</v>
      </c>
    </row>
    <row r="17" spans="1:2" x14ac:dyDescent="0.25">
      <c r="A17" s="1">
        <v>33117</v>
      </c>
      <c r="B17">
        <v>57.6</v>
      </c>
    </row>
    <row r="18" spans="1:2" x14ac:dyDescent="0.25">
      <c r="A18" s="1">
        <v>33208</v>
      </c>
      <c r="B18">
        <v>59</v>
      </c>
    </row>
    <row r="19" spans="1:2" x14ac:dyDescent="0.25">
      <c r="A19" s="1">
        <v>33298</v>
      </c>
      <c r="B19">
        <v>58.9</v>
      </c>
    </row>
    <row r="20" spans="1:2" x14ac:dyDescent="0.25">
      <c r="A20" s="1">
        <v>33390</v>
      </c>
      <c r="B20">
        <v>59.1</v>
      </c>
    </row>
    <row r="21" spans="1:2" x14ac:dyDescent="0.25">
      <c r="A21" s="1">
        <v>33482</v>
      </c>
      <c r="B21">
        <v>59.5</v>
      </c>
    </row>
    <row r="22" spans="1:2" x14ac:dyDescent="0.25">
      <c r="A22" s="1">
        <v>33573</v>
      </c>
      <c r="B22">
        <v>59.9</v>
      </c>
    </row>
    <row r="23" spans="1:2" x14ac:dyDescent="0.25">
      <c r="A23" s="1">
        <v>33664</v>
      </c>
      <c r="B23">
        <v>59.9</v>
      </c>
    </row>
    <row r="24" spans="1:2" x14ac:dyDescent="0.25">
      <c r="A24" s="1">
        <v>33756</v>
      </c>
      <c r="B24">
        <v>59.8</v>
      </c>
    </row>
    <row r="25" spans="1:2" x14ac:dyDescent="0.25">
      <c r="A25" s="1">
        <v>33848</v>
      </c>
      <c r="B25">
        <v>59.9</v>
      </c>
    </row>
    <row r="26" spans="1:2" x14ac:dyDescent="0.25">
      <c r="A26" s="1">
        <v>33939</v>
      </c>
      <c r="B26">
        <v>60.1</v>
      </c>
    </row>
    <row r="27" spans="1:2" x14ac:dyDescent="0.25">
      <c r="A27" s="1">
        <v>34029</v>
      </c>
      <c r="B27">
        <v>60.6</v>
      </c>
    </row>
    <row r="28" spans="1:2" x14ac:dyDescent="0.25">
      <c r="A28" s="1">
        <v>34121</v>
      </c>
      <c r="B28">
        <v>60.9</v>
      </c>
    </row>
    <row r="29" spans="1:2" x14ac:dyDescent="0.25">
      <c r="A29" s="1">
        <v>34213</v>
      </c>
      <c r="B29">
        <v>61.2</v>
      </c>
    </row>
    <row r="30" spans="1:2" x14ac:dyDescent="0.25">
      <c r="A30" s="1">
        <v>34304</v>
      </c>
      <c r="B30">
        <v>61.2</v>
      </c>
    </row>
    <row r="31" spans="1:2" x14ac:dyDescent="0.25">
      <c r="A31" s="1">
        <v>34394</v>
      </c>
      <c r="B31">
        <v>61.5</v>
      </c>
    </row>
    <row r="32" spans="1:2" x14ac:dyDescent="0.25">
      <c r="A32" s="1">
        <v>34486</v>
      </c>
      <c r="B32">
        <v>61.9</v>
      </c>
    </row>
    <row r="33" spans="1:2" x14ac:dyDescent="0.25">
      <c r="A33" s="1">
        <v>34578</v>
      </c>
      <c r="B33">
        <v>62.3</v>
      </c>
    </row>
    <row r="34" spans="1:2" x14ac:dyDescent="0.25">
      <c r="A34" s="1">
        <v>34669</v>
      </c>
      <c r="B34">
        <v>62.9</v>
      </c>
    </row>
    <row r="35" spans="1:2" x14ac:dyDescent="0.25">
      <c r="A35" s="1">
        <v>34759</v>
      </c>
      <c r="B35">
        <v>63.9</v>
      </c>
    </row>
    <row r="36" spans="1:2" x14ac:dyDescent="0.25">
      <c r="A36" s="1">
        <v>34851</v>
      </c>
      <c r="B36">
        <v>64.7</v>
      </c>
    </row>
    <row r="37" spans="1:2" x14ac:dyDescent="0.25">
      <c r="A37" s="1">
        <v>34943</v>
      </c>
      <c r="B37">
        <v>65.5</v>
      </c>
    </row>
    <row r="38" spans="1:2" x14ac:dyDescent="0.25">
      <c r="A38" s="1">
        <v>35034</v>
      </c>
      <c r="B38">
        <v>66</v>
      </c>
    </row>
    <row r="39" spans="1:2" x14ac:dyDescent="0.25">
      <c r="A39" s="1">
        <v>35125</v>
      </c>
      <c r="B39">
        <v>66.3</v>
      </c>
    </row>
    <row r="40" spans="1:2" x14ac:dyDescent="0.25">
      <c r="A40" s="1">
        <v>35217</v>
      </c>
      <c r="B40">
        <v>66.7</v>
      </c>
    </row>
    <row r="41" spans="1:2" x14ac:dyDescent="0.25">
      <c r="A41" s="1">
        <v>35309</v>
      </c>
      <c r="B41">
        <v>66.900000000000006</v>
      </c>
    </row>
    <row r="42" spans="1:2" x14ac:dyDescent="0.25">
      <c r="A42" s="1">
        <v>35400</v>
      </c>
      <c r="B42">
        <v>67.099999999999994</v>
      </c>
    </row>
    <row r="43" spans="1:2" x14ac:dyDescent="0.25">
      <c r="A43" s="1">
        <v>35490</v>
      </c>
      <c r="B43">
        <v>67.099999999999994</v>
      </c>
    </row>
    <row r="44" spans="1:2" x14ac:dyDescent="0.25">
      <c r="A44" s="1">
        <v>35582</v>
      </c>
      <c r="B44">
        <v>66.900000000000006</v>
      </c>
    </row>
    <row r="45" spans="1:2" x14ac:dyDescent="0.25">
      <c r="A45" s="1">
        <v>35674</v>
      </c>
      <c r="B45">
        <v>66.7</v>
      </c>
    </row>
    <row r="46" spans="1:2" x14ac:dyDescent="0.25">
      <c r="A46" s="1">
        <v>35765</v>
      </c>
      <c r="B46">
        <v>66.900000000000006</v>
      </c>
    </row>
    <row r="47" spans="1:2" x14ac:dyDescent="0.25">
      <c r="A47" s="1">
        <v>35855</v>
      </c>
      <c r="B47">
        <v>67</v>
      </c>
    </row>
    <row r="48" spans="1:2" x14ac:dyDescent="0.25">
      <c r="A48" s="1">
        <v>35947</v>
      </c>
      <c r="B48">
        <v>67.400000000000006</v>
      </c>
    </row>
    <row r="49" spans="1:2" x14ac:dyDescent="0.25">
      <c r="A49" s="1">
        <v>36039</v>
      </c>
      <c r="B49">
        <v>67.599999999999994</v>
      </c>
    </row>
    <row r="50" spans="1:2" x14ac:dyDescent="0.25">
      <c r="A50" s="1">
        <v>36130</v>
      </c>
      <c r="B50">
        <v>67.900000000000006</v>
      </c>
    </row>
    <row r="51" spans="1:2" x14ac:dyDescent="0.25">
      <c r="A51" s="1">
        <v>36220</v>
      </c>
      <c r="B51">
        <v>67.8</v>
      </c>
    </row>
    <row r="52" spans="1:2" x14ac:dyDescent="0.25">
      <c r="A52" s="1">
        <v>36312</v>
      </c>
      <c r="B52">
        <v>68.099999999999994</v>
      </c>
    </row>
    <row r="53" spans="1:2" x14ac:dyDescent="0.25">
      <c r="A53" s="1">
        <v>36404</v>
      </c>
      <c r="B53">
        <v>68.7</v>
      </c>
    </row>
    <row r="54" spans="1:2" x14ac:dyDescent="0.25">
      <c r="A54" s="1">
        <v>36495</v>
      </c>
      <c r="B54">
        <v>69.099999999999994</v>
      </c>
    </row>
    <row r="55" spans="1:2" x14ac:dyDescent="0.25">
      <c r="A55" s="1">
        <v>36586</v>
      </c>
      <c r="B55">
        <v>69.7</v>
      </c>
    </row>
    <row r="56" spans="1:2" x14ac:dyDescent="0.25">
      <c r="A56" s="1">
        <v>36678</v>
      </c>
      <c r="B56">
        <v>70.2</v>
      </c>
    </row>
    <row r="57" spans="1:2" x14ac:dyDescent="0.25">
      <c r="A57" s="1">
        <v>36770</v>
      </c>
      <c r="B57">
        <v>72.900000000000006</v>
      </c>
    </row>
    <row r="58" spans="1:2" x14ac:dyDescent="0.25">
      <c r="A58" s="1">
        <v>36861</v>
      </c>
      <c r="B58">
        <v>73.099999999999994</v>
      </c>
    </row>
    <row r="59" spans="1:2" x14ac:dyDescent="0.25">
      <c r="A59" s="1">
        <v>36951</v>
      </c>
      <c r="B59">
        <v>73.900000000000006</v>
      </c>
    </row>
    <row r="60" spans="1:2" x14ac:dyDescent="0.25">
      <c r="A60" s="1">
        <v>37043</v>
      </c>
      <c r="B60">
        <v>74.5</v>
      </c>
    </row>
    <row r="61" spans="1:2" x14ac:dyDescent="0.25">
      <c r="A61" s="1">
        <v>37135</v>
      </c>
      <c r="B61">
        <v>74.7</v>
      </c>
    </row>
    <row r="62" spans="1:2" x14ac:dyDescent="0.25">
      <c r="A62" s="1">
        <v>37226</v>
      </c>
      <c r="B62">
        <v>75.400000000000006</v>
      </c>
    </row>
    <row r="63" spans="1:2" x14ac:dyDescent="0.25">
      <c r="A63" s="1">
        <v>37316</v>
      </c>
      <c r="B63">
        <v>76.099999999999994</v>
      </c>
    </row>
    <row r="64" spans="1:2" x14ac:dyDescent="0.25">
      <c r="A64" s="1">
        <v>37408</v>
      </c>
      <c r="B64">
        <v>76.599999999999994</v>
      </c>
    </row>
    <row r="65" spans="1:2" x14ac:dyDescent="0.25">
      <c r="A65" s="1">
        <v>37500</v>
      </c>
      <c r="B65">
        <v>77.2</v>
      </c>
    </row>
    <row r="66" spans="1:2" x14ac:dyDescent="0.25">
      <c r="A66" s="1">
        <v>37591</v>
      </c>
      <c r="B66">
        <v>77.7</v>
      </c>
    </row>
    <row r="67" spans="1:2" x14ac:dyDescent="0.25">
      <c r="A67" s="1">
        <v>37681</v>
      </c>
      <c r="B67">
        <v>78.7</v>
      </c>
    </row>
    <row r="68" spans="1:2" x14ac:dyDescent="0.25">
      <c r="A68" s="1">
        <v>37773</v>
      </c>
      <c r="B68">
        <v>78.599999999999994</v>
      </c>
    </row>
    <row r="69" spans="1:2" x14ac:dyDescent="0.25">
      <c r="A69" s="1">
        <v>37865</v>
      </c>
      <c r="B69">
        <v>79.099999999999994</v>
      </c>
    </row>
    <row r="70" spans="1:2" x14ac:dyDescent="0.25">
      <c r="A70" s="1">
        <v>37956</v>
      </c>
      <c r="B70">
        <v>79.599999999999994</v>
      </c>
    </row>
    <row r="71" spans="1:2" x14ac:dyDescent="0.25">
      <c r="A71" s="1">
        <v>38047</v>
      </c>
      <c r="B71">
        <v>80.2</v>
      </c>
    </row>
    <row r="72" spans="1:2" x14ac:dyDescent="0.25">
      <c r="A72" s="1">
        <v>38139</v>
      </c>
      <c r="B72">
        <v>80.599999999999994</v>
      </c>
    </row>
    <row r="73" spans="1:2" x14ac:dyDescent="0.25">
      <c r="A73" s="1">
        <v>38231</v>
      </c>
      <c r="B73">
        <v>80.900000000000006</v>
      </c>
    </row>
    <row r="74" spans="1:2" x14ac:dyDescent="0.25">
      <c r="A74" s="1">
        <v>38322</v>
      </c>
      <c r="B74">
        <v>81.7</v>
      </c>
    </row>
    <row r="75" spans="1:2" x14ac:dyDescent="0.25">
      <c r="A75" s="1">
        <v>38412</v>
      </c>
      <c r="B75">
        <v>82.1</v>
      </c>
    </row>
    <row r="76" spans="1:2" x14ac:dyDescent="0.25">
      <c r="A76" s="1">
        <v>38504</v>
      </c>
      <c r="B76">
        <v>82.6</v>
      </c>
    </row>
    <row r="77" spans="1:2" x14ac:dyDescent="0.25">
      <c r="A77" s="1">
        <v>38596</v>
      </c>
      <c r="B77">
        <v>83.4</v>
      </c>
    </row>
    <row r="78" spans="1:2" x14ac:dyDescent="0.25">
      <c r="A78" s="1">
        <v>38687</v>
      </c>
      <c r="B78">
        <v>83.9</v>
      </c>
    </row>
    <row r="79" spans="1:2" x14ac:dyDescent="0.25">
      <c r="A79" s="1">
        <v>38777</v>
      </c>
      <c r="B79">
        <v>84.6</v>
      </c>
    </row>
    <row r="80" spans="1:2" x14ac:dyDescent="0.25">
      <c r="A80" s="1">
        <v>38869</v>
      </c>
      <c r="B80">
        <v>85.9</v>
      </c>
    </row>
    <row r="81" spans="1:2" x14ac:dyDescent="0.25">
      <c r="A81" s="1">
        <v>38961</v>
      </c>
      <c r="B81">
        <v>86.6</v>
      </c>
    </row>
    <row r="82" spans="1:2" x14ac:dyDescent="0.25">
      <c r="A82" s="1">
        <v>39052</v>
      </c>
      <c r="B82">
        <v>86.7</v>
      </c>
    </row>
    <row r="83" spans="1:2" x14ac:dyDescent="0.25">
      <c r="A83" s="1">
        <v>39142</v>
      </c>
      <c r="B83">
        <v>86.7</v>
      </c>
    </row>
    <row r="84" spans="1:2" x14ac:dyDescent="0.25">
      <c r="A84" s="1">
        <v>39234</v>
      </c>
      <c r="B84">
        <v>87.7</v>
      </c>
    </row>
    <row r="85" spans="1:2" x14ac:dyDescent="0.25">
      <c r="A85" s="1">
        <v>39326</v>
      </c>
      <c r="B85">
        <v>88.2</v>
      </c>
    </row>
    <row r="86" spans="1:2" x14ac:dyDescent="0.25">
      <c r="A86" s="1">
        <v>39417</v>
      </c>
      <c r="B86">
        <v>89.3</v>
      </c>
    </row>
    <row r="87" spans="1:2" x14ac:dyDescent="0.25">
      <c r="A87" s="1">
        <v>39508</v>
      </c>
      <c r="B87">
        <v>90.4</v>
      </c>
    </row>
    <row r="88" spans="1:2" x14ac:dyDescent="0.25">
      <c r="A88" s="1">
        <v>39600</v>
      </c>
      <c r="B88">
        <v>91.6</v>
      </c>
    </row>
    <row r="89" spans="1:2" x14ac:dyDescent="0.25">
      <c r="A89" s="1">
        <v>39692</v>
      </c>
      <c r="B89">
        <v>92.6</v>
      </c>
    </row>
    <row r="90" spans="1:2" x14ac:dyDescent="0.25">
      <c r="A90" s="1">
        <v>39783</v>
      </c>
      <c r="B90">
        <v>92.6</v>
      </c>
    </row>
    <row r="91" spans="1:2" x14ac:dyDescent="0.25">
      <c r="A91" s="1">
        <v>39873</v>
      </c>
      <c r="B91">
        <v>92.5</v>
      </c>
    </row>
    <row r="92" spans="1:2" x14ac:dyDescent="0.25">
      <c r="A92" s="1">
        <v>39965</v>
      </c>
      <c r="B92">
        <v>93</v>
      </c>
    </row>
    <row r="93" spans="1:2" x14ac:dyDescent="0.25">
      <c r="A93" s="1">
        <v>40057</v>
      </c>
      <c r="B93">
        <v>93.7</v>
      </c>
    </row>
    <row r="94" spans="1:2" x14ac:dyDescent="0.25">
      <c r="A94" s="1">
        <v>40148</v>
      </c>
      <c r="B94">
        <v>94.5</v>
      </c>
    </row>
    <row r="95" spans="1:2" x14ac:dyDescent="0.25">
      <c r="A95" s="1">
        <v>40238</v>
      </c>
      <c r="B95">
        <v>95.2</v>
      </c>
    </row>
    <row r="96" spans="1:2" x14ac:dyDescent="0.25">
      <c r="A96" s="1">
        <v>40330</v>
      </c>
      <c r="B96">
        <v>95.8</v>
      </c>
    </row>
    <row r="97" spans="1:2" x14ac:dyDescent="0.25">
      <c r="A97" s="1">
        <v>40422</v>
      </c>
      <c r="B97">
        <v>96.4</v>
      </c>
    </row>
    <row r="98" spans="1:2" x14ac:dyDescent="0.25">
      <c r="A98" s="1">
        <v>40513</v>
      </c>
      <c r="B98">
        <v>97</v>
      </c>
    </row>
    <row r="99" spans="1:2" x14ac:dyDescent="0.25">
      <c r="A99" s="1">
        <v>40603</v>
      </c>
      <c r="B99">
        <v>98.4</v>
      </c>
    </row>
    <row r="100" spans="1:2" x14ac:dyDescent="0.25">
      <c r="A100" s="1">
        <v>40695</v>
      </c>
      <c r="B100">
        <v>99.3</v>
      </c>
    </row>
    <row r="101" spans="1:2" x14ac:dyDescent="0.25">
      <c r="A101" s="1">
        <v>40787</v>
      </c>
      <c r="B101">
        <v>99.7</v>
      </c>
    </row>
    <row r="102" spans="1:2" x14ac:dyDescent="0.25">
      <c r="A102" s="1">
        <v>40878</v>
      </c>
      <c r="B102">
        <v>99.9</v>
      </c>
    </row>
    <row r="103" spans="1:2" x14ac:dyDescent="0.25">
      <c r="A103" s="1">
        <v>40969</v>
      </c>
      <c r="B103">
        <v>99.9</v>
      </c>
    </row>
    <row r="104" spans="1:2" x14ac:dyDescent="0.25">
      <c r="A104" s="1">
        <v>41061</v>
      </c>
      <c r="B104">
        <v>100.5</v>
      </c>
    </row>
    <row r="105" spans="1:2" x14ac:dyDescent="0.25">
      <c r="A105" s="1">
        <v>41153</v>
      </c>
      <c r="B105">
        <v>101.6</v>
      </c>
    </row>
    <row r="106" spans="1:2" x14ac:dyDescent="0.25">
      <c r="A106" s="1">
        <v>41244</v>
      </c>
      <c r="B106">
        <v>102</v>
      </c>
    </row>
    <row r="107" spans="1:2" x14ac:dyDescent="0.25">
      <c r="A107" s="1">
        <v>41334</v>
      </c>
      <c r="B107">
        <v>102.4</v>
      </c>
    </row>
    <row r="108" spans="1:2" x14ac:dyDescent="0.25">
      <c r="A108" s="1">
        <v>41426</v>
      </c>
      <c r="B108">
        <v>102.9</v>
      </c>
    </row>
    <row r="109" spans="1:2" x14ac:dyDescent="0.25">
      <c r="A109" s="1">
        <v>41518</v>
      </c>
      <c r="B109">
        <v>103.9</v>
      </c>
    </row>
    <row r="110" spans="1:2" x14ac:dyDescent="0.25">
      <c r="A110" s="1">
        <v>41609</v>
      </c>
      <c r="B110">
        <v>104.7</v>
      </c>
    </row>
    <row r="111" spans="1:2" x14ac:dyDescent="0.25">
      <c r="A111" s="1">
        <v>41699</v>
      </c>
      <c r="B111">
        <v>105.4</v>
      </c>
    </row>
    <row r="112" spans="1:2" x14ac:dyDescent="0.25">
      <c r="A112" s="1">
        <v>41791</v>
      </c>
      <c r="B112">
        <v>106.1</v>
      </c>
    </row>
    <row r="113" spans="1:2" x14ac:dyDescent="0.25">
      <c r="A113" s="1">
        <v>41883</v>
      </c>
      <c r="B113">
        <v>106.3</v>
      </c>
    </row>
    <row r="114" spans="1:2" x14ac:dyDescent="0.25">
      <c r="A114" s="1">
        <v>41974</v>
      </c>
      <c r="B114">
        <v>106.5</v>
      </c>
    </row>
    <row r="115" spans="1:2" x14ac:dyDescent="0.25">
      <c r="A115" s="1">
        <v>42064</v>
      </c>
      <c r="B115">
        <v>106.8</v>
      </c>
    </row>
    <row r="116" spans="1:2" x14ac:dyDescent="0.25">
      <c r="A116" s="1">
        <v>42156</v>
      </c>
      <c r="B116">
        <v>107.7</v>
      </c>
    </row>
    <row r="117" spans="1:2" x14ac:dyDescent="0.25">
      <c r="A117" s="1">
        <v>42248</v>
      </c>
      <c r="B117">
        <v>107.8</v>
      </c>
    </row>
    <row r="118" spans="1:2" x14ac:dyDescent="0.25">
      <c r="A118" s="1">
        <v>42339</v>
      </c>
      <c r="B118">
        <v>108.3</v>
      </c>
    </row>
    <row r="119" spans="1:2" x14ac:dyDescent="0.25">
      <c r="A119" s="1">
        <v>42430</v>
      </c>
      <c r="B119">
        <v>108.2</v>
      </c>
    </row>
    <row r="120" spans="1:2" x14ac:dyDescent="0.25">
      <c r="A120" s="1">
        <v>42522</v>
      </c>
      <c r="B120">
        <v>108.8</v>
      </c>
    </row>
    <row r="121" spans="1:2" x14ac:dyDescent="0.25">
      <c r="A121" s="1">
        <v>42614</v>
      </c>
      <c r="B121">
        <v>109.3</v>
      </c>
    </row>
    <row r="122" spans="1:2" x14ac:dyDescent="0.25">
      <c r="A122" s="1">
        <v>42705</v>
      </c>
      <c r="B122">
        <v>109.8</v>
      </c>
    </row>
    <row r="123" spans="1:2" x14ac:dyDescent="0.25">
      <c r="A123" s="1">
        <v>42795</v>
      </c>
      <c r="B123">
        <v>110.5</v>
      </c>
    </row>
    <row r="124" spans="1:2" x14ac:dyDescent="0.25">
      <c r="A124" s="1">
        <v>42887</v>
      </c>
      <c r="B124">
        <v>110.9</v>
      </c>
    </row>
    <row r="125" spans="1:2" x14ac:dyDescent="0.25">
      <c r="A125" s="1">
        <v>42979</v>
      </c>
      <c r="B125">
        <v>111.3</v>
      </c>
    </row>
    <row r="126" spans="1:2" x14ac:dyDescent="0.25">
      <c r="A126" s="1">
        <v>43070</v>
      </c>
      <c r="B126">
        <v>112.1</v>
      </c>
    </row>
    <row r="127" spans="1:2" x14ac:dyDescent="0.25">
      <c r="A127" s="1">
        <v>43160</v>
      </c>
      <c r="B127">
        <v>112.7</v>
      </c>
    </row>
    <row r="128" spans="1:2" x14ac:dyDescent="0.25">
      <c r="A128" s="1">
        <v>43252</v>
      </c>
      <c r="B128">
        <v>113.2</v>
      </c>
    </row>
    <row r="129" spans="1:2" x14ac:dyDescent="0.25">
      <c r="A129" s="1">
        <v>43344</v>
      </c>
      <c r="B129">
        <v>113.5</v>
      </c>
    </row>
    <row r="130" spans="1:2" x14ac:dyDescent="0.25">
      <c r="A130" s="1">
        <v>43435</v>
      </c>
      <c r="B130">
        <v>114</v>
      </c>
    </row>
    <row r="131" spans="1:2" x14ac:dyDescent="0.25">
      <c r="A131" s="1">
        <v>43525</v>
      </c>
      <c r="B131">
        <v>114.1</v>
      </c>
    </row>
    <row r="132" spans="1:2" x14ac:dyDescent="0.25">
      <c r="A132" s="1">
        <v>43617</v>
      </c>
      <c r="B132">
        <v>114.9</v>
      </c>
    </row>
    <row r="133" spans="1:2" x14ac:dyDescent="0.25">
      <c r="A133" s="1">
        <v>43709</v>
      </c>
      <c r="B133">
        <v>115.4</v>
      </c>
    </row>
    <row r="134" spans="1:2" x14ac:dyDescent="0.25">
      <c r="A134" s="1">
        <v>43800</v>
      </c>
      <c r="B134">
        <v>116.1</v>
      </c>
    </row>
    <row r="135" spans="1:2" x14ac:dyDescent="0.25">
      <c r="A135" s="1">
        <v>43891</v>
      </c>
      <c r="B135">
        <v>116.7</v>
      </c>
    </row>
    <row r="136" spans="1:2" x14ac:dyDescent="0.25">
      <c r="A136" s="1">
        <v>43983</v>
      </c>
      <c r="B136">
        <v>114.5</v>
      </c>
    </row>
    <row r="137" spans="1:2" x14ac:dyDescent="0.25">
      <c r="A137" s="1">
        <v>44075</v>
      </c>
      <c r="B137">
        <v>116.2</v>
      </c>
    </row>
    <row r="138" spans="1:2" x14ac:dyDescent="0.25">
      <c r="A138" s="1">
        <v>44166</v>
      </c>
      <c r="B138">
        <v>117.2</v>
      </c>
    </row>
    <row r="139" spans="1:2" x14ac:dyDescent="0.25">
      <c r="A139" s="1">
        <v>44256</v>
      </c>
      <c r="B139">
        <v>117.8</v>
      </c>
    </row>
    <row r="140" spans="1:2" x14ac:dyDescent="0.25">
      <c r="A140" s="1">
        <v>44348</v>
      </c>
      <c r="B140">
        <v>118.8</v>
      </c>
    </row>
    <row r="141" spans="1:2" x14ac:dyDescent="0.25">
      <c r="A141" s="1">
        <v>44440</v>
      </c>
      <c r="B141">
        <v>119.8</v>
      </c>
    </row>
    <row r="142" spans="1:2" x14ac:dyDescent="0.25">
      <c r="A142" s="1">
        <v>44531</v>
      </c>
      <c r="B142">
        <v>121.4</v>
      </c>
    </row>
    <row r="143" spans="1:2" x14ac:dyDescent="0.25">
      <c r="A143" s="1">
        <v>44621</v>
      </c>
      <c r="B143">
        <v>123.9</v>
      </c>
    </row>
    <row r="144" spans="1:2" x14ac:dyDescent="0.25">
      <c r="A144" s="1">
        <v>44713</v>
      </c>
      <c r="B144">
        <v>126.1</v>
      </c>
    </row>
    <row r="145" spans="1:2" x14ac:dyDescent="0.25">
      <c r="A145" s="1">
        <v>44805</v>
      </c>
      <c r="B145">
        <v>128.4</v>
      </c>
    </row>
    <row r="146" spans="1:2" x14ac:dyDescent="0.25">
      <c r="A146" s="1">
        <v>44896</v>
      </c>
      <c r="B146">
        <v>131</v>
      </c>
    </row>
    <row r="147" spans="1:2" x14ac:dyDescent="0.25">
      <c r="A147" s="1">
        <v>44986</v>
      </c>
      <c r="B147">
        <v>132.69999999999999</v>
      </c>
    </row>
    <row r="148" spans="1:2" x14ac:dyDescent="0.25">
      <c r="A148" s="1">
        <v>45078</v>
      </c>
      <c r="B148">
        <v>133.80000000000001</v>
      </c>
    </row>
    <row r="149" spans="1:2" x14ac:dyDescent="0.25">
      <c r="A149" s="1">
        <v>45170</v>
      </c>
      <c r="B149">
        <v>135.19999999999999</v>
      </c>
    </row>
    <row r="150" spans="1:2" x14ac:dyDescent="0.25">
      <c r="A150" s="1">
        <v>45261</v>
      </c>
      <c r="B150">
        <v>136.30000000000001</v>
      </c>
    </row>
    <row r="151" spans="1:2" x14ac:dyDescent="0.25">
      <c r="A151" s="1">
        <v>45352</v>
      </c>
      <c r="B151">
        <v>137.5</v>
      </c>
    </row>
    <row r="152" spans="1:2" x14ac:dyDescent="0.25">
      <c r="A152" s="1">
        <v>45444</v>
      </c>
      <c r="B152">
        <v>138.9</v>
      </c>
    </row>
    <row r="153" spans="1:2" x14ac:dyDescent="0.25">
      <c r="A153" s="1">
        <v>45536</v>
      </c>
      <c r="B153">
        <v>139.1</v>
      </c>
    </row>
    <row r="154" spans="1:2" x14ac:dyDescent="0.25">
      <c r="A154" s="1">
        <v>45627</v>
      </c>
      <c r="B154">
        <v>139.5</v>
      </c>
    </row>
    <row r="155" spans="1:2" x14ac:dyDescent="0.25">
      <c r="A155" s="1">
        <v>45717</v>
      </c>
      <c r="B155">
        <v>140.80000000000001</v>
      </c>
    </row>
    <row r="156" spans="1:2" x14ac:dyDescent="0.25">
      <c r="A156" s="1">
        <v>45809</v>
      </c>
      <c r="B156">
        <v>141.80000000000001</v>
      </c>
    </row>
    <row r="157" spans="1:2" x14ac:dyDescent="0.25">
      <c r="A157" s="1">
        <v>45901</v>
      </c>
      <c r="B157">
        <v>143.6</v>
      </c>
    </row>
    <row r="158" spans="1:2" x14ac:dyDescent="0.25">
      <c r="A158" s="1">
        <v>45992</v>
      </c>
      <c r="B158">
        <v>144.69999999999999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01B7-8FB8-446E-8A20-12BF0092375E}">
  <dimension ref="A1:F352"/>
  <sheetViews>
    <sheetView workbookViewId="0">
      <selection activeCell="C32" sqref="C32"/>
    </sheetView>
  </sheetViews>
  <sheetFormatPr defaultRowHeight="15" x14ac:dyDescent="0.25"/>
  <cols>
    <col min="1" max="1" width="10.42578125" bestFit="1" customWidth="1"/>
    <col min="2" max="2" width="10.42578125" customWidth="1"/>
    <col min="3" max="3" width="48.7109375" bestFit="1" customWidth="1"/>
    <col min="4" max="4" width="53" bestFit="1" customWidth="1"/>
    <col min="6" max="6" width="10.42578125" bestFit="1" customWidth="1"/>
  </cols>
  <sheetData>
    <row r="1" spans="1:4" x14ac:dyDescent="0.25">
      <c r="A1" s="29" t="s">
        <v>65</v>
      </c>
      <c r="B1" s="29" t="s">
        <v>306</v>
      </c>
      <c r="C1" s="29" t="s">
        <v>462</v>
      </c>
      <c r="D1" s="29" t="s">
        <v>463</v>
      </c>
    </row>
    <row r="2" spans="1:4" x14ac:dyDescent="0.25">
      <c r="A2" t="s">
        <v>351</v>
      </c>
      <c r="B2" s="3">
        <f>DATE(YEAR(A2),MONTH(A2)+1,1)</f>
        <v>35462</v>
      </c>
      <c r="C2">
        <v>419.26599499999998</v>
      </c>
      <c r="D2">
        <v>245.207708</v>
      </c>
    </row>
    <row r="3" spans="1:4" x14ac:dyDescent="0.25">
      <c r="A3" t="s">
        <v>352</v>
      </c>
      <c r="B3" s="3">
        <f t="shared" ref="B3:B66" si="0">DATE(YEAR(A3),MONTH(A3)+1,1)</f>
        <v>35490</v>
      </c>
      <c r="C3">
        <v>421.97543999999999</v>
      </c>
      <c r="D3">
        <v>249.744114</v>
      </c>
    </row>
    <row r="4" spans="1:4" x14ac:dyDescent="0.25">
      <c r="A4" t="s">
        <v>353</v>
      </c>
      <c r="B4" s="3">
        <f t="shared" si="0"/>
        <v>35521</v>
      </c>
      <c r="C4">
        <v>412.53766899999999</v>
      </c>
      <c r="D4">
        <v>247.58019400000001</v>
      </c>
    </row>
    <row r="5" spans="1:4" x14ac:dyDescent="0.25">
      <c r="A5" t="s">
        <v>354</v>
      </c>
      <c r="B5" s="3">
        <f t="shared" si="0"/>
        <v>35551</v>
      </c>
      <c r="C5">
        <v>421.84386999999998</v>
      </c>
      <c r="D5">
        <v>254.80865900000001</v>
      </c>
    </row>
    <row r="6" spans="1:4" x14ac:dyDescent="0.25">
      <c r="A6" t="s">
        <v>355</v>
      </c>
      <c r="B6" s="3">
        <f t="shared" si="0"/>
        <v>35582</v>
      </c>
      <c r="C6">
        <v>453.076662</v>
      </c>
      <c r="D6">
        <v>267.63286599999998</v>
      </c>
    </row>
    <row r="7" spans="1:4" x14ac:dyDescent="0.25">
      <c r="A7" t="s">
        <v>356</v>
      </c>
      <c r="B7" s="3">
        <f t="shared" si="0"/>
        <v>35612</v>
      </c>
      <c r="C7">
        <v>473.95344</v>
      </c>
      <c r="D7">
        <v>281.16866099999999</v>
      </c>
    </row>
    <row r="8" spans="1:4" x14ac:dyDescent="0.25">
      <c r="A8" t="s">
        <v>357</v>
      </c>
      <c r="B8" s="3">
        <f t="shared" si="0"/>
        <v>35643</v>
      </c>
      <c r="C8">
        <v>493.872681</v>
      </c>
      <c r="D8">
        <v>282.567724</v>
      </c>
    </row>
    <row r="9" spans="1:4" x14ac:dyDescent="0.25">
      <c r="A9" t="s">
        <v>358</v>
      </c>
      <c r="B9" s="3">
        <f t="shared" si="0"/>
        <v>35674</v>
      </c>
      <c r="C9">
        <v>468.06400400000001</v>
      </c>
      <c r="D9">
        <v>268.42931800000002</v>
      </c>
    </row>
    <row r="10" spans="1:4" x14ac:dyDescent="0.25">
      <c r="A10" t="s">
        <v>359</v>
      </c>
      <c r="B10" s="3">
        <f t="shared" si="0"/>
        <v>35704</v>
      </c>
      <c r="C10">
        <v>491.88310899999999</v>
      </c>
      <c r="D10">
        <v>287.58004599999998</v>
      </c>
    </row>
    <row r="11" spans="1:4" x14ac:dyDescent="0.25">
      <c r="A11" t="s">
        <v>360</v>
      </c>
      <c r="B11" s="3">
        <f t="shared" si="0"/>
        <v>35735</v>
      </c>
      <c r="C11">
        <v>467.52385700000002</v>
      </c>
      <c r="D11">
        <v>257.39946700000002</v>
      </c>
    </row>
    <row r="12" spans="1:4" x14ac:dyDescent="0.25">
      <c r="A12" t="s">
        <v>361</v>
      </c>
      <c r="B12" s="3">
        <f t="shared" si="0"/>
        <v>35765</v>
      </c>
      <c r="C12">
        <v>470.88535200000001</v>
      </c>
      <c r="D12">
        <v>258.770014</v>
      </c>
    </row>
    <row r="13" spans="1:4" x14ac:dyDescent="0.25">
      <c r="A13" t="s">
        <v>362</v>
      </c>
      <c r="B13" s="3">
        <f t="shared" si="0"/>
        <v>35796</v>
      </c>
      <c r="C13">
        <v>475.56997200000001</v>
      </c>
      <c r="D13">
        <v>278.75803500000001</v>
      </c>
    </row>
    <row r="14" spans="1:4" x14ac:dyDescent="0.25">
      <c r="A14" t="s">
        <v>363</v>
      </c>
      <c r="B14" s="3">
        <f t="shared" si="0"/>
        <v>35827</v>
      </c>
      <c r="C14">
        <v>487.18107199999997</v>
      </c>
      <c r="D14">
        <v>282.68164000000002</v>
      </c>
    </row>
    <row r="15" spans="1:4" x14ac:dyDescent="0.25">
      <c r="A15" t="s">
        <v>364</v>
      </c>
      <c r="B15" s="3">
        <f t="shared" si="0"/>
        <v>35855</v>
      </c>
      <c r="C15">
        <v>520.56558500000006</v>
      </c>
      <c r="D15">
        <v>292.18862899999999</v>
      </c>
    </row>
    <row r="16" spans="1:4" x14ac:dyDescent="0.25">
      <c r="A16" t="s">
        <v>365</v>
      </c>
      <c r="B16" s="3">
        <f t="shared" si="0"/>
        <v>35886</v>
      </c>
      <c r="C16">
        <v>542.45833400000004</v>
      </c>
      <c r="D16">
        <v>297.69347099999999</v>
      </c>
    </row>
    <row r="17" spans="1:4" x14ac:dyDescent="0.25">
      <c r="A17" t="s">
        <v>366</v>
      </c>
      <c r="B17" s="3">
        <f t="shared" si="0"/>
        <v>35916</v>
      </c>
      <c r="C17">
        <v>547.82319199999995</v>
      </c>
      <c r="D17">
        <v>297.31546800000001</v>
      </c>
    </row>
    <row r="18" spans="1:4" x14ac:dyDescent="0.25">
      <c r="A18" t="s">
        <v>367</v>
      </c>
      <c r="B18" s="3">
        <f t="shared" si="0"/>
        <v>35947</v>
      </c>
      <c r="C18">
        <v>540.83214299999997</v>
      </c>
      <c r="D18">
        <v>294.667507</v>
      </c>
    </row>
    <row r="19" spans="1:4" x14ac:dyDescent="0.25">
      <c r="A19" t="s">
        <v>368</v>
      </c>
      <c r="B19" s="3">
        <f t="shared" si="0"/>
        <v>35977</v>
      </c>
      <c r="C19">
        <v>550.43480499999998</v>
      </c>
      <c r="D19">
        <v>293.24988500000001</v>
      </c>
    </row>
    <row r="20" spans="1:4" x14ac:dyDescent="0.25">
      <c r="A20" t="s">
        <v>369</v>
      </c>
      <c r="B20" s="3">
        <f t="shared" si="0"/>
        <v>36008</v>
      </c>
      <c r="C20">
        <v>545.83012699999995</v>
      </c>
      <c r="D20">
        <v>301.50394299999999</v>
      </c>
    </row>
    <row r="21" spans="1:4" x14ac:dyDescent="0.25">
      <c r="A21" t="s">
        <v>370</v>
      </c>
      <c r="B21" s="3">
        <f t="shared" si="0"/>
        <v>36039</v>
      </c>
      <c r="C21">
        <v>469.555497</v>
      </c>
      <c r="D21">
        <v>279.68454500000001</v>
      </c>
    </row>
    <row r="22" spans="1:4" x14ac:dyDescent="0.25">
      <c r="A22" t="s">
        <v>371</v>
      </c>
      <c r="B22" s="3">
        <f t="shared" si="0"/>
        <v>36069</v>
      </c>
      <c r="C22">
        <v>479.354175</v>
      </c>
      <c r="D22">
        <v>292.49027799999999</v>
      </c>
    </row>
    <row r="23" spans="1:4" x14ac:dyDescent="0.25">
      <c r="A23" t="s">
        <v>372</v>
      </c>
      <c r="B23" s="3">
        <f t="shared" si="0"/>
        <v>36100</v>
      </c>
      <c r="C23">
        <v>520.18450900000005</v>
      </c>
      <c r="D23">
        <v>299.94997000000001</v>
      </c>
    </row>
    <row r="24" spans="1:4" x14ac:dyDescent="0.25">
      <c r="A24" t="s">
        <v>373</v>
      </c>
      <c r="B24" s="3">
        <f t="shared" si="0"/>
        <v>36130</v>
      </c>
      <c r="C24">
        <v>548.94135900000003</v>
      </c>
      <c r="D24">
        <v>317.80167599999999</v>
      </c>
    </row>
    <row r="25" spans="1:4" x14ac:dyDescent="0.25">
      <c r="A25" t="s">
        <v>374</v>
      </c>
      <c r="B25" s="3">
        <f t="shared" si="0"/>
        <v>36161</v>
      </c>
      <c r="C25">
        <v>576.87406099999998</v>
      </c>
      <c r="D25">
        <v>326.69956000000002</v>
      </c>
    </row>
    <row r="26" spans="1:4" x14ac:dyDescent="0.25">
      <c r="A26" t="s">
        <v>375</v>
      </c>
      <c r="B26" s="3">
        <f t="shared" si="0"/>
        <v>36192</v>
      </c>
      <c r="C26">
        <v>589.02460499999995</v>
      </c>
      <c r="D26">
        <v>341.27213999999998</v>
      </c>
    </row>
    <row r="27" spans="1:4" x14ac:dyDescent="0.25">
      <c r="A27" t="s">
        <v>376</v>
      </c>
      <c r="B27" s="3">
        <f t="shared" si="0"/>
        <v>36220</v>
      </c>
      <c r="C27">
        <v>571.30165199999999</v>
      </c>
      <c r="D27">
        <v>338.67590200000001</v>
      </c>
    </row>
    <row r="28" spans="1:4" x14ac:dyDescent="0.25">
      <c r="A28" t="s">
        <v>377</v>
      </c>
      <c r="B28" s="3">
        <f t="shared" si="0"/>
        <v>36251</v>
      </c>
      <c r="C28">
        <v>595.12350400000003</v>
      </c>
      <c r="D28">
        <v>349.72103800000002</v>
      </c>
    </row>
    <row r="29" spans="1:4" x14ac:dyDescent="0.25">
      <c r="A29" t="s">
        <v>378</v>
      </c>
      <c r="B29" s="3">
        <f t="shared" si="0"/>
        <v>36281</v>
      </c>
      <c r="C29">
        <v>623.09263199999998</v>
      </c>
      <c r="D29">
        <v>362.67756600000001</v>
      </c>
    </row>
    <row r="30" spans="1:4" x14ac:dyDescent="0.25">
      <c r="A30" t="s">
        <v>379</v>
      </c>
      <c r="B30" s="3">
        <f t="shared" si="0"/>
        <v>36312</v>
      </c>
      <c r="C30">
        <v>603.66703900000005</v>
      </c>
      <c r="D30">
        <v>341.25879600000002</v>
      </c>
    </row>
    <row r="31" spans="1:4" x14ac:dyDescent="0.25">
      <c r="A31" t="s">
        <v>380</v>
      </c>
      <c r="B31" s="3">
        <f t="shared" si="0"/>
        <v>36342</v>
      </c>
      <c r="C31">
        <v>632.94609400000002</v>
      </c>
      <c r="D31">
        <v>353.43616200000002</v>
      </c>
    </row>
    <row r="32" spans="1:4" x14ac:dyDescent="0.25">
      <c r="A32" t="s">
        <v>381</v>
      </c>
      <c r="B32" s="3">
        <f t="shared" si="0"/>
        <v>36373</v>
      </c>
      <c r="C32">
        <v>632.94434100000001</v>
      </c>
      <c r="D32">
        <v>357.66240900000003</v>
      </c>
    </row>
    <row r="33" spans="1:4" x14ac:dyDescent="0.25">
      <c r="A33" t="s">
        <v>382</v>
      </c>
      <c r="B33" s="3">
        <f t="shared" si="0"/>
        <v>36404</v>
      </c>
      <c r="C33">
        <v>634.60723099999996</v>
      </c>
      <c r="D33">
        <v>349.73998799999998</v>
      </c>
    </row>
    <row r="34" spans="1:4" x14ac:dyDescent="0.25">
      <c r="A34" t="s">
        <v>383</v>
      </c>
      <c r="B34" s="3">
        <f t="shared" si="0"/>
        <v>36434</v>
      </c>
      <c r="C34">
        <v>632.02789399999995</v>
      </c>
      <c r="D34">
        <v>345.53602100000001</v>
      </c>
    </row>
    <row r="35" spans="1:4" x14ac:dyDescent="0.25">
      <c r="A35" t="s">
        <v>384</v>
      </c>
      <c r="B35" s="3">
        <f t="shared" si="0"/>
        <v>36465</v>
      </c>
      <c r="C35">
        <v>663.264994</v>
      </c>
      <c r="D35">
        <v>346.95410600000002</v>
      </c>
    </row>
    <row r="36" spans="1:4" x14ac:dyDescent="0.25">
      <c r="A36" t="s">
        <v>385</v>
      </c>
      <c r="B36" s="3">
        <f t="shared" si="0"/>
        <v>36495</v>
      </c>
      <c r="C36">
        <v>690.32487800000001</v>
      </c>
      <c r="D36">
        <v>370.51854700000001</v>
      </c>
    </row>
    <row r="37" spans="1:4" x14ac:dyDescent="0.25">
      <c r="A37" t="s">
        <v>386</v>
      </c>
      <c r="B37" s="3">
        <f t="shared" si="0"/>
        <v>36526</v>
      </c>
      <c r="C37">
        <v>745.81840699999998</v>
      </c>
      <c r="D37">
        <v>379.19121799999999</v>
      </c>
    </row>
    <row r="38" spans="1:4" x14ac:dyDescent="0.25">
      <c r="A38" t="s">
        <v>387</v>
      </c>
      <c r="B38" s="3">
        <f t="shared" si="0"/>
        <v>36557</v>
      </c>
      <c r="C38">
        <v>709.30854399999998</v>
      </c>
      <c r="D38">
        <v>373.13591100000002</v>
      </c>
    </row>
    <row r="39" spans="1:4" x14ac:dyDescent="0.25">
      <c r="A39" t="s">
        <v>388</v>
      </c>
      <c r="B39" s="3">
        <f t="shared" si="0"/>
        <v>36586</v>
      </c>
      <c r="C39">
        <v>730.75816599999996</v>
      </c>
      <c r="D39">
        <v>378.41239000000002</v>
      </c>
    </row>
    <row r="40" spans="1:4" x14ac:dyDescent="0.25">
      <c r="A40" t="s">
        <v>389</v>
      </c>
      <c r="B40" s="3">
        <f t="shared" si="0"/>
        <v>36617</v>
      </c>
      <c r="C40">
        <v>761.42918399999996</v>
      </c>
      <c r="D40">
        <v>382.68910399999999</v>
      </c>
    </row>
    <row r="41" spans="1:4" x14ac:dyDescent="0.25">
      <c r="A41" t="s">
        <v>390</v>
      </c>
      <c r="B41" s="3">
        <f t="shared" si="0"/>
        <v>36647</v>
      </c>
      <c r="C41">
        <v>716.50829499999998</v>
      </c>
      <c r="D41">
        <v>377.67006900000001</v>
      </c>
    </row>
    <row r="42" spans="1:4" x14ac:dyDescent="0.25">
      <c r="A42" t="s">
        <v>391</v>
      </c>
      <c r="B42" s="3">
        <f t="shared" si="0"/>
        <v>36678</v>
      </c>
      <c r="C42">
        <v>691.711366</v>
      </c>
      <c r="D42">
        <v>371.946934</v>
      </c>
    </row>
    <row r="43" spans="1:4" x14ac:dyDescent="0.25">
      <c r="A43" t="s">
        <v>392</v>
      </c>
      <c r="B43" s="3">
        <f t="shared" si="0"/>
        <v>36708</v>
      </c>
      <c r="C43">
        <v>723.48165300000005</v>
      </c>
      <c r="D43">
        <v>398.62485600000002</v>
      </c>
    </row>
    <row r="44" spans="1:4" x14ac:dyDescent="0.25">
      <c r="A44" t="s">
        <v>393</v>
      </c>
      <c r="B44" s="3">
        <f t="shared" si="0"/>
        <v>36739</v>
      </c>
      <c r="C44">
        <v>700.33131600000002</v>
      </c>
      <c r="D44">
        <v>394.40840900000001</v>
      </c>
    </row>
    <row r="45" spans="1:4" x14ac:dyDescent="0.25">
      <c r="A45" t="s">
        <v>394</v>
      </c>
      <c r="B45" s="3">
        <f t="shared" si="0"/>
        <v>36770</v>
      </c>
      <c r="C45">
        <v>734.25646800000004</v>
      </c>
      <c r="D45">
        <v>397.64990899999998</v>
      </c>
    </row>
    <row r="46" spans="1:4" x14ac:dyDescent="0.25">
      <c r="A46" t="s">
        <v>395</v>
      </c>
      <c r="B46" s="3">
        <f t="shared" si="0"/>
        <v>36800</v>
      </c>
      <c r="C46">
        <v>697.733655</v>
      </c>
      <c r="D46">
        <v>398.73303399999998</v>
      </c>
    </row>
    <row r="47" spans="1:4" x14ac:dyDescent="0.25">
      <c r="A47" t="s">
        <v>396</v>
      </c>
      <c r="B47" s="3">
        <f t="shared" si="0"/>
        <v>36831</v>
      </c>
      <c r="C47">
        <v>676.89342699999997</v>
      </c>
      <c r="D47">
        <v>395.55164400000001</v>
      </c>
    </row>
    <row r="48" spans="1:4" x14ac:dyDescent="0.25">
      <c r="A48" t="s">
        <v>397</v>
      </c>
      <c r="B48" s="3">
        <f t="shared" si="0"/>
        <v>36861</v>
      </c>
      <c r="C48">
        <v>627.38469599999996</v>
      </c>
      <c r="D48">
        <v>399.26271500000001</v>
      </c>
    </row>
    <row r="49" spans="1:4" x14ac:dyDescent="0.25">
      <c r="A49" t="s">
        <v>398</v>
      </c>
      <c r="B49" s="3">
        <f t="shared" si="0"/>
        <v>36892</v>
      </c>
      <c r="C49">
        <v>641.01747399999999</v>
      </c>
      <c r="D49">
        <v>392.21904599999999</v>
      </c>
    </row>
    <row r="50" spans="1:4" x14ac:dyDescent="0.25">
      <c r="A50" t="s">
        <v>399</v>
      </c>
      <c r="B50" s="3">
        <f t="shared" si="0"/>
        <v>36923</v>
      </c>
      <c r="C50">
        <v>655.66203299999995</v>
      </c>
      <c r="D50">
        <v>411.012811</v>
      </c>
    </row>
    <row r="51" spans="1:4" x14ac:dyDescent="0.25">
      <c r="A51" t="s">
        <v>400</v>
      </c>
      <c r="B51" s="3">
        <f t="shared" si="0"/>
        <v>36951</v>
      </c>
      <c r="C51">
        <v>598.73344299999997</v>
      </c>
      <c r="D51">
        <v>407.13708600000001</v>
      </c>
    </row>
    <row r="52" spans="1:4" x14ac:dyDescent="0.25">
      <c r="A52" t="s">
        <v>401</v>
      </c>
      <c r="B52" s="3">
        <f t="shared" si="0"/>
        <v>36982</v>
      </c>
      <c r="C52">
        <v>556.67208900000003</v>
      </c>
      <c r="D52">
        <v>390.11319400000002</v>
      </c>
    </row>
    <row r="53" spans="1:4" x14ac:dyDescent="0.25">
      <c r="A53" t="s">
        <v>402</v>
      </c>
      <c r="B53" s="3">
        <f t="shared" si="0"/>
        <v>37012</v>
      </c>
      <c r="C53">
        <v>599.73245699999995</v>
      </c>
      <c r="D53">
        <v>411.44194099999999</v>
      </c>
    </row>
    <row r="54" spans="1:4" x14ac:dyDescent="0.25">
      <c r="A54" t="s">
        <v>403</v>
      </c>
      <c r="B54" s="3">
        <f t="shared" si="0"/>
        <v>37043</v>
      </c>
      <c r="C54">
        <v>594.57954099999995</v>
      </c>
      <c r="D54">
        <v>416.925454</v>
      </c>
    </row>
    <row r="55" spans="1:4" x14ac:dyDescent="0.25">
      <c r="A55" t="s">
        <v>404</v>
      </c>
      <c r="B55" s="3">
        <f t="shared" si="0"/>
        <v>37073</v>
      </c>
      <c r="C55">
        <v>577.97751400000004</v>
      </c>
      <c r="D55">
        <v>428.45855299999999</v>
      </c>
    </row>
    <row r="56" spans="1:4" x14ac:dyDescent="0.25">
      <c r="A56" t="s">
        <v>405</v>
      </c>
      <c r="B56" s="3">
        <f t="shared" si="0"/>
        <v>37104</v>
      </c>
      <c r="C56">
        <v>565.59589800000003</v>
      </c>
      <c r="D56">
        <v>408.67690199999998</v>
      </c>
    </row>
    <row r="57" spans="1:4" x14ac:dyDescent="0.25">
      <c r="A57" t="s">
        <v>406</v>
      </c>
      <c r="B57" s="3">
        <f t="shared" si="0"/>
        <v>37135</v>
      </c>
      <c r="C57">
        <v>540.64853900000003</v>
      </c>
      <c r="D57">
        <v>402.90077000000002</v>
      </c>
    </row>
    <row r="58" spans="1:4" x14ac:dyDescent="0.25">
      <c r="A58" t="s">
        <v>407</v>
      </c>
      <c r="B58" s="3">
        <f t="shared" si="0"/>
        <v>37165</v>
      </c>
      <c r="C58">
        <v>489.05500599999999</v>
      </c>
      <c r="D58">
        <v>379.40931899999998</v>
      </c>
    </row>
    <row r="59" spans="1:4" x14ac:dyDescent="0.25">
      <c r="A59" t="s">
        <v>408</v>
      </c>
      <c r="B59" s="3">
        <f t="shared" si="0"/>
        <v>37196</v>
      </c>
      <c r="C59">
        <v>502.47792900000002</v>
      </c>
      <c r="D59">
        <v>403.27659899999998</v>
      </c>
    </row>
    <row r="60" spans="1:4" x14ac:dyDescent="0.25">
      <c r="A60" t="s">
        <v>409</v>
      </c>
      <c r="B60" s="3">
        <f t="shared" si="0"/>
        <v>37226</v>
      </c>
      <c r="C60">
        <v>531.14396699999998</v>
      </c>
      <c r="D60">
        <v>418.04074100000003</v>
      </c>
    </row>
    <row r="61" spans="1:4" x14ac:dyDescent="0.25">
      <c r="A61" t="s">
        <v>410</v>
      </c>
      <c r="B61" s="3">
        <f t="shared" si="0"/>
        <v>37257</v>
      </c>
      <c r="C61">
        <v>535.84732699999995</v>
      </c>
      <c r="D61">
        <v>428.29222499999997</v>
      </c>
    </row>
    <row r="62" spans="1:4" x14ac:dyDescent="0.25">
      <c r="A62" t="s">
        <v>411</v>
      </c>
      <c r="B62" s="3">
        <f t="shared" si="0"/>
        <v>37288</v>
      </c>
      <c r="C62">
        <v>519.53382099999999</v>
      </c>
      <c r="D62">
        <v>433.33055400000001</v>
      </c>
    </row>
    <row r="63" spans="1:4" x14ac:dyDescent="0.25">
      <c r="A63" t="s">
        <v>412</v>
      </c>
      <c r="B63" s="3">
        <f t="shared" si="0"/>
        <v>37316</v>
      </c>
      <c r="C63">
        <v>514.53895</v>
      </c>
      <c r="D63">
        <v>427.75501300000002</v>
      </c>
    </row>
    <row r="64" spans="1:4" x14ac:dyDescent="0.25">
      <c r="A64" t="s">
        <v>413</v>
      </c>
      <c r="B64" s="3">
        <f t="shared" si="0"/>
        <v>37347</v>
      </c>
      <c r="C64">
        <v>539.98240899999996</v>
      </c>
      <c r="D64">
        <v>432.43544200000002</v>
      </c>
    </row>
    <row r="65" spans="1:4" x14ac:dyDescent="0.25">
      <c r="A65" t="s">
        <v>414</v>
      </c>
      <c r="B65" s="3">
        <f t="shared" si="0"/>
        <v>37377</v>
      </c>
      <c r="C65">
        <v>527.11614399999996</v>
      </c>
      <c r="D65">
        <v>423.91694799999999</v>
      </c>
    </row>
    <row r="66" spans="1:4" x14ac:dyDescent="0.25">
      <c r="A66" t="s">
        <v>415</v>
      </c>
      <c r="B66" s="3">
        <f t="shared" si="0"/>
        <v>37408</v>
      </c>
      <c r="C66">
        <v>529.05337899999995</v>
      </c>
      <c r="D66">
        <v>426.374011</v>
      </c>
    </row>
    <row r="67" spans="1:4" x14ac:dyDescent="0.25">
      <c r="A67" t="s">
        <v>416</v>
      </c>
      <c r="B67" s="3">
        <f t="shared" ref="B67:B130" si="1">DATE(YEAR(A67),MONTH(A67)+1,1)</f>
        <v>37438</v>
      </c>
      <c r="C67">
        <v>497.15596299999999</v>
      </c>
      <c r="D67">
        <v>409.86811299999999</v>
      </c>
    </row>
    <row r="68" spans="1:4" x14ac:dyDescent="0.25">
      <c r="A68" t="s">
        <v>417</v>
      </c>
      <c r="B68" s="3">
        <f t="shared" si="1"/>
        <v>37469</v>
      </c>
      <c r="C68">
        <v>454.70469500000002</v>
      </c>
      <c r="D68">
        <v>391.43480699999998</v>
      </c>
    </row>
    <row r="69" spans="1:4" x14ac:dyDescent="0.25">
      <c r="A69" t="s">
        <v>418</v>
      </c>
      <c r="B69" s="3">
        <f t="shared" si="1"/>
        <v>37500</v>
      </c>
      <c r="C69">
        <v>455.95183400000002</v>
      </c>
      <c r="D69">
        <v>397.88295799999997</v>
      </c>
    </row>
    <row r="70" spans="1:4" x14ac:dyDescent="0.25">
      <c r="A70" t="s">
        <v>419</v>
      </c>
      <c r="B70" s="3">
        <f t="shared" si="1"/>
        <v>37530</v>
      </c>
      <c r="C70">
        <v>408.70013899999998</v>
      </c>
      <c r="D70">
        <v>381.60909900000001</v>
      </c>
    </row>
    <row r="71" spans="1:4" x14ac:dyDescent="0.25">
      <c r="A71" t="s">
        <v>420</v>
      </c>
      <c r="B71" s="3">
        <f t="shared" si="1"/>
        <v>37561</v>
      </c>
      <c r="C71">
        <v>435.50903099999999</v>
      </c>
      <c r="D71">
        <v>392.030418</v>
      </c>
    </row>
    <row r="72" spans="1:4" x14ac:dyDescent="0.25">
      <c r="A72" t="s">
        <v>421</v>
      </c>
      <c r="B72" s="3">
        <f t="shared" si="1"/>
        <v>37591</v>
      </c>
      <c r="C72">
        <v>458.79289399999999</v>
      </c>
      <c r="D72">
        <v>397.08247299999999</v>
      </c>
    </row>
    <row r="73" spans="1:4" x14ac:dyDescent="0.25">
      <c r="A73" t="s">
        <v>422</v>
      </c>
      <c r="B73" s="3">
        <f t="shared" si="1"/>
        <v>37622</v>
      </c>
      <c r="C73">
        <v>438.05187100000001</v>
      </c>
      <c r="D73">
        <v>389.53384599999998</v>
      </c>
    </row>
    <row r="74" spans="1:4" x14ac:dyDescent="0.25">
      <c r="A74" t="s">
        <v>423</v>
      </c>
      <c r="B74" s="3">
        <f t="shared" si="1"/>
        <v>37653</v>
      </c>
      <c r="C74">
        <v>424.98913299999998</v>
      </c>
      <c r="D74">
        <v>382.469696</v>
      </c>
    </row>
    <row r="75" spans="1:4" x14ac:dyDescent="0.25">
      <c r="A75" t="s">
        <v>424</v>
      </c>
      <c r="B75" s="3">
        <f t="shared" si="1"/>
        <v>37681</v>
      </c>
      <c r="C75">
        <v>417.71146599999997</v>
      </c>
      <c r="D75">
        <v>365.23843799999997</v>
      </c>
    </row>
    <row r="76" spans="1:4" x14ac:dyDescent="0.25">
      <c r="A76" t="s">
        <v>425</v>
      </c>
      <c r="B76" s="3">
        <f t="shared" si="1"/>
        <v>37712</v>
      </c>
      <c r="C76">
        <v>417.12785600000001</v>
      </c>
      <c r="D76">
        <v>379.85224199999999</v>
      </c>
    </row>
    <row r="77" spans="1:4" x14ac:dyDescent="0.25">
      <c r="A77" t="s">
        <v>426</v>
      </c>
      <c r="B77" s="3">
        <f t="shared" si="1"/>
        <v>37742</v>
      </c>
      <c r="C77">
        <v>453.42995200000001</v>
      </c>
      <c r="D77">
        <v>396.40645699999999</v>
      </c>
    </row>
    <row r="78" spans="1:4" x14ac:dyDescent="0.25">
      <c r="A78" t="s">
        <v>427</v>
      </c>
      <c r="B78" s="3">
        <f t="shared" si="1"/>
        <v>37773</v>
      </c>
      <c r="C78">
        <v>481.76416999999998</v>
      </c>
      <c r="D78">
        <v>395.906949</v>
      </c>
    </row>
    <row r="79" spans="1:4" x14ac:dyDescent="0.25">
      <c r="A79" t="s">
        <v>428</v>
      </c>
      <c r="B79" s="3">
        <f t="shared" si="1"/>
        <v>37803</v>
      </c>
      <c r="C79">
        <v>490.56626399999999</v>
      </c>
      <c r="D79">
        <v>401.72944899999999</v>
      </c>
    </row>
    <row r="80" spans="1:4" x14ac:dyDescent="0.25">
      <c r="A80" t="s">
        <v>429</v>
      </c>
      <c r="B80" s="3">
        <f t="shared" si="1"/>
        <v>37834</v>
      </c>
      <c r="C80">
        <v>501.40116999999998</v>
      </c>
      <c r="D80">
        <v>414.16278199999999</v>
      </c>
    </row>
    <row r="81" spans="1:4" x14ac:dyDescent="0.25">
      <c r="A81" t="s">
        <v>430</v>
      </c>
      <c r="B81" s="3">
        <f t="shared" si="1"/>
        <v>37865</v>
      </c>
      <c r="C81">
        <v>513.93189900000004</v>
      </c>
      <c r="D81">
        <v>424.92341699999997</v>
      </c>
    </row>
    <row r="82" spans="1:4" x14ac:dyDescent="0.25">
      <c r="A82" t="s">
        <v>431</v>
      </c>
      <c r="B82" s="3">
        <f t="shared" si="1"/>
        <v>37895</v>
      </c>
      <c r="C82">
        <v>517.59826499999997</v>
      </c>
      <c r="D82">
        <v>423.67713300000003</v>
      </c>
    </row>
    <row r="83" spans="1:4" x14ac:dyDescent="0.25">
      <c r="A83" t="s">
        <v>432</v>
      </c>
      <c r="B83" s="3">
        <f t="shared" si="1"/>
        <v>37926</v>
      </c>
      <c r="C83">
        <v>549.31843200000003</v>
      </c>
      <c r="D83">
        <v>437.952045</v>
      </c>
    </row>
    <row r="84" spans="1:4" x14ac:dyDescent="0.25">
      <c r="A84" t="s">
        <v>433</v>
      </c>
      <c r="B84" s="3">
        <f t="shared" si="1"/>
        <v>37956</v>
      </c>
      <c r="C84">
        <v>558.16411200000005</v>
      </c>
      <c r="D84">
        <v>428.613112</v>
      </c>
    </row>
    <row r="85" spans="1:4" x14ac:dyDescent="0.25">
      <c r="A85" t="s">
        <v>434</v>
      </c>
      <c r="B85" s="3">
        <f t="shared" si="1"/>
        <v>37987</v>
      </c>
      <c r="C85">
        <v>590.551287</v>
      </c>
      <c r="D85">
        <v>445.54745200000002</v>
      </c>
    </row>
    <row r="86" spans="1:4" x14ac:dyDescent="0.25">
      <c r="A86" t="s">
        <v>435</v>
      </c>
      <c r="B86" s="3">
        <f t="shared" si="1"/>
        <v>38018</v>
      </c>
      <c r="C86">
        <v>602.12515800000006</v>
      </c>
      <c r="D86">
        <v>441.16674499999999</v>
      </c>
    </row>
    <row r="87" spans="1:4" x14ac:dyDescent="0.25">
      <c r="A87" t="s">
        <v>436</v>
      </c>
      <c r="B87" s="3">
        <f t="shared" si="1"/>
        <v>38047</v>
      </c>
      <c r="C87">
        <v>613.194253</v>
      </c>
      <c r="D87">
        <v>455.74374999999998</v>
      </c>
    </row>
    <row r="88" spans="1:4" x14ac:dyDescent="0.25">
      <c r="A88" t="s">
        <v>437</v>
      </c>
      <c r="B88" s="3">
        <f t="shared" si="1"/>
        <v>38078</v>
      </c>
      <c r="C88">
        <v>611.92215799999997</v>
      </c>
      <c r="D88">
        <v>467.21541999999999</v>
      </c>
    </row>
    <row r="89" spans="1:4" x14ac:dyDescent="0.25">
      <c r="A89" t="s">
        <v>438</v>
      </c>
      <c r="B89" s="3">
        <f t="shared" si="1"/>
        <v>38108</v>
      </c>
      <c r="C89">
        <v>597.30290600000001</v>
      </c>
      <c r="D89">
        <v>464.64449200000001</v>
      </c>
    </row>
    <row r="90" spans="1:4" x14ac:dyDescent="0.25">
      <c r="A90" t="s">
        <v>439</v>
      </c>
      <c r="B90" s="3">
        <f t="shared" si="1"/>
        <v>38139</v>
      </c>
      <c r="C90">
        <v>602.76812500000005</v>
      </c>
      <c r="D90">
        <v>474.19775099999998</v>
      </c>
    </row>
    <row r="91" spans="1:4" x14ac:dyDescent="0.25">
      <c r="A91" t="s">
        <v>440</v>
      </c>
      <c r="B91" s="3">
        <f t="shared" si="1"/>
        <v>38169</v>
      </c>
      <c r="C91">
        <v>616.60845900000004</v>
      </c>
      <c r="D91">
        <v>485.52058799999998</v>
      </c>
    </row>
    <row r="92" spans="1:4" x14ac:dyDescent="0.25">
      <c r="A92" t="s">
        <v>441</v>
      </c>
      <c r="B92" s="3">
        <f t="shared" si="1"/>
        <v>38200</v>
      </c>
      <c r="C92">
        <v>595.14427599999999</v>
      </c>
      <c r="D92">
        <v>487.06471499999998</v>
      </c>
    </row>
    <row r="93" spans="1:4" x14ac:dyDescent="0.25">
      <c r="A93" t="s">
        <v>442</v>
      </c>
      <c r="B93" s="3">
        <f t="shared" si="1"/>
        <v>38231</v>
      </c>
      <c r="C93">
        <v>597.33135200000004</v>
      </c>
      <c r="D93">
        <v>493.48162400000001</v>
      </c>
    </row>
    <row r="94" spans="1:4" x14ac:dyDescent="0.25">
      <c r="A94" t="s">
        <v>443</v>
      </c>
      <c r="B94" s="3">
        <f t="shared" si="1"/>
        <v>38261</v>
      </c>
      <c r="C94">
        <v>609.98534900000004</v>
      </c>
      <c r="D94">
        <v>512.36401000000001</v>
      </c>
    </row>
    <row r="95" spans="1:4" x14ac:dyDescent="0.25">
      <c r="A95" t="s">
        <v>444</v>
      </c>
      <c r="B95" s="3">
        <f t="shared" si="1"/>
        <v>38292</v>
      </c>
      <c r="C95">
        <v>624.76145299999996</v>
      </c>
      <c r="D95">
        <v>528.98198500000001</v>
      </c>
    </row>
    <row r="96" spans="1:4" x14ac:dyDescent="0.25">
      <c r="A96" t="s">
        <v>445</v>
      </c>
      <c r="B96" s="3">
        <f t="shared" si="1"/>
        <v>38322</v>
      </c>
      <c r="C96">
        <v>658.97651699999994</v>
      </c>
      <c r="D96">
        <v>552.68751299999997</v>
      </c>
    </row>
    <row r="97" spans="1:6" x14ac:dyDescent="0.25">
      <c r="A97" t="s">
        <v>446</v>
      </c>
      <c r="B97" s="3">
        <f t="shared" si="1"/>
        <v>38353</v>
      </c>
      <c r="C97">
        <v>684.59750399999996</v>
      </c>
      <c r="D97">
        <v>569.48878100000002</v>
      </c>
    </row>
    <row r="98" spans="1:6" x14ac:dyDescent="0.25">
      <c r="A98" t="s">
        <v>447</v>
      </c>
      <c r="B98" s="3">
        <f t="shared" si="1"/>
        <v>38384</v>
      </c>
      <c r="C98">
        <v>670.03907500000003</v>
      </c>
      <c r="D98">
        <v>580.95268799999997</v>
      </c>
    </row>
    <row r="99" spans="1:6" x14ac:dyDescent="0.25">
      <c r="A99" t="s">
        <v>448</v>
      </c>
      <c r="B99" s="3">
        <f t="shared" si="1"/>
        <v>38412</v>
      </c>
      <c r="C99">
        <v>691.13903000000005</v>
      </c>
      <c r="D99">
        <v>595.55734399999994</v>
      </c>
    </row>
    <row r="100" spans="1:6" x14ac:dyDescent="0.25">
      <c r="A100" t="s">
        <v>449</v>
      </c>
      <c r="B100" s="3">
        <f t="shared" si="1"/>
        <v>38443</v>
      </c>
      <c r="C100">
        <v>677.689123</v>
      </c>
      <c r="D100">
        <v>588.82971399999997</v>
      </c>
    </row>
    <row r="101" spans="1:6" x14ac:dyDescent="0.25">
      <c r="A101" t="s">
        <v>450</v>
      </c>
      <c r="B101" s="3">
        <f t="shared" si="1"/>
        <v>38473</v>
      </c>
      <c r="C101">
        <v>661.56467899999996</v>
      </c>
      <c r="D101">
        <v>572.65475100000003</v>
      </c>
    </row>
    <row r="102" spans="1:6" x14ac:dyDescent="0.25">
      <c r="A102" t="s">
        <v>451</v>
      </c>
      <c r="B102" s="3">
        <f t="shared" si="1"/>
        <v>38504</v>
      </c>
      <c r="C102">
        <v>675.335868</v>
      </c>
      <c r="D102">
        <v>588.799443</v>
      </c>
    </row>
    <row r="103" spans="1:6" x14ac:dyDescent="0.25">
      <c r="A103" t="s">
        <v>452</v>
      </c>
      <c r="B103" s="3">
        <f t="shared" si="1"/>
        <v>38534</v>
      </c>
      <c r="C103">
        <v>683.308854</v>
      </c>
      <c r="D103">
        <v>619.34059000000002</v>
      </c>
    </row>
    <row r="104" spans="1:6" x14ac:dyDescent="0.25">
      <c r="A104" t="s">
        <v>453</v>
      </c>
      <c r="B104" s="3">
        <f t="shared" si="1"/>
        <v>38565</v>
      </c>
      <c r="C104">
        <v>708.72342200000003</v>
      </c>
      <c r="D104">
        <v>636.22614499999997</v>
      </c>
    </row>
    <row r="105" spans="1:6" x14ac:dyDescent="0.25">
      <c r="A105" t="s">
        <v>454</v>
      </c>
      <c r="B105" s="3">
        <f t="shared" si="1"/>
        <v>38596</v>
      </c>
      <c r="C105">
        <v>713.86385600000006</v>
      </c>
      <c r="D105">
        <v>651.01550699999996</v>
      </c>
    </row>
    <row r="106" spans="1:6" x14ac:dyDescent="0.25">
      <c r="A106" t="s">
        <v>455</v>
      </c>
      <c r="B106" s="3">
        <f t="shared" si="1"/>
        <v>38626</v>
      </c>
      <c r="C106">
        <v>731.66832699999998</v>
      </c>
      <c r="D106">
        <v>686.90116399999999</v>
      </c>
    </row>
    <row r="107" spans="1:6" x14ac:dyDescent="0.25">
      <c r="A107" t="s">
        <v>456</v>
      </c>
      <c r="B107" s="3">
        <f t="shared" si="1"/>
        <v>38657</v>
      </c>
      <c r="C107">
        <v>713.93244600000003</v>
      </c>
      <c r="D107">
        <v>659.29257500000006</v>
      </c>
    </row>
    <row r="108" spans="1:6" x14ac:dyDescent="0.25">
      <c r="A108" t="s">
        <v>457</v>
      </c>
      <c r="B108" s="3">
        <f t="shared" si="1"/>
        <v>38687</v>
      </c>
      <c r="C108">
        <v>737.88902800000005</v>
      </c>
      <c r="D108">
        <v>690.71817999999996</v>
      </c>
    </row>
    <row r="109" spans="1:6" x14ac:dyDescent="0.25">
      <c r="A109" t="s">
        <v>458</v>
      </c>
      <c r="B109" s="3">
        <f t="shared" si="1"/>
        <v>38718</v>
      </c>
      <c r="C109">
        <v>754.87961099999995</v>
      </c>
      <c r="D109">
        <v>712.95624699999996</v>
      </c>
      <c r="F109" s="3"/>
    </row>
    <row r="110" spans="1:6" x14ac:dyDescent="0.25">
      <c r="A110" t="s">
        <v>66</v>
      </c>
      <c r="B110" s="3">
        <f t="shared" si="1"/>
        <v>38749</v>
      </c>
      <c r="C110">
        <v>791.29907400000002</v>
      </c>
      <c r="D110">
        <v>739.35562500000003</v>
      </c>
    </row>
    <row r="111" spans="1:6" x14ac:dyDescent="0.25">
      <c r="A111" t="s">
        <v>67</v>
      </c>
      <c r="B111" s="3">
        <f t="shared" si="1"/>
        <v>38777</v>
      </c>
      <c r="C111">
        <v>789.79312600000003</v>
      </c>
      <c r="D111">
        <v>743.83735200000001</v>
      </c>
    </row>
    <row r="112" spans="1:6" x14ac:dyDescent="0.25">
      <c r="A112" t="s">
        <v>68</v>
      </c>
      <c r="B112" s="3">
        <f t="shared" si="1"/>
        <v>38808</v>
      </c>
      <c r="C112">
        <v>809.32011899999998</v>
      </c>
      <c r="D112">
        <v>780.24346800000001</v>
      </c>
      <c r="F112" s="3"/>
    </row>
    <row r="113" spans="1:6" x14ac:dyDescent="0.25">
      <c r="A113" t="s">
        <v>69</v>
      </c>
      <c r="B113" s="3">
        <f t="shared" si="1"/>
        <v>38838</v>
      </c>
      <c r="C113">
        <v>832.75785599999995</v>
      </c>
      <c r="D113">
        <v>800.31266500000004</v>
      </c>
    </row>
    <row r="114" spans="1:6" x14ac:dyDescent="0.25">
      <c r="A114" t="s">
        <v>70</v>
      </c>
      <c r="B114" s="3">
        <f t="shared" si="1"/>
        <v>38869</v>
      </c>
      <c r="C114">
        <v>803.43851500000005</v>
      </c>
      <c r="D114">
        <v>763.36238100000003</v>
      </c>
    </row>
    <row r="115" spans="1:6" x14ac:dyDescent="0.25">
      <c r="A115" t="s">
        <v>71</v>
      </c>
      <c r="B115" s="3">
        <f t="shared" si="1"/>
        <v>38899</v>
      </c>
      <c r="C115">
        <v>802.64573099999996</v>
      </c>
      <c r="D115">
        <v>780.02674300000001</v>
      </c>
      <c r="F115" s="3"/>
    </row>
    <row r="116" spans="1:6" x14ac:dyDescent="0.25">
      <c r="A116" t="s">
        <v>72</v>
      </c>
      <c r="B116" s="3">
        <f t="shared" si="1"/>
        <v>38930</v>
      </c>
      <c r="C116">
        <v>805.27560300000005</v>
      </c>
      <c r="D116">
        <v>766.24458300000003</v>
      </c>
    </row>
    <row r="117" spans="1:6" x14ac:dyDescent="0.25">
      <c r="A117" t="s">
        <v>73</v>
      </c>
      <c r="B117" s="3">
        <f t="shared" si="1"/>
        <v>38961</v>
      </c>
      <c r="C117">
        <v>826.06136200000003</v>
      </c>
      <c r="D117">
        <v>792.22571000000005</v>
      </c>
    </row>
    <row r="118" spans="1:6" x14ac:dyDescent="0.25">
      <c r="A118" t="s">
        <v>74</v>
      </c>
      <c r="B118" s="3">
        <f t="shared" si="1"/>
        <v>38991</v>
      </c>
      <c r="C118">
        <v>835.13401499999998</v>
      </c>
      <c r="D118">
        <v>801.24066600000003</v>
      </c>
      <c r="F118" s="3"/>
    </row>
    <row r="119" spans="1:6" x14ac:dyDescent="0.25">
      <c r="A119" t="s">
        <v>75</v>
      </c>
      <c r="B119" s="3">
        <f t="shared" si="1"/>
        <v>39022</v>
      </c>
      <c r="C119">
        <v>866.42879000000005</v>
      </c>
      <c r="D119">
        <v>837.47286199999996</v>
      </c>
    </row>
    <row r="120" spans="1:6" x14ac:dyDescent="0.25">
      <c r="A120" t="s">
        <v>76</v>
      </c>
      <c r="B120" s="3">
        <f t="shared" si="1"/>
        <v>39052</v>
      </c>
      <c r="C120">
        <v>889.05699800000002</v>
      </c>
      <c r="D120">
        <v>856.06237399999998</v>
      </c>
    </row>
    <row r="121" spans="1:6" x14ac:dyDescent="0.25">
      <c r="A121" t="s">
        <v>77</v>
      </c>
      <c r="B121" s="3">
        <f t="shared" si="1"/>
        <v>39083</v>
      </c>
      <c r="C121">
        <v>906.58022200000005</v>
      </c>
      <c r="D121">
        <v>885.32149100000004</v>
      </c>
    </row>
    <row r="122" spans="1:6" x14ac:dyDescent="0.25">
      <c r="A122" t="s">
        <v>78</v>
      </c>
      <c r="B122" s="3">
        <f t="shared" si="1"/>
        <v>39114</v>
      </c>
      <c r="C122">
        <v>918.27120000000002</v>
      </c>
      <c r="D122">
        <v>902.41136300000005</v>
      </c>
    </row>
    <row r="123" spans="1:6" x14ac:dyDescent="0.25">
      <c r="A123" t="s">
        <v>79</v>
      </c>
      <c r="B123" s="3">
        <f t="shared" si="1"/>
        <v>39142</v>
      </c>
      <c r="C123">
        <v>914.90818100000001</v>
      </c>
      <c r="D123">
        <v>916.61606400000005</v>
      </c>
    </row>
    <row r="124" spans="1:6" x14ac:dyDescent="0.25">
      <c r="A124" t="s">
        <v>80</v>
      </c>
      <c r="B124" s="3">
        <f t="shared" si="1"/>
        <v>39173</v>
      </c>
      <c r="C124">
        <v>932.09759399999996</v>
      </c>
      <c r="D124">
        <v>946.08734200000004</v>
      </c>
    </row>
    <row r="125" spans="1:6" x14ac:dyDescent="0.25">
      <c r="A125" t="s">
        <v>81</v>
      </c>
      <c r="B125" s="3">
        <f t="shared" si="1"/>
        <v>39203</v>
      </c>
      <c r="C125">
        <v>971.96099900000002</v>
      </c>
      <c r="D125">
        <v>975.14952900000003</v>
      </c>
    </row>
    <row r="126" spans="1:6" x14ac:dyDescent="0.25">
      <c r="A126" t="s">
        <v>82</v>
      </c>
      <c r="B126" s="3">
        <f t="shared" si="1"/>
        <v>39234</v>
      </c>
      <c r="C126">
        <v>1000</v>
      </c>
      <c r="D126">
        <v>1000</v>
      </c>
    </row>
    <row r="127" spans="1:6" x14ac:dyDescent="0.25">
      <c r="A127" t="s">
        <v>83</v>
      </c>
      <c r="B127" s="3">
        <f t="shared" si="1"/>
        <v>39264</v>
      </c>
      <c r="C127">
        <v>991.70582300000001</v>
      </c>
      <c r="D127">
        <v>1000.983113</v>
      </c>
    </row>
    <row r="128" spans="1:6" x14ac:dyDescent="0.25">
      <c r="A128" t="s">
        <v>84</v>
      </c>
      <c r="B128" s="3">
        <f t="shared" si="1"/>
        <v>39295</v>
      </c>
      <c r="C128">
        <v>968.58951500000001</v>
      </c>
      <c r="D128">
        <v>978.68189099999995</v>
      </c>
    </row>
    <row r="129" spans="1:4" x14ac:dyDescent="0.25">
      <c r="A129" t="s">
        <v>85</v>
      </c>
      <c r="B129" s="3">
        <f t="shared" si="1"/>
        <v>39326</v>
      </c>
      <c r="C129">
        <v>966.14903300000003</v>
      </c>
      <c r="D129">
        <v>1004.835473</v>
      </c>
    </row>
    <row r="130" spans="1:4" x14ac:dyDescent="0.25">
      <c r="A130" t="s">
        <v>86</v>
      </c>
      <c r="B130" s="3">
        <f t="shared" si="1"/>
        <v>39356</v>
      </c>
      <c r="C130">
        <v>1009.870131</v>
      </c>
      <c r="D130">
        <v>1061.067018</v>
      </c>
    </row>
    <row r="131" spans="1:4" x14ac:dyDescent="0.25">
      <c r="A131" t="s">
        <v>87</v>
      </c>
      <c r="B131" s="3">
        <f t="shared" ref="B131:B194" si="2">DATE(YEAR(A131),MONTH(A131)+1,1)</f>
        <v>39387</v>
      </c>
      <c r="C131">
        <v>1042.1508899999999</v>
      </c>
      <c r="D131">
        <v>1091.8532560000001</v>
      </c>
    </row>
    <row r="132" spans="1:4" x14ac:dyDescent="0.25">
      <c r="A132" t="s">
        <v>88</v>
      </c>
      <c r="B132" s="3">
        <f t="shared" si="2"/>
        <v>39417</v>
      </c>
      <c r="C132">
        <v>997.11917800000003</v>
      </c>
      <c r="D132">
        <v>1059.551391</v>
      </c>
    </row>
    <row r="133" spans="1:4" x14ac:dyDescent="0.25">
      <c r="A133" t="s">
        <v>89</v>
      </c>
      <c r="B133" s="3">
        <f t="shared" si="2"/>
        <v>39448</v>
      </c>
      <c r="C133">
        <v>983.50383399999998</v>
      </c>
      <c r="D133">
        <v>1030.119647</v>
      </c>
    </row>
    <row r="134" spans="1:4" x14ac:dyDescent="0.25">
      <c r="A134" t="s">
        <v>90</v>
      </c>
      <c r="B134" s="3">
        <f t="shared" si="2"/>
        <v>39479</v>
      </c>
      <c r="C134">
        <v>908.21018000000004</v>
      </c>
      <c r="D134">
        <v>917.29253800000004</v>
      </c>
    </row>
    <row r="135" spans="1:4" x14ac:dyDescent="0.25">
      <c r="A135" t="s">
        <v>91</v>
      </c>
      <c r="B135" s="3">
        <f t="shared" si="2"/>
        <v>39508</v>
      </c>
      <c r="C135">
        <v>904.24873600000001</v>
      </c>
      <c r="D135">
        <v>909.515897</v>
      </c>
    </row>
    <row r="136" spans="1:4" x14ac:dyDescent="0.25">
      <c r="A136" t="s">
        <v>92</v>
      </c>
      <c r="B136" s="3">
        <f t="shared" si="2"/>
        <v>39539</v>
      </c>
      <c r="C136">
        <v>894.99836200000004</v>
      </c>
      <c r="D136">
        <v>881.21372699999995</v>
      </c>
    </row>
    <row r="137" spans="1:4" x14ac:dyDescent="0.25">
      <c r="A137" t="s">
        <v>93</v>
      </c>
      <c r="B137" s="3">
        <f t="shared" si="2"/>
        <v>39569</v>
      </c>
      <c r="C137">
        <v>941.002206</v>
      </c>
      <c r="D137">
        <v>925.23994400000004</v>
      </c>
    </row>
    <row r="138" spans="1:4" x14ac:dyDescent="0.25">
      <c r="A138" t="s">
        <v>94</v>
      </c>
      <c r="B138" s="3">
        <f t="shared" si="2"/>
        <v>39600</v>
      </c>
      <c r="C138">
        <v>958.34058800000003</v>
      </c>
      <c r="D138">
        <v>937.70794799999999</v>
      </c>
    </row>
    <row r="139" spans="1:4" x14ac:dyDescent="0.25">
      <c r="A139" t="s">
        <v>95</v>
      </c>
      <c r="B139" s="3">
        <f t="shared" si="2"/>
        <v>39630</v>
      </c>
      <c r="C139">
        <v>881.79173700000001</v>
      </c>
      <c r="D139">
        <v>867.41146500000002</v>
      </c>
    </row>
    <row r="140" spans="1:4" x14ac:dyDescent="0.25">
      <c r="A140" t="s">
        <v>96</v>
      </c>
      <c r="B140" s="3">
        <f t="shared" si="2"/>
        <v>39661</v>
      </c>
      <c r="C140">
        <v>860.930924</v>
      </c>
      <c r="D140">
        <v>826.17445299999997</v>
      </c>
    </row>
    <row r="141" spans="1:4" x14ac:dyDescent="0.25">
      <c r="A141" t="s">
        <v>97</v>
      </c>
      <c r="B141" s="3">
        <f t="shared" si="2"/>
        <v>39692</v>
      </c>
      <c r="C141">
        <v>850.22364800000003</v>
      </c>
      <c r="D141">
        <v>862.53920200000005</v>
      </c>
    </row>
    <row r="142" spans="1:4" x14ac:dyDescent="0.25">
      <c r="A142" t="s">
        <v>98</v>
      </c>
      <c r="B142" s="3">
        <f t="shared" si="2"/>
        <v>39722</v>
      </c>
      <c r="C142">
        <v>747.65997700000003</v>
      </c>
      <c r="D142">
        <v>775.74397499999998</v>
      </c>
    </row>
    <row r="143" spans="1:4" x14ac:dyDescent="0.25">
      <c r="A143" t="s">
        <v>99</v>
      </c>
      <c r="B143" s="3">
        <f t="shared" si="2"/>
        <v>39753</v>
      </c>
      <c r="C143">
        <v>602.63365599999997</v>
      </c>
      <c r="D143">
        <v>678.90937199999996</v>
      </c>
    </row>
    <row r="144" spans="1:4" x14ac:dyDescent="0.25">
      <c r="A144" t="s">
        <v>100</v>
      </c>
      <c r="B144" s="3">
        <f t="shared" si="2"/>
        <v>39783</v>
      </c>
      <c r="C144">
        <v>562.23226099999999</v>
      </c>
      <c r="D144">
        <v>633.23523599999999</v>
      </c>
    </row>
    <row r="145" spans="1:4" x14ac:dyDescent="0.25">
      <c r="A145" t="s">
        <v>101</v>
      </c>
      <c r="B145" s="3">
        <f t="shared" si="2"/>
        <v>39814</v>
      </c>
      <c r="C145">
        <v>582.01081599999998</v>
      </c>
      <c r="D145">
        <v>630.66129899999999</v>
      </c>
    </row>
    <row r="146" spans="1:4" x14ac:dyDescent="0.25">
      <c r="A146" t="s">
        <v>102</v>
      </c>
      <c r="B146" s="3">
        <f t="shared" si="2"/>
        <v>39845</v>
      </c>
      <c r="C146">
        <v>531.75176799999997</v>
      </c>
      <c r="D146">
        <v>598.43572400000005</v>
      </c>
    </row>
    <row r="147" spans="1:4" x14ac:dyDescent="0.25">
      <c r="A147" t="s">
        <v>103</v>
      </c>
      <c r="B147" s="3">
        <f t="shared" si="2"/>
        <v>39873</v>
      </c>
      <c r="C147">
        <v>477.20596</v>
      </c>
      <c r="D147">
        <v>571.91131800000005</v>
      </c>
    </row>
    <row r="148" spans="1:4" x14ac:dyDescent="0.25">
      <c r="A148" t="s">
        <v>104</v>
      </c>
      <c r="B148" s="3">
        <f t="shared" si="2"/>
        <v>39904</v>
      </c>
      <c r="C148">
        <v>513.55423199999996</v>
      </c>
      <c r="D148">
        <v>621.64895000000001</v>
      </c>
    </row>
    <row r="149" spans="1:4" x14ac:dyDescent="0.25">
      <c r="A149" t="s">
        <v>105</v>
      </c>
      <c r="B149" s="3">
        <f t="shared" si="2"/>
        <v>39934</v>
      </c>
      <c r="C149">
        <v>574.22196699999995</v>
      </c>
      <c r="D149">
        <v>657.99675400000001</v>
      </c>
    </row>
    <row r="150" spans="1:4" x14ac:dyDescent="0.25">
      <c r="A150" t="s">
        <v>106</v>
      </c>
      <c r="B150" s="3">
        <f t="shared" si="2"/>
        <v>39965</v>
      </c>
      <c r="C150">
        <v>626.00798199999997</v>
      </c>
      <c r="D150">
        <v>667.46358999999995</v>
      </c>
    </row>
    <row r="151" spans="1:4" x14ac:dyDescent="0.25">
      <c r="A151" t="s">
        <v>107</v>
      </c>
      <c r="B151" s="3">
        <f t="shared" si="2"/>
        <v>39995</v>
      </c>
      <c r="C151">
        <v>624.35597900000005</v>
      </c>
      <c r="D151">
        <v>694.44244900000001</v>
      </c>
    </row>
    <row r="152" spans="1:4" x14ac:dyDescent="0.25">
      <c r="A152" t="s">
        <v>108</v>
      </c>
      <c r="B152" s="3">
        <f t="shared" si="2"/>
        <v>40026</v>
      </c>
      <c r="C152">
        <v>677.47592099999997</v>
      </c>
      <c r="D152">
        <v>746.74750600000004</v>
      </c>
    </row>
    <row r="153" spans="1:4" x14ac:dyDescent="0.25">
      <c r="A153" t="s">
        <v>109</v>
      </c>
      <c r="B153" s="3">
        <f t="shared" si="2"/>
        <v>40057</v>
      </c>
      <c r="C153">
        <v>707.04081299999996</v>
      </c>
      <c r="D153">
        <v>797.87444200000004</v>
      </c>
    </row>
    <row r="154" spans="1:4" x14ac:dyDescent="0.25">
      <c r="A154" t="s">
        <v>110</v>
      </c>
      <c r="B154" s="3">
        <f t="shared" si="2"/>
        <v>40087</v>
      </c>
      <c r="C154">
        <v>736.86332800000002</v>
      </c>
      <c r="D154">
        <v>849.38296100000002</v>
      </c>
    </row>
    <row r="155" spans="1:4" x14ac:dyDescent="0.25">
      <c r="A155" t="s">
        <v>111</v>
      </c>
      <c r="B155" s="3">
        <f t="shared" si="2"/>
        <v>40118</v>
      </c>
      <c r="C155">
        <v>721.77847399999996</v>
      </c>
      <c r="D155">
        <v>831.73330299999998</v>
      </c>
    </row>
    <row r="156" spans="1:4" x14ac:dyDescent="0.25">
      <c r="A156" t="s">
        <v>112</v>
      </c>
      <c r="B156" s="3">
        <f t="shared" si="2"/>
        <v>40148</v>
      </c>
      <c r="C156">
        <v>749.75539100000003</v>
      </c>
      <c r="D156">
        <v>846.90827100000001</v>
      </c>
    </row>
    <row r="157" spans="1:4" x14ac:dyDescent="0.25">
      <c r="A157" t="s">
        <v>113</v>
      </c>
      <c r="B157" s="3">
        <f t="shared" si="2"/>
        <v>40179</v>
      </c>
      <c r="C157">
        <v>765.74116200000003</v>
      </c>
      <c r="D157">
        <v>878.343298</v>
      </c>
    </row>
    <row r="158" spans="1:4" x14ac:dyDescent="0.25">
      <c r="A158" t="s">
        <v>114</v>
      </c>
      <c r="B158" s="3">
        <f t="shared" si="2"/>
        <v>40210</v>
      </c>
      <c r="C158">
        <v>735.72610499999996</v>
      </c>
      <c r="D158">
        <v>825.12266299999999</v>
      </c>
    </row>
    <row r="159" spans="1:4" x14ac:dyDescent="0.25">
      <c r="A159" t="s">
        <v>115</v>
      </c>
      <c r="B159" s="3">
        <f t="shared" si="2"/>
        <v>40238</v>
      </c>
      <c r="C159">
        <v>746.93843700000002</v>
      </c>
      <c r="D159">
        <v>844.79941899999994</v>
      </c>
    </row>
    <row r="160" spans="1:4" x14ac:dyDescent="0.25">
      <c r="A160" t="s">
        <v>116</v>
      </c>
      <c r="B160" s="3">
        <f t="shared" si="2"/>
        <v>40269</v>
      </c>
      <c r="C160">
        <v>794.63717599999995</v>
      </c>
      <c r="D160">
        <v>893.60148100000004</v>
      </c>
    </row>
    <row r="161" spans="1:4" x14ac:dyDescent="0.25">
      <c r="A161" t="s">
        <v>117</v>
      </c>
      <c r="B161" s="3">
        <f t="shared" si="2"/>
        <v>40299</v>
      </c>
      <c r="C161">
        <v>798.66063399999996</v>
      </c>
      <c r="D161">
        <v>878.31767300000001</v>
      </c>
    </row>
    <row r="162" spans="1:4" x14ac:dyDescent="0.25">
      <c r="A162" t="s">
        <v>118</v>
      </c>
      <c r="B162" s="3">
        <f t="shared" si="2"/>
        <v>40330</v>
      </c>
      <c r="C162">
        <v>722.13463200000001</v>
      </c>
      <c r="D162">
        <v>810.3655</v>
      </c>
    </row>
    <row r="163" spans="1:4" x14ac:dyDescent="0.25">
      <c r="A163" t="s">
        <v>119</v>
      </c>
      <c r="B163" s="3">
        <f t="shared" si="2"/>
        <v>40360</v>
      </c>
      <c r="C163">
        <v>696.18017999999995</v>
      </c>
      <c r="D163">
        <v>786.77036999999996</v>
      </c>
    </row>
    <row r="164" spans="1:4" x14ac:dyDescent="0.25">
      <c r="A164" t="s">
        <v>120</v>
      </c>
      <c r="B164" s="3">
        <f t="shared" si="2"/>
        <v>40391</v>
      </c>
      <c r="C164">
        <v>752.30474800000002</v>
      </c>
      <c r="D164">
        <v>823.47481000000005</v>
      </c>
    </row>
    <row r="165" spans="1:4" x14ac:dyDescent="0.25">
      <c r="A165" t="s">
        <v>121</v>
      </c>
      <c r="B165" s="3">
        <f t="shared" si="2"/>
        <v>40422</v>
      </c>
      <c r="C165">
        <v>723.35562900000002</v>
      </c>
      <c r="D165">
        <v>815.33957699999996</v>
      </c>
    </row>
    <row r="166" spans="1:4" x14ac:dyDescent="0.25">
      <c r="A166" t="s">
        <v>122</v>
      </c>
      <c r="B166" s="3">
        <f t="shared" si="2"/>
        <v>40452</v>
      </c>
      <c r="C166">
        <v>792.86985700000002</v>
      </c>
      <c r="D166">
        <v>855.92990299999997</v>
      </c>
    </row>
    <row r="167" spans="1:4" x14ac:dyDescent="0.25">
      <c r="A167" t="s">
        <v>123</v>
      </c>
      <c r="B167" s="3">
        <f t="shared" si="2"/>
        <v>40483</v>
      </c>
      <c r="C167">
        <v>822.66059399999995</v>
      </c>
      <c r="D167">
        <v>871.68818999999996</v>
      </c>
    </row>
    <row r="168" spans="1:4" x14ac:dyDescent="0.25">
      <c r="A168" t="s">
        <v>124</v>
      </c>
      <c r="B168" s="3">
        <f t="shared" si="2"/>
        <v>40513</v>
      </c>
      <c r="C168">
        <v>807.79310999999996</v>
      </c>
      <c r="D168">
        <v>861.36674900000003</v>
      </c>
    </row>
    <row r="169" spans="1:4" x14ac:dyDescent="0.25">
      <c r="A169" t="s">
        <v>125</v>
      </c>
      <c r="B169" s="3">
        <f t="shared" si="2"/>
        <v>40544</v>
      </c>
      <c r="C169">
        <v>869.423677</v>
      </c>
      <c r="D169">
        <v>894.74693600000001</v>
      </c>
    </row>
    <row r="170" spans="1:4" x14ac:dyDescent="0.25">
      <c r="A170" t="s">
        <v>126</v>
      </c>
      <c r="B170" s="3">
        <f t="shared" si="2"/>
        <v>40575</v>
      </c>
      <c r="C170">
        <v>887.43276300000002</v>
      </c>
      <c r="D170">
        <v>896.15149699999995</v>
      </c>
    </row>
    <row r="171" spans="1:4" x14ac:dyDescent="0.25">
      <c r="A171" t="s">
        <v>127</v>
      </c>
      <c r="B171" s="3">
        <f t="shared" si="2"/>
        <v>40603</v>
      </c>
      <c r="C171">
        <v>919.16656599999999</v>
      </c>
      <c r="D171">
        <v>917.41523800000004</v>
      </c>
    </row>
    <row r="172" spans="1:4" x14ac:dyDescent="0.25">
      <c r="A172" t="s">
        <v>128</v>
      </c>
      <c r="B172" s="3">
        <f t="shared" si="2"/>
        <v>40634</v>
      </c>
      <c r="C172">
        <v>912.83803799999998</v>
      </c>
      <c r="D172">
        <v>924.58628799999997</v>
      </c>
    </row>
    <row r="173" spans="1:4" x14ac:dyDescent="0.25">
      <c r="A173" t="s">
        <v>129</v>
      </c>
      <c r="B173" s="3">
        <f t="shared" si="2"/>
        <v>40664</v>
      </c>
      <c r="C173">
        <v>951.03076599999997</v>
      </c>
      <c r="D173">
        <v>921.430026</v>
      </c>
    </row>
    <row r="174" spans="1:4" x14ac:dyDescent="0.25">
      <c r="A174" t="s">
        <v>130</v>
      </c>
      <c r="B174" s="3">
        <f t="shared" si="2"/>
        <v>40695</v>
      </c>
      <c r="C174">
        <v>931.32413899999995</v>
      </c>
      <c r="D174">
        <v>901.03274399999998</v>
      </c>
    </row>
    <row r="175" spans="1:4" x14ac:dyDescent="0.25">
      <c r="A175" t="s">
        <v>131</v>
      </c>
      <c r="B175" s="3">
        <f t="shared" si="2"/>
        <v>40725</v>
      </c>
      <c r="C175">
        <v>915.80493999999999</v>
      </c>
      <c r="D175">
        <v>884.12823400000002</v>
      </c>
    </row>
    <row r="176" spans="1:4" x14ac:dyDescent="0.25">
      <c r="A176" t="s">
        <v>132</v>
      </c>
      <c r="B176" s="3">
        <f t="shared" si="2"/>
        <v>40756</v>
      </c>
      <c r="C176">
        <v>898.54166099999998</v>
      </c>
      <c r="D176">
        <v>847.32953399999997</v>
      </c>
    </row>
    <row r="177" spans="1:4" x14ac:dyDescent="0.25">
      <c r="A177" t="s">
        <v>133</v>
      </c>
      <c r="B177" s="3">
        <f t="shared" si="2"/>
        <v>40787</v>
      </c>
      <c r="C177">
        <v>833.72213099999999</v>
      </c>
      <c r="D177">
        <v>829.35161300000004</v>
      </c>
    </row>
    <row r="178" spans="1:4" x14ac:dyDescent="0.25">
      <c r="A178" t="s">
        <v>134</v>
      </c>
      <c r="B178" s="3">
        <f t="shared" si="2"/>
        <v>40817</v>
      </c>
      <c r="C178">
        <v>758.748516</v>
      </c>
      <c r="D178">
        <v>776.26675599999999</v>
      </c>
    </row>
    <row r="179" spans="1:4" x14ac:dyDescent="0.25">
      <c r="A179" t="s">
        <v>135</v>
      </c>
      <c r="B179" s="3">
        <f t="shared" si="2"/>
        <v>40848</v>
      </c>
      <c r="C179">
        <v>838.72975299999996</v>
      </c>
      <c r="D179">
        <v>834.08701799999994</v>
      </c>
    </row>
    <row r="180" spans="1:4" x14ac:dyDescent="0.25">
      <c r="A180" t="s">
        <v>136</v>
      </c>
      <c r="B180" s="3">
        <f t="shared" si="2"/>
        <v>40878</v>
      </c>
      <c r="C180">
        <v>818.29438200000004</v>
      </c>
      <c r="D180">
        <v>803.72623199999998</v>
      </c>
    </row>
    <row r="181" spans="1:4" x14ac:dyDescent="0.25">
      <c r="A181" t="s">
        <v>137</v>
      </c>
      <c r="B181" s="3">
        <f t="shared" si="2"/>
        <v>40909</v>
      </c>
      <c r="C181">
        <v>816.97540400000003</v>
      </c>
      <c r="D181">
        <v>790.49635000000001</v>
      </c>
    </row>
    <row r="182" spans="1:4" x14ac:dyDescent="0.25">
      <c r="A182" t="s">
        <v>138</v>
      </c>
      <c r="B182" s="3">
        <f t="shared" si="2"/>
        <v>40940</v>
      </c>
      <c r="C182">
        <v>860.75132900000006</v>
      </c>
      <c r="D182">
        <v>832.33436900000004</v>
      </c>
    </row>
    <row r="183" spans="1:4" x14ac:dyDescent="0.25">
      <c r="A183" t="s">
        <v>139</v>
      </c>
      <c r="B183" s="3">
        <f t="shared" si="2"/>
        <v>40969</v>
      </c>
      <c r="C183">
        <v>902.40033100000005</v>
      </c>
      <c r="D183">
        <v>848.33347300000003</v>
      </c>
    </row>
    <row r="184" spans="1:4" x14ac:dyDescent="0.25">
      <c r="A184" t="s">
        <v>140</v>
      </c>
      <c r="B184" s="3">
        <f t="shared" si="2"/>
        <v>41000</v>
      </c>
      <c r="C184">
        <v>913.58723299999997</v>
      </c>
      <c r="D184">
        <v>858.531702</v>
      </c>
    </row>
    <row r="185" spans="1:4" x14ac:dyDescent="0.25">
      <c r="A185" t="s">
        <v>141</v>
      </c>
      <c r="B185" s="3">
        <f t="shared" si="2"/>
        <v>41030</v>
      </c>
      <c r="C185">
        <v>903.73513700000001</v>
      </c>
      <c r="D185">
        <v>869.04784099999995</v>
      </c>
    </row>
    <row r="186" spans="1:4" x14ac:dyDescent="0.25">
      <c r="A186" t="s">
        <v>142</v>
      </c>
      <c r="B186" s="3">
        <f t="shared" si="2"/>
        <v>41061</v>
      </c>
      <c r="C186">
        <v>825.36333999999999</v>
      </c>
      <c r="D186">
        <v>808.81192899999996</v>
      </c>
    </row>
    <row r="187" spans="1:4" x14ac:dyDescent="0.25">
      <c r="A187" t="s">
        <v>143</v>
      </c>
      <c r="B187" s="3">
        <f t="shared" si="2"/>
        <v>41091</v>
      </c>
      <c r="C187">
        <v>865.80589099999997</v>
      </c>
      <c r="D187">
        <v>813.09506399999998</v>
      </c>
    </row>
    <row r="188" spans="1:4" x14ac:dyDescent="0.25">
      <c r="A188" t="s">
        <v>144</v>
      </c>
      <c r="B188" s="3">
        <f t="shared" si="2"/>
        <v>41122</v>
      </c>
      <c r="C188">
        <v>875.33399299999996</v>
      </c>
      <c r="D188">
        <v>846.55208700000003</v>
      </c>
    </row>
    <row r="189" spans="1:4" x14ac:dyDescent="0.25">
      <c r="A189" t="s">
        <v>145</v>
      </c>
      <c r="B189" s="3">
        <f t="shared" si="2"/>
        <v>41153</v>
      </c>
      <c r="C189">
        <v>898.356583</v>
      </c>
      <c r="D189">
        <v>864.26377200000002</v>
      </c>
    </row>
    <row r="190" spans="1:4" x14ac:dyDescent="0.25">
      <c r="A190" t="s">
        <v>146</v>
      </c>
      <c r="B190" s="3">
        <f t="shared" si="2"/>
        <v>41183</v>
      </c>
      <c r="C190">
        <v>923.89950299999998</v>
      </c>
      <c r="D190">
        <v>883.33647499999995</v>
      </c>
    </row>
    <row r="191" spans="1:4" x14ac:dyDescent="0.25">
      <c r="A191" t="s">
        <v>147</v>
      </c>
      <c r="B191" s="3">
        <f t="shared" si="2"/>
        <v>41214</v>
      </c>
      <c r="C191">
        <v>917.76942299999996</v>
      </c>
      <c r="D191">
        <v>909.15834099999995</v>
      </c>
    </row>
    <row r="192" spans="1:4" x14ac:dyDescent="0.25">
      <c r="A192" t="s">
        <v>148</v>
      </c>
      <c r="B192" s="3">
        <f t="shared" si="2"/>
        <v>41244</v>
      </c>
      <c r="C192">
        <v>929.165569</v>
      </c>
      <c r="D192">
        <v>912.10675700000002</v>
      </c>
    </row>
    <row r="193" spans="1:4" x14ac:dyDescent="0.25">
      <c r="A193" t="s">
        <v>149</v>
      </c>
      <c r="B193" s="3">
        <f t="shared" si="2"/>
        <v>41275</v>
      </c>
      <c r="C193">
        <v>948.15110700000002</v>
      </c>
      <c r="D193">
        <v>943.69728799999996</v>
      </c>
    </row>
    <row r="194" spans="1:4" x14ac:dyDescent="0.25">
      <c r="A194" t="s">
        <v>150</v>
      </c>
      <c r="B194" s="3">
        <f t="shared" si="2"/>
        <v>41306</v>
      </c>
      <c r="C194">
        <v>997.35141499999997</v>
      </c>
      <c r="D194">
        <v>990.70101599999998</v>
      </c>
    </row>
    <row r="195" spans="1:4" x14ac:dyDescent="0.25">
      <c r="A195" t="s">
        <v>151</v>
      </c>
      <c r="B195" s="3">
        <f t="shared" ref="B195:B258" si="3">DATE(YEAR(A195),MONTH(A195)+1,1)</f>
        <v>41334</v>
      </c>
      <c r="C195">
        <v>999.84499500000004</v>
      </c>
      <c r="D195">
        <v>1045.6892989999999</v>
      </c>
    </row>
    <row r="196" spans="1:4" x14ac:dyDescent="0.25">
      <c r="A196" t="s">
        <v>152</v>
      </c>
      <c r="B196" s="3">
        <f t="shared" si="3"/>
        <v>41365</v>
      </c>
      <c r="C196">
        <v>1024.705295</v>
      </c>
      <c r="D196">
        <v>1021.5672520000001</v>
      </c>
    </row>
    <row r="197" spans="1:4" x14ac:dyDescent="0.25">
      <c r="A197" t="s">
        <v>153</v>
      </c>
      <c r="B197" s="3">
        <f t="shared" si="3"/>
        <v>41395</v>
      </c>
      <c r="C197">
        <v>1054.361656</v>
      </c>
      <c r="D197">
        <v>1064.8594909999999</v>
      </c>
    </row>
    <row r="198" spans="1:4" x14ac:dyDescent="0.25">
      <c r="A198" t="s">
        <v>154</v>
      </c>
      <c r="B198" s="3">
        <f t="shared" si="3"/>
        <v>41426</v>
      </c>
      <c r="C198">
        <v>1056.115992</v>
      </c>
      <c r="D198">
        <v>1013.127438</v>
      </c>
    </row>
    <row r="199" spans="1:4" x14ac:dyDescent="0.25">
      <c r="A199" t="s">
        <v>155</v>
      </c>
      <c r="B199" s="3">
        <f t="shared" si="3"/>
        <v>41456</v>
      </c>
      <c r="C199">
        <v>1030.5183939999999</v>
      </c>
      <c r="D199">
        <v>988.35138400000005</v>
      </c>
    </row>
    <row r="200" spans="1:4" x14ac:dyDescent="0.25">
      <c r="A200" t="s">
        <v>156</v>
      </c>
      <c r="B200" s="3">
        <f t="shared" si="3"/>
        <v>41487</v>
      </c>
      <c r="C200">
        <v>1086.3616199999999</v>
      </c>
      <c r="D200">
        <v>1040.0141149999999</v>
      </c>
    </row>
    <row r="201" spans="1:4" x14ac:dyDescent="0.25">
      <c r="A201" t="s">
        <v>157</v>
      </c>
      <c r="B201" s="3">
        <f t="shared" si="3"/>
        <v>41518</v>
      </c>
      <c r="C201">
        <v>1063.5324410000001</v>
      </c>
      <c r="D201">
        <v>1065.3797830000001</v>
      </c>
    </row>
    <row r="202" spans="1:4" x14ac:dyDescent="0.25">
      <c r="A202" t="s">
        <v>158</v>
      </c>
      <c r="B202" s="3">
        <f t="shared" si="3"/>
        <v>41548</v>
      </c>
      <c r="C202">
        <v>1119.437079</v>
      </c>
      <c r="D202">
        <v>1088.458187</v>
      </c>
    </row>
    <row r="203" spans="1:4" x14ac:dyDescent="0.25">
      <c r="A203" t="s">
        <v>159</v>
      </c>
      <c r="B203" s="3">
        <f t="shared" si="3"/>
        <v>41579</v>
      </c>
      <c r="C203">
        <v>1161.9863210000001</v>
      </c>
      <c r="D203">
        <v>1132.4048290000001</v>
      </c>
    </row>
    <row r="204" spans="1:4" x14ac:dyDescent="0.25">
      <c r="A204" t="s">
        <v>160</v>
      </c>
      <c r="B204" s="3">
        <f t="shared" si="3"/>
        <v>41609</v>
      </c>
      <c r="C204">
        <v>1182.692513</v>
      </c>
      <c r="D204">
        <v>1117.8321410000001</v>
      </c>
    </row>
    <row r="205" spans="1:4" x14ac:dyDescent="0.25">
      <c r="A205" t="s">
        <v>161</v>
      </c>
      <c r="B205" s="3">
        <f t="shared" si="3"/>
        <v>41640</v>
      </c>
      <c r="C205">
        <v>1208.107446</v>
      </c>
      <c r="D205">
        <v>1124.7671330000001</v>
      </c>
    </row>
    <row r="206" spans="1:4" x14ac:dyDescent="0.25">
      <c r="A206" t="s">
        <v>162</v>
      </c>
      <c r="B206" s="3">
        <f t="shared" si="3"/>
        <v>41671</v>
      </c>
      <c r="C206">
        <v>1166.364677</v>
      </c>
      <c r="D206">
        <v>1090.6775709999999</v>
      </c>
    </row>
    <row r="207" spans="1:4" x14ac:dyDescent="0.25">
      <c r="A207" t="s">
        <v>163</v>
      </c>
      <c r="B207" s="3">
        <f t="shared" si="3"/>
        <v>41699</v>
      </c>
      <c r="C207">
        <v>1225.1595030000001</v>
      </c>
      <c r="D207">
        <v>1146.1314159999999</v>
      </c>
    </row>
    <row r="208" spans="1:4" x14ac:dyDescent="0.25">
      <c r="A208" t="s">
        <v>164</v>
      </c>
      <c r="B208" s="3">
        <f t="shared" si="3"/>
        <v>41730</v>
      </c>
      <c r="C208">
        <v>1225.920044</v>
      </c>
      <c r="D208">
        <v>1149.5383919999999</v>
      </c>
    </row>
    <row r="209" spans="1:4" x14ac:dyDescent="0.25">
      <c r="A209" t="s">
        <v>165</v>
      </c>
      <c r="B209" s="3">
        <f t="shared" si="3"/>
        <v>41760</v>
      </c>
      <c r="C209">
        <v>1233.94615</v>
      </c>
      <c r="D209">
        <v>1169.1929600000001</v>
      </c>
    </row>
    <row r="210" spans="1:4" x14ac:dyDescent="0.25">
      <c r="A210" t="s">
        <v>166</v>
      </c>
      <c r="B210" s="3">
        <f t="shared" si="3"/>
        <v>41791</v>
      </c>
      <c r="C210">
        <v>1256.811226</v>
      </c>
      <c r="D210">
        <v>1175.800176</v>
      </c>
    </row>
    <row r="211" spans="1:4" x14ac:dyDescent="0.25">
      <c r="A211" t="s">
        <v>167</v>
      </c>
      <c r="B211" s="3">
        <f t="shared" si="3"/>
        <v>41821</v>
      </c>
      <c r="C211">
        <v>1282.9430809999999</v>
      </c>
      <c r="D211">
        <v>1158.3053090000001</v>
      </c>
    </row>
    <row r="212" spans="1:4" x14ac:dyDescent="0.25">
      <c r="A212" t="s">
        <v>168</v>
      </c>
      <c r="B212" s="3">
        <f t="shared" si="3"/>
        <v>41852</v>
      </c>
      <c r="C212">
        <v>1258.1219189999999</v>
      </c>
      <c r="D212">
        <v>1210.442202</v>
      </c>
    </row>
    <row r="213" spans="1:4" x14ac:dyDescent="0.25">
      <c r="A213" t="s">
        <v>169</v>
      </c>
      <c r="B213" s="3">
        <f t="shared" si="3"/>
        <v>41883</v>
      </c>
      <c r="C213">
        <v>1287.3417750000001</v>
      </c>
      <c r="D213">
        <v>1216.533979</v>
      </c>
    </row>
    <row r="214" spans="1:4" x14ac:dyDescent="0.25">
      <c r="A214" t="s">
        <v>170</v>
      </c>
      <c r="B214" s="3">
        <f t="shared" si="3"/>
        <v>41913</v>
      </c>
      <c r="C214">
        <v>1247.292238</v>
      </c>
      <c r="D214">
        <v>1150.6246120000001</v>
      </c>
    </row>
    <row r="215" spans="1:4" x14ac:dyDescent="0.25">
      <c r="A215" t="s">
        <v>171</v>
      </c>
      <c r="B215" s="3">
        <f t="shared" si="3"/>
        <v>41944</v>
      </c>
      <c r="C215">
        <v>1257.1149820000001</v>
      </c>
      <c r="D215">
        <v>1200.80934</v>
      </c>
    </row>
    <row r="216" spans="1:4" x14ac:dyDescent="0.25">
      <c r="A216" t="s">
        <v>172</v>
      </c>
      <c r="B216" s="3">
        <f t="shared" si="3"/>
        <v>41974</v>
      </c>
      <c r="C216">
        <v>1279.6631170000001</v>
      </c>
      <c r="D216">
        <v>1158.7389129999999</v>
      </c>
    </row>
    <row r="217" spans="1:4" x14ac:dyDescent="0.25">
      <c r="A217" t="s">
        <v>173</v>
      </c>
      <c r="B217" s="3">
        <f t="shared" si="3"/>
        <v>42005</v>
      </c>
      <c r="C217">
        <v>1262.6926370000001</v>
      </c>
      <c r="D217">
        <v>1181.3296580000001</v>
      </c>
    </row>
    <row r="218" spans="1:4" x14ac:dyDescent="0.25">
      <c r="A218" t="s">
        <v>174</v>
      </c>
      <c r="B218" s="3">
        <f t="shared" si="3"/>
        <v>42036</v>
      </c>
      <c r="C218">
        <v>1239.8204470000001</v>
      </c>
      <c r="D218">
        <v>1216.3028099999999</v>
      </c>
    </row>
    <row r="219" spans="1:4" x14ac:dyDescent="0.25">
      <c r="A219" t="s">
        <v>175</v>
      </c>
      <c r="B219" s="3">
        <f t="shared" si="3"/>
        <v>42064</v>
      </c>
      <c r="C219">
        <v>1312.9645479999999</v>
      </c>
      <c r="D219">
        <v>1303.8206479999999</v>
      </c>
    </row>
    <row r="220" spans="1:4" x14ac:dyDescent="0.25">
      <c r="A220" t="s">
        <v>176</v>
      </c>
      <c r="B220" s="3">
        <f t="shared" si="3"/>
        <v>42095</v>
      </c>
      <c r="C220">
        <v>1295.5072580000001</v>
      </c>
      <c r="D220">
        <v>1301.9298140000001</v>
      </c>
    </row>
    <row r="221" spans="1:4" x14ac:dyDescent="0.25">
      <c r="A221" t="s">
        <v>177</v>
      </c>
      <c r="B221" s="3">
        <f t="shared" si="3"/>
        <v>42125</v>
      </c>
      <c r="C221">
        <v>1323.3910330000001</v>
      </c>
      <c r="D221">
        <v>1278.5228079999999</v>
      </c>
    </row>
    <row r="222" spans="1:4" x14ac:dyDescent="0.25">
      <c r="A222" t="s">
        <v>178</v>
      </c>
      <c r="B222" s="3">
        <f t="shared" si="3"/>
        <v>42156</v>
      </c>
      <c r="C222">
        <v>1329.9075350000001</v>
      </c>
      <c r="D222">
        <v>1284.440351</v>
      </c>
    </row>
    <row r="223" spans="1:4" x14ac:dyDescent="0.25">
      <c r="A223" t="s">
        <v>179</v>
      </c>
      <c r="B223" s="3">
        <f t="shared" si="3"/>
        <v>42186</v>
      </c>
      <c r="C223">
        <v>1301.506973</v>
      </c>
      <c r="D223">
        <v>1215.1659059999999</v>
      </c>
    </row>
    <row r="224" spans="1:4" x14ac:dyDescent="0.25">
      <c r="A224" t="s">
        <v>180</v>
      </c>
      <c r="B224" s="3">
        <f t="shared" si="3"/>
        <v>42217</v>
      </c>
      <c r="C224">
        <v>1320.921155</v>
      </c>
      <c r="D224">
        <v>1266.3947559999999</v>
      </c>
    </row>
    <row r="225" spans="1:4" x14ac:dyDescent="0.25">
      <c r="A225" t="s">
        <v>181</v>
      </c>
      <c r="B225" s="3">
        <f t="shared" si="3"/>
        <v>42248</v>
      </c>
      <c r="C225">
        <v>1235.829283</v>
      </c>
      <c r="D225">
        <v>1168.419913</v>
      </c>
    </row>
    <row r="226" spans="1:4" x14ac:dyDescent="0.25">
      <c r="A226" t="s">
        <v>182</v>
      </c>
      <c r="B226" s="3">
        <f t="shared" si="3"/>
        <v>42278</v>
      </c>
      <c r="C226">
        <v>1189.2854910000001</v>
      </c>
      <c r="D226">
        <v>1131.230902</v>
      </c>
    </row>
    <row r="227" spans="1:4" x14ac:dyDescent="0.25">
      <c r="A227" t="s">
        <v>183</v>
      </c>
      <c r="B227" s="3">
        <f t="shared" si="3"/>
        <v>42309</v>
      </c>
      <c r="C227">
        <v>1280.0525500000001</v>
      </c>
      <c r="D227">
        <v>1182.3183509999999</v>
      </c>
    </row>
    <row r="228" spans="1:4" x14ac:dyDescent="0.25">
      <c r="A228" t="s">
        <v>184</v>
      </c>
      <c r="B228" s="3">
        <f t="shared" si="3"/>
        <v>42339</v>
      </c>
      <c r="C228">
        <v>1276.396923</v>
      </c>
      <c r="D228">
        <v>1173.1806200000001</v>
      </c>
    </row>
    <row r="229" spans="1:4" x14ac:dyDescent="0.25">
      <c r="A229" t="s">
        <v>185</v>
      </c>
      <c r="B229" s="3">
        <f t="shared" si="3"/>
        <v>42370</v>
      </c>
      <c r="C229">
        <v>1252.64913</v>
      </c>
      <c r="D229">
        <v>1204.1584660000001</v>
      </c>
    </row>
    <row r="230" spans="1:4" x14ac:dyDescent="0.25">
      <c r="A230" t="s">
        <v>186</v>
      </c>
      <c r="B230" s="3">
        <f t="shared" si="3"/>
        <v>42401</v>
      </c>
      <c r="C230">
        <v>1174.7232409999999</v>
      </c>
      <c r="D230">
        <v>1135.118189</v>
      </c>
    </row>
    <row r="231" spans="1:4" x14ac:dyDescent="0.25">
      <c r="A231" t="s">
        <v>187</v>
      </c>
      <c r="B231" s="3">
        <f t="shared" si="3"/>
        <v>42430</v>
      </c>
      <c r="C231">
        <v>1168.1742529999999</v>
      </c>
      <c r="D231">
        <v>1117.995437</v>
      </c>
    </row>
    <row r="232" spans="1:4" x14ac:dyDescent="0.25">
      <c r="A232" t="s">
        <v>188</v>
      </c>
      <c r="B232" s="3">
        <f t="shared" si="3"/>
        <v>42461</v>
      </c>
      <c r="C232">
        <v>1249.9268750000001</v>
      </c>
      <c r="D232">
        <v>1171.1690430000001</v>
      </c>
    </row>
    <row r="233" spans="1:4" x14ac:dyDescent="0.25">
      <c r="A233" t="s">
        <v>189</v>
      </c>
      <c r="B233" s="3">
        <f t="shared" si="3"/>
        <v>42491</v>
      </c>
      <c r="C233">
        <v>1270.9766320000001</v>
      </c>
      <c r="D233">
        <v>1213.2496169999999</v>
      </c>
    </row>
    <row r="234" spans="1:4" x14ac:dyDescent="0.25">
      <c r="A234" t="s">
        <v>190</v>
      </c>
      <c r="B234" s="3">
        <f t="shared" si="3"/>
        <v>42522</v>
      </c>
      <c r="C234">
        <v>1279.197525</v>
      </c>
      <c r="D234">
        <v>1248.5950009999999</v>
      </c>
    </row>
    <row r="235" spans="1:4" x14ac:dyDescent="0.25">
      <c r="A235" t="s">
        <v>191</v>
      </c>
      <c r="B235" s="3">
        <f t="shared" si="3"/>
        <v>42552</v>
      </c>
      <c r="C235">
        <v>1263.5195100000001</v>
      </c>
      <c r="D235">
        <v>1218.479752</v>
      </c>
    </row>
    <row r="236" spans="1:4" x14ac:dyDescent="0.25">
      <c r="A236" t="s">
        <v>192</v>
      </c>
      <c r="B236" s="3">
        <f t="shared" si="3"/>
        <v>42583</v>
      </c>
      <c r="C236">
        <v>1319.082611</v>
      </c>
      <c r="D236">
        <v>1295.1543349999999</v>
      </c>
    </row>
    <row r="237" spans="1:4" x14ac:dyDescent="0.25">
      <c r="A237" t="s">
        <v>193</v>
      </c>
      <c r="B237" s="3">
        <f t="shared" si="3"/>
        <v>42614</v>
      </c>
      <c r="C237">
        <v>1320.2884340000001</v>
      </c>
      <c r="D237">
        <v>1276.4174029999999</v>
      </c>
    </row>
    <row r="238" spans="1:4" x14ac:dyDescent="0.25">
      <c r="A238" t="s">
        <v>194</v>
      </c>
      <c r="B238" s="3">
        <f t="shared" si="3"/>
        <v>42644</v>
      </c>
      <c r="C238">
        <v>1329.025858</v>
      </c>
      <c r="D238">
        <v>1284.47801</v>
      </c>
    </row>
    <row r="239" spans="1:4" x14ac:dyDescent="0.25">
      <c r="A239" t="s">
        <v>195</v>
      </c>
      <c r="B239" s="3">
        <f t="shared" si="3"/>
        <v>42675</v>
      </c>
      <c r="C239">
        <v>1300.128228</v>
      </c>
      <c r="D239">
        <v>1259.1495629999999</v>
      </c>
    </row>
    <row r="240" spans="1:4" x14ac:dyDescent="0.25">
      <c r="A240" t="s">
        <v>196</v>
      </c>
      <c r="B240" s="3">
        <f t="shared" si="3"/>
        <v>42705</v>
      </c>
      <c r="C240">
        <v>1323.644141</v>
      </c>
      <c r="D240">
        <v>1297.1031390000001</v>
      </c>
    </row>
    <row r="241" spans="1:4" x14ac:dyDescent="0.25">
      <c r="A241" t="s">
        <v>197</v>
      </c>
      <c r="B241" s="3">
        <f t="shared" si="3"/>
        <v>42736</v>
      </c>
      <c r="C241">
        <v>1355.3009059999999</v>
      </c>
      <c r="D241">
        <v>1356.3584840000001</v>
      </c>
    </row>
    <row r="242" spans="1:4" x14ac:dyDescent="0.25">
      <c r="A242" t="s">
        <v>198</v>
      </c>
      <c r="B242" s="3">
        <f t="shared" si="3"/>
        <v>42767</v>
      </c>
      <c r="C242">
        <v>1387.801056</v>
      </c>
      <c r="D242">
        <v>1345.6171670000001</v>
      </c>
    </row>
    <row r="243" spans="1:4" x14ac:dyDescent="0.25">
      <c r="A243" t="s">
        <v>199</v>
      </c>
      <c r="B243" s="3">
        <f t="shared" si="3"/>
        <v>42795</v>
      </c>
      <c r="C243">
        <v>1425.076812</v>
      </c>
      <c r="D243">
        <v>1377.4070879999999</v>
      </c>
    </row>
    <row r="244" spans="1:4" x14ac:dyDescent="0.25">
      <c r="A244" t="s">
        <v>200</v>
      </c>
      <c r="B244" s="3">
        <f t="shared" si="3"/>
        <v>42826</v>
      </c>
      <c r="C244">
        <v>1439.6180119999999</v>
      </c>
      <c r="D244">
        <v>1424.068485</v>
      </c>
    </row>
    <row r="245" spans="1:4" x14ac:dyDescent="0.25">
      <c r="A245" t="s">
        <v>201</v>
      </c>
      <c r="B245" s="3">
        <f t="shared" si="3"/>
        <v>42856</v>
      </c>
      <c r="C245">
        <v>1461.967727</v>
      </c>
      <c r="D245">
        <v>1440.8862509999999</v>
      </c>
    </row>
    <row r="246" spans="1:4" x14ac:dyDescent="0.25">
      <c r="A246" t="s">
        <v>202</v>
      </c>
      <c r="B246" s="3">
        <f t="shared" si="3"/>
        <v>42887</v>
      </c>
      <c r="C246">
        <v>1489.951247</v>
      </c>
      <c r="D246">
        <v>1395.588694</v>
      </c>
    </row>
    <row r="247" spans="1:4" x14ac:dyDescent="0.25">
      <c r="A247" t="s">
        <v>203</v>
      </c>
      <c r="B247" s="3">
        <f t="shared" si="3"/>
        <v>42917</v>
      </c>
      <c r="C247">
        <v>1498.0163219999999</v>
      </c>
      <c r="D247">
        <v>1396.8056610000001</v>
      </c>
    </row>
    <row r="248" spans="1:4" x14ac:dyDescent="0.25">
      <c r="A248" t="s">
        <v>204</v>
      </c>
      <c r="B248" s="3">
        <f t="shared" si="3"/>
        <v>42948</v>
      </c>
      <c r="C248">
        <v>1533.6114279999999</v>
      </c>
      <c r="D248">
        <v>1399.659396</v>
      </c>
    </row>
    <row r="249" spans="1:4" x14ac:dyDescent="0.25">
      <c r="A249" t="s">
        <v>205</v>
      </c>
      <c r="B249" s="3">
        <f t="shared" si="3"/>
        <v>42979</v>
      </c>
      <c r="C249">
        <v>1535.357344</v>
      </c>
      <c r="D249">
        <v>1410.4325510000001</v>
      </c>
    </row>
    <row r="250" spans="1:4" x14ac:dyDescent="0.25">
      <c r="A250" t="s">
        <v>206</v>
      </c>
      <c r="B250" s="3">
        <f t="shared" si="3"/>
        <v>43009</v>
      </c>
      <c r="C250">
        <v>1573.3488809999999</v>
      </c>
      <c r="D250">
        <v>1410.9739790000001</v>
      </c>
    </row>
    <row r="251" spans="1:4" x14ac:dyDescent="0.25">
      <c r="A251" t="s">
        <v>207</v>
      </c>
      <c r="B251" s="3">
        <f t="shared" si="3"/>
        <v>43040</v>
      </c>
      <c r="C251">
        <v>1602.1399630000001</v>
      </c>
      <c r="D251">
        <v>1467.7666369999999</v>
      </c>
    </row>
    <row r="252" spans="1:4" x14ac:dyDescent="0.25">
      <c r="A252" t="s">
        <v>208</v>
      </c>
      <c r="B252" s="3">
        <f t="shared" si="3"/>
        <v>43070</v>
      </c>
      <c r="C252">
        <v>1636.8935879999999</v>
      </c>
      <c r="D252">
        <v>1493.748163</v>
      </c>
    </row>
    <row r="253" spans="1:4" x14ac:dyDescent="0.25">
      <c r="A253" t="s">
        <v>209</v>
      </c>
      <c r="B253" s="3">
        <f t="shared" si="3"/>
        <v>43101</v>
      </c>
      <c r="C253">
        <v>1659.3666479999999</v>
      </c>
      <c r="D253">
        <v>1521.502109</v>
      </c>
    </row>
    <row r="254" spans="1:4" x14ac:dyDescent="0.25">
      <c r="A254" t="s">
        <v>210</v>
      </c>
      <c r="B254" s="3">
        <f t="shared" si="3"/>
        <v>43132</v>
      </c>
      <c r="C254">
        <v>1743.0612860000001</v>
      </c>
      <c r="D254">
        <v>1513.237273</v>
      </c>
    </row>
    <row r="255" spans="1:4" x14ac:dyDescent="0.25">
      <c r="A255" t="s">
        <v>211</v>
      </c>
      <c r="B255" s="3">
        <f t="shared" si="3"/>
        <v>43160</v>
      </c>
      <c r="C255">
        <v>1671.1820620000001</v>
      </c>
      <c r="D255">
        <v>1517.925035</v>
      </c>
    </row>
    <row r="256" spans="1:4" x14ac:dyDescent="0.25">
      <c r="A256" t="s">
        <v>212</v>
      </c>
      <c r="B256" s="3">
        <f t="shared" si="3"/>
        <v>43191</v>
      </c>
      <c r="C256">
        <v>1639.7568659999999</v>
      </c>
      <c r="D256">
        <v>1460.9362550000001</v>
      </c>
    </row>
    <row r="257" spans="1:4" x14ac:dyDescent="0.25">
      <c r="A257" t="s">
        <v>213</v>
      </c>
      <c r="B257" s="3">
        <f t="shared" si="3"/>
        <v>43221</v>
      </c>
      <c r="C257">
        <v>1658.085163</v>
      </c>
      <c r="D257">
        <v>1519.358479</v>
      </c>
    </row>
    <row r="258" spans="1:4" x14ac:dyDescent="0.25">
      <c r="A258" t="s">
        <v>214</v>
      </c>
      <c r="B258" s="3">
        <f t="shared" si="3"/>
        <v>43252</v>
      </c>
      <c r="C258">
        <v>1673.063488</v>
      </c>
      <c r="D258">
        <v>1538.849494</v>
      </c>
    </row>
    <row r="259" spans="1:4" x14ac:dyDescent="0.25">
      <c r="A259" t="s">
        <v>215</v>
      </c>
      <c r="B259" s="3">
        <f t="shared" ref="B259:B322" si="4">DATE(YEAR(A259),MONTH(A259)+1,1)</f>
        <v>43282</v>
      </c>
      <c r="C259">
        <v>1671.6050210000001</v>
      </c>
      <c r="D259">
        <v>1590.772543</v>
      </c>
    </row>
    <row r="260" spans="1:4" x14ac:dyDescent="0.25">
      <c r="A260" t="s">
        <v>216</v>
      </c>
      <c r="B260" s="3">
        <f t="shared" si="4"/>
        <v>43313</v>
      </c>
      <c r="C260">
        <v>1719.3895379999999</v>
      </c>
      <c r="D260">
        <v>1610.731295</v>
      </c>
    </row>
    <row r="261" spans="1:4" x14ac:dyDescent="0.25">
      <c r="A261" t="s">
        <v>217</v>
      </c>
      <c r="B261" s="3">
        <f t="shared" si="4"/>
        <v>43344</v>
      </c>
      <c r="C261">
        <v>1742.9115409999999</v>
      </c>
      <c r="D261">
        <v>1629.8424399999999</v>
      </c>
    </row>
    <row r="262" spans="1:4" x14ac:dyDescent="0.25">
      <c r="A262" t="s">
        <v>218</v>
      </c>
      <c r="B262" s="3">
        <f t="shared" si="4"/>
        <v>43374</v>
      </c>
      <c r="C262">
        <v>1747.837315</v>
      </c>
      <c r="D262">
        <v>1610.255349</v>
      </c>
    </row>
    <row r="263" spans="1:4" x14ac:dyDescent="0.25">
      <c r="A263" t="s">
        <v>219</v>
      </c>
      <c r="B263" s="3">
        <f t="shared" si="4"/>
        <v>43405</v>
      </c>
      <c r="C263">
        <v>1613.4191129999999</v>
      </c>
      <c r="D263">
        <v>1513.3143110000001</v>
      </c>
    </row>
    <row r="264" spans="1:4" x14ac:dyDescent="0.25">
      <c r="A264" t="s">
        <v>220</v>
      </c>
      <c r="B264" s="3">
        <f t="shared" si="4"/>
        <v>43435</v>
      </c>
      <c r="C264">
        <v>1630.6994769999999</v>
      </c>
      <c r="D264">
        <v>1480.066239</v>
      </c>
    </row>
    <row r="265" spans="1:4" x14ac:dyDescent="0.25">
      <c r="A265" t="s">
        <v>221</v>
      </c>
      <c r="B265" s="3">
        <f t="shared" si="4"/>
        <v>43466</v>
      </c>
      <c r="C265">
        <v>1503.1567950000001</v>
      </c>
      <c r="D265">
        <v>1478.088164</v>
      </c>
    </row>
    <row r="266" spans="1:4" x14ac:dyDescent="0.25">
      <c r="A266" t="s">
        <v>222</v>
      </c>
      <c r="B266" s="3">
        <f t="shared" si="4"/>
        <v>43497</v>
      </c>
      <c r="C266">
        <v>1625.0044849999999</v>
      </c>
      <c r="D266">
        <v>1535.4617659999999</v>
      </c>
    </row>
    <row r="267" spans="1:4" x14ac:dyDescent="0.25">
      <c r="A267" t="s">
        <v>223</v>
      </c>
      <c r="B267" s="3">
        <f t="shared" si="4"/>
        <v>43525</v>
      </c>
      <c r="C267">
        <v>1675.460779</v>
      </c>
      <c r="D267">
        <v>1627.519552</v>
      </c>
    </row>
    <row r="268" spans="1:4" x14ac:dyDescent="0.25">
      <c r="A268" t="s">
        <v>224</v>
      </c>
      <c r="B268" s="3">
        <f t="shared" si="4"/>
        <v>43556</v>
      </c>
      <c r="C268">
        <v>1693.1497079999999</v>
      </c>
      <c r="D268">
        <v>1637.459214</v>
      </c>
    </row>
    <row r="269" spans="1:4" x14ac:dyDescent="0.25">
      <c r="A269" t="s">
        <v>225</v>
      </c>
      <c r="B269" s="3">
        <f t="shared" si="4"/>
        <v>43586</v>
      </c>
      <c r="C269">
        <v>1752.2525250000001</v>
      </c>
      <c r="D269">
        <v>1675.4307980000001</v>
      </c>
    </row>
    <row r="270" spans="1:4" x14ac:dyDescent="0.25">
      <c r="A270" t="s">
        <v>226</v>
      </c>
      <c r="B270" s="3">
        <f t="shared" si="4"/>
        <v>43617</v>
      </c>
      <c r="C270">
        <v>1649.392507</v>
      </c>
      <c r="D270">
        <v>1705.0608460000001</v>
      </c>
    </row>
    <row r="271" spans="1:4" x14ac:dyDescent="0.25">
      <c r="A271" t="s">
        <v>227</v>
      </c>
      <c r="B271" s="3">
        <f t="shared" si="4"/>
        <v>43647</v>
      </c>
      <c r="C271">
        <v>1756.4484090000001</v>
      </c>
      <c r="D271">
        <v>1769.0189379999999</v>
      </c>
    </row>
    <row r="272" spans="1:4" x14ac:dyDescent="0.25">
      <c r="A272" t="s">
        <v>228</v>
      </c>
      <c r="B272" s="3">
        <f t="shared" si="4"/>
        <v>43678</v>
      </c>
      <c r="C272">
        <v>1765.326112</v>
      </c>
      <c r="D272">
        <v>1819.4707109999999</v>
      </c>
    </row>
    <row r="273" spans="1:4" x14ac:dyDescent="0.25">
      <c r="A273" t="s">
        <v>229</v>
      </c>
      <c r="B273" s="3">
        <f t="shared" si="4"/>
        <v>43709</v>
      </c>
      <c r="C273">
        <v>1726.168711</v>
      </c>
      <c r="D273">
        <v>1779.170615</v>
      </c>
    </row>
    <row r="274" spans="1:4" x14ac:dyDescent="0.25">
      <c r="A274" t="s">
        <v>230</v>
      </c>
      <c r="B274" s="3">
        <f t="shared" si="4"/>
        <v>43739</v>
      </c>
      <c r="C274">
        <v>1762.7547079999999</v>
      </c>
      <c r="D274">
        <v>1817.7602159999999</v>
      </c>
    </row>
    <row r="275" spans="1:4" x14ac:dyDescent="0.25">
      <c r="A275" t="s">
        <v>231</v>
      </c>
      <c r="B275" s="3">
        <f t="shared" si="4"/>
        <v>43770</v>
      </c>
      <c r="C275">
        <v>1808.0896869999999</v>
      </c>
      <c r="D275">
        <v>1808.0477020000001</v>
      </c>
    </row>
    <row r="276" spans="1:4" x14ac:dyDescent="0.25">
      <c r="A276" t="s">
        <v>232</v>
      </c>
      <c r="B276" s="3">
        <f t="shared" si="4"/>
        <v>43800</v>
      </c>
      <c r="C276">
        <v>1859.4654129999999</v>
      </c>
      <c r="D276">
        <v>1857.2461430000001</v>
      </c>
    </row>
    <row r="277" spans="1:4" x14ac:dyDescent="0.25">
      <c r="A277" t="s">
        <v>233</v>
      </c>
      <c r="B277" s="3">
        <f t="shared" si="4"/>
        <v>43831</v>
      </c>
      <c r="C277">
        <v>1916.2448380000001</v>
      </c>
      <c r="D277">
        <v>1819.5211509999999</v>
      </c>
    </row>
    <row r="278" spans="1:4" x14ac:dyDescent="0.25">
      <c r="A278" t="s">
        <v>234</v>
      </c>
      <c r="B278" s="3">
        <f t="shared" si="4"/>
        <v>43862</v>
      </c>
      <c r="C278">
        <v>1899.4351830000001</v>
      </c>
      <c r="D278">
        <v>1910.221679</v>
      </c>
    </row>
    <row r="279" spans="1:4" x14ac:dyDescent="0.25">
      <c r="A279" t="s">
        <v>235</v>
      </c>
      <c r="B279" s="3">
        <f t="shared" si="4"/>
        <v>43891</v>
      </c>
      <c r="C279">
        <v>1737.1784970000001</v>
      </c>
      <c r="D279">
        <v>1760.936571</v>
      </c>
    </row>
    <row r="280" spans="1:4" x14ac:dyDescent="0.25">
      <c r="A280" t="s">
        <v>236</v>
      </c>
      <c r="B280" s="3">
        <f t="shared" si="4"/>
        <v>43922</v>
      </c>
      <c r="C280">
        <v>1491.44822</v>
      </c>
      <c r="D280">
        <v>1384.5123450000001</v>
      </c>
    </row>
    <row r="281" spans="1:4" x14ac:dyDescent="0.25">
      <c r="A281" t="s">
        <v>237</v>
      </c>
      <c r="B281" s="3">
        <f t="shared" si="4"/>
        <v>43952</v>
      </c>
      <c r="C281">
        <v>1658.5180359999999</v>
      </c>
      <c r="D281">
        <v>1510.871146</v>
      </c>
    </row>
    <row r="282" spans="1:4" x14ac:dyDescent="0.25">
      <c r="A282" t="s">
        <v>238</v>
      </c>
      <c r="B282" s="3">
        <f t="shared" si="4"/>
        <v>43983</v>
      </c>
      <c r="C282">
        <v>1742.8376470000001</v>
      </c>
      <c r="D282">
        <v>1579.0282729999999</v>
      </c>
    </row>
    <row r="283" spans="1:4" x14ac:dyDescent="0.25">
      <c r="A283" t="s">
        <v>239</v>
      </c>
      <c r="B283" s="3">
        <f t="shared" si="4"/>
        <v>44013</v>
      </c>
      <c r="C283">
        <v>1788.7914370000001</v>
      </c>
      <c r="D283">
        <v>1621.623241</v>
      </c>
    </row>
    <row r="284" spans="1:4" x14ac:dyDescent="0.25">
      <c r="A284" t="s">
        <v>240</v>
      </c>
      <c r="B284" s="3">
        <f t="shared" si="4"/>
        <v>44044</v>
      </c>
      <c r="C284">
        <v>1872.563124</v>
      </c>
      <c r="D284">
        <v>1629.994559</v>
      </c>
    </row>
    <row r="285" spans="1:4" x14ac:dyDescent="0.25">
      <c r="A285" t="s">
        <v>241</v>
      </c>
      <c r="B285" s="3">
        <f t="shared" si="4"/>
        <v>44075</v>
      </c>
      <c r="C285">
        <v>1995.569788</v>
      </c>
      <c r="D285">
        <v>1682.5170149999999</v>
      </c>
    </row>
    <row r="286" spans="1:4" x14ac:dyDescent="0.25">
      <c r="A286" t="s">
        <v>242</v>
      </c>
      <c r="B286" s="3">
        <f t="shared" si="4"/>
        <v>44105</v>
      </c>
      <c r="C286">
        <v>1929.6383699999999</v>
      </c>
      <c r="D286">
        <v>1620.9837990000001</v>
      </c>
    </row>
    <row r="287" spans="1:4" x14ac:dyDescent="0.25">
      <c r="A287" t="s">
        <v>243</v>
      </c>
      <c r="B287" s="3">
        <f t="shared" si="4"/>
        <v>44136</v>
      </c>
      <c r="C287">
        <v>1877.204829</v>
      </c>
      <c r="D287">
        <v>1652.819984</v>
      </c>
    </row>
    <row r="288" spans="1:4" x14ac:dyDescent="0.25">
      <c r="A288" t="s">
        <v>244</v>
      </c>
      <c r="B288" s="3">
        <f t="shared" si="4"/>
        <v>44166</v>
      </c>
      <c r="C288">
        <v>2122.9344940000001</v>
      </c>
      <c r="D288">
        <v>1820.9634980000001</v>
      </c>
    </row>
    <row r="289" spans="1:4" x14ac:dyDescent="0.25">
      <c r="A289" t="s">
        <v>245</v>
      </c>
      <c r="B289" s="3">
        <f t="shared" si="4"/>
        <v>44197</v>
      </c>
      <c r="C289">
        <v>2220.940302</v>
      </c>
      <c r="D289">
        <v>1849.5394759999999</v>
      </c>
    </row>
    <row r="290" spans="1:4" x14ac:dyDescent="0.25">
      <c r="A290" t="s">
        <v>246</v>
      </c>
      <c r="B290" s="3">
        <f t="shared" si="4"/>
        <v>44228</v>
      </c>
      <c r="C290">
        <v>2207.259403</v>
      </c>
      <c r="D290">
        <v>1856.5680110000001</v>
      </c>
    </row>
    <row r="291" spans="1:4" x14ac:dyDescent="0.25">
      <c r="A291" t="s">
        <v>247</v>
      </c>
      <c r="B291" s="3">
        <f t="shared" si="4"/>
        <v>44256</v>
      </c>
      <c r="C291">
        <v>2270.5984779999999</v>
      </c>
      <c r="D291">
        <v>1887.0733270000001</v>
      </c>
    </row>
    <row r="292" spans="1:4" x14ac:dyDescent="0.25">
      <c r="A292" t="s">
        <v>248</v>
      </c>
      <c r="B292" s="3">
        <f t="shared" si="4"/>
        <v>44287</v>
      </c>
      <c r="C292">
        <v>2342.5854599999998</v>
      </c>
      <c r="D292">
        <v>1930.8659110000001</v>
      </c>
    </row>
    <row r="293" spans="1:4" x14ac:dyDescent="0.25">
      <c r="A293" t="s">
        <v>249</v>
      </c>
      <c r="B293" s="3">
        <f t="shared" si="4"/>
        <v>44317</v>
      </c>
      <c r="C293">
        <v>2449.2988399999999</v>
      </c>
      <c r="D293">
        <v>2002.1391080000001</v>
      </c>
    </row>
    <row r="294" spans="1:4" x14ac:dyDescent="0.25">
      <c r="A294" t="s">
        <v>250</v>
      </c>
      <c r="B294" s="3">
        <f t="shared" si="4"/>
        <v>44348</v>
      </c>
      <c r="C294">
        <v>2482.7468880000001</v>
      </c>
      <c r="D294">
        <v>2052.2309369999998</v>
      </c>
    </row>
    <row r="295" spans="1:4" x14ac:dyDescent="0.25">
      <c r="A295" t="s">
        <v>251</v>
      </c>
      <c r="B295" s="3">
        <f t="shared" si="4"/>
        <v>44378</v>
      </c>
      <c r="C295">
        <v>2515.6062010000001</v>
      </c>
      <c r="D295">
        <v>2095.0894480000002</v>
      </c>
    </row>
    <row r="296" spans="1:4" x14ac:dyDescent="0.25">
      <c r="A296" t="s">
        <v>252</v>
      </c>
      <c r="B296" s="3">
        <f t="shared" si="4"/>
        <v>44409</v>
      </c>
      <c r="C296">
        <v>2552.663677</v>
      </c>
      <c r="D296">
        <v>2115.2801509999999</v>
      </c>
    </row>
    <row r="297" spans="1:4" x14ac:dyDescent="0.25">
      <c r="A297" t="s">
        <v>253</v>
      </c>
      <c r="B297" s="3">
        <f t="shared" si="4"/>
        <v>44440</v>
      </c>
      <c r="C297">
        <v>2616.002708</v>
      </c>
      <c r="D297">
        <v>2165.7231299999999</v>
      </c>
    </row>
    <row r="298" spans="1:4" x14ac:dyDescent="0.25">
      <c r="A298" t="s">
        <v>254</v>
      </c>
      <c r="B298" s="3">
        <f t="shared" si="4"/>
        <v>44470</v>
      </c>
      <c r="C298">
        <v>2510.8156309999999</v>
      </c>
      <c r="D298">
        <v>2125.1172740000002</v>
      </c>
    </row>
    <row r="299" spans="1:4" x14ac:dyDescent="0.25">
      <c r="A299" t="s">
        <v>255</v>
      </c>
      <c r="B299" s="3">
        <f t="shared" si="4"/>
        <v>44501</v>
      </c>
      <c r="C299">
        <v>2646.5039860000002</v>
      </c>
      <c r="D299">
        <v>2128.4635130000001</v>
      </c>
    </row>
    <row r="300" spans="1:4" x14ac:dyDescent="0.25">
      <c r="A300" t="s">
        <v>256</v>
      </c>
      <c r="B300" s="3">
        <f t="shared" si="4"/>
        <v>44531</v>
      </c>
      <c r="C300">
        <v>2579.7578039999999</v>
      </c>
      <c r="D300">
        <v>2112.9145619999999</v>
      </c>
    </row>
    <row r="301" spans="1:4" x14ac:dyDescent="0.25">
      <c r="A301" t="s">
        <v>257</v>
      </c>
      <c r="B301" s="3">
        <f t="shared" si="4"/>
        <v>44562</v>
      </c>
      <c r="C301">
        <v>2688.1915319999998</v>
      </c>
      <c r="D301">
        <v>2173.034118</v>
      </c>
    </row>
    <row r="302" spans="1:4" x14ac:dyDescent="0.25">
      <c r="A302" t="s">
        <v>258</v>
      </c>
      <c r="B302" s="3">
        <f t="shared" si="4"/>
        <v>44593</v>
      </c>
      <c r="C302">
        <v>2538.577534</v>
      </c>
      <c r="D302">
        <v>2033.6410619999999</v>
      </c>
    </row>
    <row r="303" spans="1:4" x14ac:dyDescent="0.25">
      <c r="A303" t="s">
        <v>259</v>
      </c>
      <c r="B303" s="3">
        <f t="shared" si="4"/>
        <v>44621</v>
      </c>
      <c r="C303">
        <v>2482.6334449999999</v>
      </c>
      <c r="D303">
        <v>2081.5239350000002</v>
      </c>
    </row>
    <row r="304" spans="1:4" x14ac:dyDescent="0.25">
      <c r="A304" t="s">
        <v>260</v>
      </c>
      <c r="B304" s="3">
        <f t="shared" si="4"/>
        <v>44652</v>
      </c>
      <c r="C304">
        <v>2545.291346</v>
      </c>
      <c r="D304">
        <v>2228.6053740000002</v>
      </c>
    </row>
    <row r="305" spans="1:4" x14ac:dyDescent="0.25">
      <c r="A305" t="s">
        <v>261</v>
      </c>
      <c r="B305" s="3">
        <f t="shared" si="4"/>
        <v>44682</v>
      </c>
      <c r="C305">
        <v>2335.3613070000001</v>
      </c>
      <c r="D305">
        <v>2213.8342870000001</v>
      </c>
    </row>
    <row r="306" spans="1:4" x14ac:dyDescent="0.25">
      <c r="A306" t="s">
        <v>262</v>
      </c>
      <c r="B306" s="3">
        <f t="shared" si="4"/>
        <v>44713</v>
      </c>
      <c r="C306">
        <v>2336.3385370000001</v>
      </c>
      <c r="D306">
        <v>2155.5054009999999</v>
      </c>
    </row>
    <row r="307" spans="1:4" x14ac:dyDescent="0.25">
      <c r="A307" t="s">
        <v>263</v>
      </c>
      <c r="B307" s="3">
        <f t="shared" si="4"/>
        <v>44743</v>
      </c>
      <c r="C307">
        <v>2130.2472859999998</v>
      </c>
      <c r="D307">
        <v>1959.3691980000001</v>
      </c>
    </row>
    <row r="308" spans="1:4" x14ac:dyDescent="0.25">
      <c r="A308" t="s">
        <v>264</v>
      </c>
      <c r="B308" s="3">
        <f t="shared" si="4"/>
        <v>44774</v>
      </c>
      <c r="C308">
        <v>2302.3344550000002</v>
      </c>
      <c r="D308">
        <v>2073.8365450000001</v>
      </c>
    </row>
    <row r="309" spans="1:4" x14ac:dyDescent="0.25">
      <c r="A309" t="s">
        <v>265</v>
      </c>
      <c r="B309" s="3">
        <f t="shared" si="4"/>
        <v>44805</v>
      </c>
      <c r="C309">
        <v>2208.6026940000002</v>
      </c>
      <c r="D309">
        <v>2098.9149299999999</v>
      </c>
    </row>
    <row r="310" spans="1:4" x14ac:dyDescent="0.25">
      <c r="A310" t="s">
        <v>266</v>
      </c>
      <c r="B310" s="3">
        <f t="shared" si="4"/>
        <v>44835</v>
      </c>
      <c r="C310">
        <v>2000.7468469999999</v>
      </c>
      <c r="D310">
        <v>1968.166029</v>
      </c>
    </row>
    <row r="311" spans="1:4" x14ac:dyDescent="0.25">
      <c r="A311" t="s">
        <v>267</v>
      </c>
      <c r="B311" s="3">
        <f t="shared" si="4"/>
        <v>44866</v>
      </c>
      <c r="C311">
        <v>2146.4540019999999</v>
      </c>
      <c r="D311">
        <v>2085.9372159999998</v>
      </c>
    </row>
    <row r="312" spans="1:4" x14ac:dyDescent="0.25">
      <c r="A312" t="s">
        <v>268</v>
      </c>
      <c r="B312" s="3">
        <f t="shared" si="4"/>
        <v>44896</v>
      </c>
      <c r="C312">
        <v>2293.6830869999999</v>
      </c>
      <c r="D312">
        <v>2225.2999570000002</v>
      </c>
    </row>
    <row r="313" spans="1:4" x14ac:dyDescent="0.25">
      <c r="A313" t="s">
        <v>269</v>
      </c>
      <c r="B313" s="3">
        <f t="shared" si="4"/>
        <v>44927</v>
      </c>
      <c r="C313">
        <v>2198.4432400000001</v>
      </c>
      <c r="D313">
        <v>2149.944184</v>
      </c>
    </row>
    <row r="314" spans="1:4" x14ac:dyDescent="0.25">
      <c r="A314" t="s">
        <v>270</v>
      </c>
      <c r="B314" s="3">
        <f t="shared" si="4"/>
        <v>44958</v>
      </c>
      <c r="C314">
        <v>2359.6117850000001</v>
      </c>
      <c r="D314">
        <v>2288.160558</v>
      </c>
    </row>
    <row r="315" spans="1:4" x14ac:dyDescent="0.25">
      <c r="A315" t="s">
        <v>271</v>
      </c>
      <c r="B315" s="3">
        <f t="shared" si="4"/>
        <v>44986</v>
      </c>
      <c r="C315">
        <v>2303.9123079999999</v>
      </c>
      <c r="D315">
        <v>2228.1537530000001</v>
      </c>
    </row>
    <row r="316" spans="1:4" x14ac:dyDescent="0.25">
      <c r="A316" t="s">
        <v>272</v>
      </c>
      <c r="B316" s="3">
        <f t="shared" si="4"/>
        <v>45017</v>
      </c>
      <c r="C316">
        <v>2359.7519419999999</v>
      </c>
      <c r="D316">
        <v>2221.7402550000002</v>
      </c>
    </row>
    <row r="317" spans="1:4" x14ac:dyDescent="0.25">
      <c r="A317" t="s">
        <v>273</v>
      </c>
      <c r="B317" s="3">
        <f t="shared" si="4"/>
        <v>45047</v>
      </c>
      <c r="C317">
        <v>2396.2274729999999</v>
      </c>
      <c r="D317">
        <v>2262.3389670000001</v>
      </c>
    </row>
    <row r="318" spans="1:4" x14ac:dyDescent="0.25">
      <c r="A318" t="s">
        <v>274</v>
      </c>
      <c r="B318" s="3">
        <f t="shared" si="4"/>
        <v>45078</v>
      </c>
      <c r="C318">
        <v>2367.6177969999999</v>
      </c>
      <c r="D318">
        <v>2204.4066990000001</v>
      </c>
    </row>
    <row r="319" spans="1:4" x14ac:dyDescent="0.25">
      <c r="A319" t="s">
        <v>275</v>
      </c>
      <c r="B319" s="3">
        <f t="shared" si="4"/>
        <v>45108</v>
      </c>
      <c r="C319">
        <v>2511.4075790000002</v>
      </c>
      <c r="D319">
        <v>2245.4056799999998</v>
      </c>
    </row>
    <row r="320" spans="1:4" x14ac:dyDescent="0.25">
      <c r="A320" t="s">
        <v>276</v>
      </c>
      <c r="B320" s="3">
        <f t="shared" si="4"/>
        <v>45139</v>
      </c>
      <c r="C320">
        <v>2599.9754029999999</v>
      </c>
      <c r="D320">
        <v>2310.6147580000002</v>
      </c>
    </row>
    <row r="321" spans="1:4" x14ac:dyDescent="0.25">
      <c r="A321" t="s">
        <v>277</v>
      </c>
      <c r="B321" s="3">
        <f t="shared" si="4"/>
        <v>45170</v>
      </c>
      <c r="C321">
        <v>2533.8352030000001</v>
      </c>
      <c r="D321">
        <v>2299.4458420000001</v>
      </c>
    </row>
    <row r="322" spans="1:4" x14ac:dyDescent="0.25">
      <c r="A322" t="s">
        <v>278</v>
      </c>
      <c r="B322" s="3">
        <f t="shared" si="4"/>
        <v>45200</v>
      </c>
      <c r="C322">
        <v>2421.9848459999998</v>
      </c>
      <c r="D322">
        <v>2235.3141679999999</v>
      </c>
    </row>
    <row r="323" spans="1:4" x14ac:dyDescent="0.25">
      <c r="A323" t="s">
        <v>279</v>
      </c>
      <c r="B323" s="3">
        <f t="shared" ref="B323:B352" si="5">DATE(YEAR(A323),MONTH(A323)+1,1)</f>
        <v>45231</v>
      </c>
      <c r="C323">
        <v>2343.3858879999998</v>
      </c>
      <c r="D323">
        <v>2150.5167080000001</v>
      </c>
    </row>
    <row r="324" spans="1:4" x14ac:dyDescent="0.25">
      <c r="A324" t="s">
        <v>280</v>
      </c>
      <c r="B324" s="3">
        <f t="shared" si="5"/>
        <v>45261</v>
      </c>
      <c r="C324">
        <v>2562.9281489999998</v>
      </c>
      <c r="D324">
        <v>2259.1025599999998</v>
      </c>
    </row>
    <row r="325" spans="1:4" x14ac:dyDescent="0.25">
      <c r="A325" t="s">
        <v>281</v>
      </c>
      <c r="B325" s="3">
        <f t="shared" si="5"/>
        <v>45292</v>
      </c>
      <c r="C325">
        <v>2701.360248</v>
      </c>
      <c r="D325">
        <v>2426.6837019999998</v>
      </c>
    </row>
    <row r="326" spans="1:4" x14ac:dyDescent="0.25">
      <c r="A326" t="s">
        <v>282</v>
      </c>
      <c r="B326" s="3">
        <f t="shared" si="5"/>
        <v>45323</v>
      </c>
      <c r="C326">
        <v>2722.1422080000002</v>
      </c>
      <c r="D326">
        <v>2458.8264300000001</v>
      </c>
    </row>
    <row r="327" spans="1:4" x14ac:dyDescent="0.25">
      <c r="A327" t="s">
        <v>283</v>
      </c>
      <c r="B327" s="3">
        <f t="shared" si="5"/>
        <v>45352</v>
      </c>
      <c r="C327">
        <v>2834.978188</v>
      </c>
      <c r="D327">
        <v>2486.9474879999998</v>
      </c>
    </row>
    <row r="328" spans="1:4" x14ac:dyDescent="0.25">
      <c r="A328" t="s">
        <v>284</v>
      </c>
      <c r="B328" s="3">
        <f t="shared" si="5"/>
        <v>45383</v>
      </c>
      <c r="C328">
        <v>2928.0916900000002</v>
      </c>
      <c r="D328">
        <v>2563.417899</v>
      </c>
    </row>
    <row r="329" spans="1:4" x14ac:dyDescent="0.25">
      <c r="A329" t="s">
        <v>285</v>
      </c>
      <c r="B329" s="3">
        <f t="shared" si="5"/>
        <v>45413</v>
      </c>
      <c r="C329">
        <v>2814.8743220000001</v>
      </c>
      <c r="D329">
        <v>2483.241704</v>
      </c>
    </row>
    <row r="330" spans="1:4" x14ac:dyDescent="0.25">
      <c r="A330" t="s">
        <v>286</v>
      </c>
      <c r="B330" s="3">
        <f t="shared" si="5"/>
        <v>45444</v>
      </c>
      <c r="C330">
        <v>2940.8158749999998</v>
      </c>
      <c r="D330">
        <v>2507.5076979999999</v>
      </c>
    </row>
    <row r="331" spans="1:4" x14ac:dyDescent="0.25">
      <c r="A331" t="s">
        <v>287</v>
      </c>
      <c r="B331" s="3">
        <f t="shared" si="5"/>
        <v>45474</v>
      </c>
      <c r="C331">
        <v>2988.3970690000001</v>
      </c>
      <c r="D331">
        <v>2534.3685369999998</v>
      </c>
    </row>
    <row r="332" spans="1:4" x14ac:dyDescent="0.25">
      <c r="A332" t="s">
        <v>288</v>
      </c>
      <c r="B332" s="3">
        <f t="shared" si="5"/>
        <v>45505</v>
      </c>
      <c r="C332">
        <v>3056.3818259999998</v>
      </c>
      <c r="D332">
        <v>2636.4598879999999</v>
      </c>
    </row>
    <row r="333" spans="1:4" x14ac:dyDescent="0.25">
      <c r="A333" t="s">
        <v>289</v>
      </c>
      <c r="B333" s="3">
        <f t="shared" si="5"/>
        <v>45536</v>
      </c>
      <c r="C333">
        <v>3130.2493469999999</v>
      </c>
      <c r="D333">
        <v>2644.2470440000002</v>
      </c>
    </row>
    <row r="334" spans="1:4" x14ac:dyDescent="0.25">
      <c r="A334" t="s">
        <v>290</v>
      </c>
      <c r="B334" s="3">
        <f t="shared" si="5"/>
        <v>45566</v>
      </c>
      <c r="C334">
        <v>3187.708345</v>
      </c>
      <c r="D334">
        <v>2727.9035779999999</v>
      </c>
    </row>
    <row r="335" spans="1:4" x14ac:dyDescent="0.25">
      <c r="A335" t="s">
        <v>291</v>
      </c>
      <c r="B335" s="3">
        <f t="shared" si="5"/>
        <v>45597</v>
      </c>
      <c r="C335">
        <v>3122.1135049999998</v>
      </c>
      <c r="D335">
        <v>2686.809878</v>
      </c>
    </row>
    <row r="336" spans="1:4" x14ac:dyDescent="0.25">
      <c r="A336" t="s">
        <v>292</v>
      </c>
      <c r="B336" s="3">
        <f t="shared" si="5"/>
        <v>45627</v>
      </c>
      <c r="C336">
        <v>3271.4424450000001</v>
      </c>
      <c r="D336">
        <v>2785.710024</v>
      </c>
    </row>
    <row r="337" spans="1:4" x14ac:dyDescent="0.25">
      <c r="A337" t="s">
        <v>293</v>
      </c>
      <c r="B337" s="3">
        <f t="shared" si="5"/>
        <v>45658</v>
      </c>
      <c r="C337">
        <v>3174.5512990000002</v>
      </c>
      <c r="D337">
        <v>2697.7873119999999</v>
      </c>
    </row>
    <row r="338" spans="1:4" x14ac:dyDescent="0.25">
      <c r="A338" t="s">
        <v>294</v>
      </c>
      <c r="B338" s="3">
        <f t="shared" si="5"/>
        <v>45689</v>
      </c>
      <c r="C338">
        <v>3286.370723</v>
      </c>
      <c r="D338">
        <v>2820.6901130000001</v>
      </c>
    </row>
    <row r="339" spans="1:4" x14ac:dyDescent="0.25">
      <c r="A339" t="s">
        <v>295</v>
      </c>
      <c r="B339" s="3">
        <f t="shared" si="5"/>
        <v>45717</v>
      </c>
      <c r="C339">
        <v>3254.016721</v>
      </c>
      <c r="D339">
        <v>2711.6092140000001</v>
      </c>
    </row>
    <row r="340" spans="1:4" x14ac:dyDescent="0.25">
      <c r="A340" t="s">
        <v>296</v>
      </c>
      <c r="B340" s="3">
        <f t="shared" si="5"/>
        <v>45748</v>
      </c>
      <c r="C340">
        <v>3111.4241780000002</v>
      </c>
      <c r="D340">
        <v>2619.6825220000001</v>
      </c>
    </row>
    <row r="341" spans="1:4" x14ac:dyDescent="0.25">
      <c r="A341" t="s">
        <v>297</v>
      </c>
      <c r="B341" s="3">
        <f t="shared" si="5"/>
        <v>45778</v>
      </c>
      <c r="C341">
        <v>3138.4724179999998</v>
      </c>
      <c r="D341">
        <v>2715.6442059999999</v>
      </c>
    </row>
    <row r="342" spans="1:4" x14ac:dyDescent="0.25">
      <c r="A342" t="s">
        <v>298</v>
      </c>
      <c r="B342" s="3">
        <f t="shared" si="5"/>
        <v>45809</v>
      </c>
      <c r="C342">
        <v>3323.8839370000001</v>
      </c>
      <c r="D342">
        <v>2826.7418990000001</v>
      </c>
    </row>
    <row r="343" spans="1:4" x14ac:dyDescent="0.25">
      <c r="A343" t="s">
        <v>299</v>
      </c>
      <c r="B343" s="3">
        <f t="shared" si="5"/>
        <v>45839</v>
      </c>
      <c r="C343">
        <v>3468.7668789999998</v>
      </c>
      <c r="D343">
        <v>2865.243618</v>
      </c>
    </row>
    <row r="344" spans="1:4" x14ac:dyDescent="0.25">
      <c r="A344" t="s">
        <v>300</v>
      </c>
      <c r="B344" s="3">
        <f t="shared" si="5"/>
        <v>45870</v>
      </c>
      <c r="C344">
        <v>3513.1155220000001</v>
      </c>
      <c r="D344">
        <v>2927.5109849999999</v>
      </c>
    </row>
    <row r="345" spans="1:4" x14ac:dyDescent="0.25">
      <c r="A345" t="s">
        <v>301</v>
      </c>
      <c r="B345" s="3">
        <f t="shared" si="5"/>
        <v>45901</v>
      </c>
      <c r="C345">
        <v>3614.0871950000001</v>
      </c>
      <c r="D345">
        <v>3020.351803</v>
      </c>
    </row>
    <row r="346" spans="1:4" x14ac:dyDescent="0.25">
      <c r="A346" t="s">
        <v>302</v>
      </c>
      <c r="B346" s="3">
        <f t="shared" si="5"/>
        <v>45931</v>
      </c>
      <c r="C346">
        <v>3725.5302940000001</v>
      </c>
      <c r="D346">
        <v>2996.9746749999999</v>
      </c>
    </row>
    <row r="347" spans="1:4" x14ac:dyDescent="0.25">
      <c r="A347" t="s">
        <v>303</v>
      </c>
      <c r="B347" s="3">
        <f t="shared" si="5"/>
        <v>45962</v>
      </c>
      <c r="C347">
        <v>3793.0013990000002</v>
      </c>
      <c r="D347">
        <v>3012.4159549999999</v>
      </c>
    </row>
    <row r="348" spans="1:4" x14ac:dyDescent="0.25">
      <c r="A348" t="s">
        <v>304</v>
      </c>
      <c r="B348" s="3">
        <f t="shared" si="5"/>
        <v>45992</v>
      </c>
      <c r="C348">
        <v>3809.2578579999999</v>
      </c>
      <c r="D348">
        <v>2920.2984430000001</v>
      </c>
    </row>
    <row r="349" spans="1:4" x14ac:dyDescent="0.25">
      <c r="A349" t="s">
        <v>305</v>
      </c>
      <c r="B349" s="3">
        <f t="shared" si="5"/>
        <v>46023</v>
      </c>
      <c r="C349">
        <v>3840.531755</v>
      </c>
      <c r="D349">
        <v>2964.4622850000001</v>
      </c>
    </row>
    <row r="350" spans="1:4" x14ac:dyDescent="0.25">
      <c r="A350" t="s">
        <v>459</v>
      </c>
      <c r="B350" s="3">
        <f t="shared" si="5"/>
        <v>46054</v>
      </c>
      <c r="C350">
        <v>3940.1240859999998</v>
      </c>
      <c r="D350">
        <v>3014.8543559999998</v>
      </c>
    </row>
    <row r="351" spans="1:4" x14ac:dyDescent="0.25">
      <c r="A351" t="s">
        <v>460</v>
      </c>
      <c r="B351" s="3">
        <f t="shared" si="5"/>
        <v>46082</v>
      </c>
      <c r="C351">
        <v>3982.2917170000001</v>
      </c>
      <c r="D351">
        <v>3143.7570700000001</v>
      </c>
    </row>
    <row r="352" spans="1:4" x14ac:dyDescent="0.25">
      <c r="A352" t="s">
        <v>461</v>
      </c>
      <c r="B352" s="3">
        <f t="shared" si="5"/>
        <v>46113</v>
      </c>
      <c r="C352">
        <v>3722.882944</v>
      </c>
      <c r="D352">
        <v>2920.838041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DDE3-0864-4B49-983D-31BEBC6D5E6C}">
  <dimension ref="A1:H816"/>
  <sheetViews>
    <sheetView workbookViewId="0">
      <selection activeCell="C15" sqref="C15"/>
    </sheetView>
  </sheetViews>
  <sheetFormatPr defaultRowHeight="15" x14ac:dyDescent="0.25"/>
  <cols>
    <col min="2" max="7" width="12.5703125" customWidth="1"/>
    <col min="8" max="8" width="10.42578125" bestFit="1" customWidth="1"/>
  </cols>
  <sheetData>
    <row r="1" spans="1:8" ht="96" x14ac:dyDescent="0.25">
      <c r="A1" s="15" t="s">
        <v>29</v>
      </c>
      <c r="B1" s="15" t="s">
        <v>30</v>
      </c>
      <c r="C1" s="15" t="s">
        <v>31</v>
      </c>
      <c r="D1" s="15" t="s">
        <v>32</v>
      </c>
      <c r="E1" s="15" t="s">
        <v>33</v>
      </c>
      <c r="F1" s="15" t="s">
        <v>34</v>
      </c>
      <c r="G1" s="15" t="s">
        <v>35</v>
      </c>
    </row>
    <row r="2" spans="1:8" x14ac:dyDescent="0.25">
      <c r="A2" s="16" t="s">
        <v>36</v>
      </c>
      <c r="B2" s="16" t="s">
        <v>30</v>
      </c>
      <c r="C2" s="16" t="s">
        <v>31</v>
      </c>
      <c r="D2" s="16" t="s">
        <v>32</v>
      </c>
      <c r="E2" s="16" t="s">
        <v>33</v>
      </c>
      <c r="F2" s="17" t="s">
        <v>34</v>
      </c>
      <c r="G2" s="17" t="s">
        <v>35</v>
      </c>
    </row>
    <row r="3" spans="1:8" x14ac:dyDescent="0.25">
      <c r="A3" s="16" t="s">
        <v>37</v>
      </c>
      <c r="B3" s="18" t="s">
        <v>38</v>
      </c>
      <c r="C3" s="18" t="s">
        <v>38</v>
      </c>
      <c r="D3" s="18" t="s">
        <v>38</v>
      </c>
      <c r="E3" s="18" t="s">
        <v>38</v>
      </c>
      <c r="F3" s="18" t="s">
        <v>38</v>
      </c>
      <c r="G3" s="18" t="s">
        <v>38</v>
      </c>
    </row>
    <row r="4" spans="1:8" x14ac:dyDescent="0.25">
      <c r="A4" s="16" t="s">
        <v>39</v>
      </c>
      <c r="B4" s="18" t="s">
        <v>40</v>
      </c>
      <c r="C4" s="18" t="s">
        <v>40</v>
      </c>
      <c r="D4" s="18" t="s">
        <v>40</v>
      </c>
      <c r="E4" s="18" t="s">
        <v>40</v>
      </c>
      <c r="F4" s="18" t="s">
        <v>40</v>
      </c>
      <c r="G4" s="18" t="s">
        <v>40</v>
      </c>
    </row>
    <row r="5" spans="1:8" ht="24.75" x14ac:dyDescent="0.25">
      <c r="A5" s="16" t="s">
        <v>41</v>
      </c>
      <c r="B5" s="18" t="s">
        <v>42</v>
      </c>
      <c r="C5" s="18" t="s">
        <v>42</v>
      </c>
      <c r="D5" s="18" t="s">
        <v>42</v>
      </c>
      <c r="E5" s="18" t="s">
        <v>42</v>
      </c>
      <c r="F5" s="18" t="s">
        <v>42</v>
      </c>
      <c r="G5" s="18" t="s">
        <v>42</v>
      </c>
    </row>
    <row r="6" spans="1:8" x14ac:dyDescent="0.25">
      <c r="A6" s="16"/>
      <c r="B6" s="16"/>
      <c r="C6" s="16"/>
      <c r="D6" s="16"/>
      <c r="E6" s="16"/>
      <c r="F6" s="16"/>
      <c r="G6" s="16"/>
    </row>
    <row r="7" spans="1:8" x14ac:dyDescent="0.25">
      <c r="A7" s="16"/>
      <c r="B7" s="19"/>
      <c r="C7" s="19"/>
      <c r="D7" s="19"/>
      <c r="E7" s="19"/>
      <c r="F7" s="19"/>
      <c r="G7" s="19"/>
    </row>
    <row r="8" spans="1:8" x14ac:dyDescent="0.25">
      <c r="A8" s="18" t="s">
        <v>43</v>
      </c>
      <c r="B8" s="16" t="s">
        <v>44</v>
      </c>
      <c r="C8" s="16" t="s">
        <v>44</v>
      </c>
      <c r="D8" s="16" t="s">
        <v>44</v>
      </c>
      <c r="E8" s="16" t="s">
        <v>44</v>
      </c>
      <c r="F8" s="16" t="s">
        <v>44</v>
      </c>
      <c r="G8" s="16" t="s">
        <v>44</v>
      </c>
    </row>
    <row r="9" spans="1:8" x14ac:dyDescent="0.25">
      <c r="A9" s="16" t="s">
        <v>45</v>
      </c>
      <c r="B9" s="20">
        <v>46087</v>
      </c>
      <c r="C9" s="20">
        <v>46087</v>
      </c>
      <c r="D9" s="20">
        <v>46087</v>
      </c>
      <c r="E9" s="20">
        <v>46087</v>
      </c>
      <c r="F9" s="20">
        <v>46087</v>
      </c>
      <c r="G9" s="20">
        <v>46087</v>
      </c>
    </row>
    <row r="10" spans="1:8" x14ac:dyDescent="0.25">
      <c r="A10" s="16" t="s">
        <v>46</v>
      </c>
      <c r="B10" s="16" t="s">
        <v>47</v>
      </c>
      <c r="C10" s="16" t="s">
        <v>48</v>
      </c>
      <c r="D10" s="16" t="s">
        <v>49</v>
      </c>
      <c r="E10" s="16" t="s">
        <v>50</v>
      </c>
      <c r="F10" s="16" t="s">
        <v>51</v>
      </c>
      <c r="G10" s="16" t="s">
        <v>52</v>
      </c>
    </row>
    <row r="11" spans="1:8" x14ac:dyDescent="0.25">
      <c r="A11" s="21">
        <v>21551</v>
      </c>
      <c r="B11" s="22"/>
      <c r="C11" s="22"/>
      <c r="D11" s="22">
        <v>5</v>
      </c>
      <c r="E11" s="22"/>
      <c r="F11" s="22"/>
      <c r="G11" s="22"/>
      <c r="H11" s="3"/>
    </row>
    <row r="12" spans="1:8" x14ac:dyDescent="0.25">
      <c r="A12" s="21">
        <v>21582</v>
      </c>
      <c r="B12" s="22"/>
      <c r="C12" s="22"/>
      <c r="D12" s="22">
        <v>5</v>
      </c>
      <c r="E12" s="22"/>
      <c r="F12" s="22"/>
      <c r="G12" s="22"/>
      <c r="H12" s="3"/>
    </row>
    <row r="13" spans="1:8" x14ac:dyDescent="0.25">
      <c r="A13" s="21">
        <v>21610</v>
      </c>
      <c r="B13" s="22"/>
      <c r="C13" s="22"/>
      <c r="D13" s="22">
        <v>5</v>
      </c>
      <c r="E13" s="22"/>
      <c r="F13" s="22"/>
      <c r="G13" s="22"/>
      <c r="H13" s="3"/>
    </row>
    <row r="14" spans="1:8" x14ac:dyDescent="0.25">
      <c r="A14" s="21">
        <v>21641</v>
      </c>
      <c r="B14" s="22"/>
      <c r="C14" s="22"/>
      <c r="D14" s="22">
        <v>5</v>
      </c>
      <c r="E14" s="22"/>
      <c r="F14" s="22"/>
      <c r="G14" s="22"/>
      <c r="H14" s="3"/>
    </row>
    <row r="15" spans="1:8" x14ac:dyDescent="0.25">
      <c r="A15" s="21">
        <v>21671</v>
      </c>
      <c r="B15" s="22"/>
      <c r="C15" s="22"/>
      <c r="D15" s="22">
        <v>5</v>
      </c>
      <c r="E15" s="22"/>
      <c r="F15" s="22"/>
      <c r="G15" s="22"/>
      <c r="H15" s="3"/>
    </row>
    <row r="16" spans="1:8" x14ac:dyDescent="0.25">
      <c r="A16" s="21">
        <v>21702</v>
      </c>
      <c r="B16" s="22"/>
      <c r="C16" s="22"/>
      <c r="D16" s="22">
        <v>5</v>
      </c>
      <c r="E16" s="22"/>
      <c r="F16" s="22"/>
      <c r="G16" s="22"/>
      <c r="H16" s="3"/>
    </row>
    <row r="17" spans="1:8" x14ac:dyDescent="0.25">
      <c r="A17" s="21">
        <v>21732</v>
      </c>
      <c r="B17" s="22"/>
      <c r="C17" s="22"/>
      <c r="D17" s="22">
        <v>5</v>
      </c>
      <c r="E17" s="22"/>
      <c r="F17" s="22"/>
      <c r="G17" s="22"/>
      <c r="H17" s="3"/>
    </row>
    <row r="18" spans="1:8" x14ac:dyDescent="0.25">
      <c r="A18" s="21">
        <v>21763</v>
      </c>
      <c r="B18" s="22"/>
      <c r="C18" s="22"/>
      <c r="D18" s="22">
        <v>5</v>
      </c>
      <c r="E18" s="22"/>
      <c r="F18" s="22"/>
      <c r="G18" s="22"/>
      <c r="H18" s="3"/>
    </row>
    <row r="19" spans="1:8" x14ac:dyDescent="0.25">
      <c r="A19" s="21">
        <v>21794</v>
      </c>
      <c r="B19" s="22"/>
      <c r="C19" s="22"/>
      <c r="D19" s="22">
        <v>5</v>
      </c>
      <c r="E19" s="22"/>
      <c r="F19" s="22"/>
      <c r="G19" s="22"/>
      <c r="H19" s="3"/>
    </row>
    <row r="20" spans="1:8" x14ac:dyDescent="0.25">
      <c r="A20" s="21">
        <v>21824</v>
      </c>
      <c r="B20" s="22"/>
      <c r="C20" s="22"/>
      <c r="D20" s="22">
        <v>5</v>
      </c>
      <c r="E20" s="22"/>
      <c r="F20" s="22"/>
      <c r="G20" s="22"/>
      <c r="H20" s="3"/>
    </row>
    <row r="21" spans="1:8" x14ac:dyDescent="0.25">
      <c r="A21" s="21">
        <v>21855</v>
      </c>
      <c r="B21" s="22"/>
      <c r="C21" s="22"/>
      <c r="D21" s="22">
        <v>5</v>
      </c>
      <c r="E21" s="22"/>
      <c r="F21" s="22"/>
      <c r="G21" s="22"/>
      <c r="H21" s="3"/>
    </row>
    <row r="22" spans="1:8" x14ac:dyDescent="0.25">
      <c r="A22" s="21">
        <v>21885</v>
      </c>
      <c r="B22" s="22"/>
      <c r="C22" s="22"/>
      <c r="D22" s="22">
        <v>5</v>
      </c>
      <c r="E22" s="22"/>
      <c r="F22" s="22"/>
      <c r="G22" s="22"/>
      <c r="H22" s="3"/>
    </row>
    <row r="23" spans="1:8" x14ac:dyDescent="0.25">
      <c r="A23" s="21">
        <v>21916</v>
      </c>
      <c r="B23" s="22"/>
      <c r="C23" s="22"/>
      <c r="D23" s="22">
        <v>5</v>
      </c>
      <c r="E23" s="22"/>
      <c r="F23" s="22"/>
      <c r="G23" s="22"/>
      <c r="H23" s="3"/>
    </row>
    <row r="24" spans="1:8" x14ac:dyDescent="0.25">
      <c r="A24" s="21">
        <v>21947</v>
      </c>
      <c r="B24" s="22"/>
      <c r="C24" s="22"/>
      <c r="D24" s="22">
        <v>5</v>
      </c>
      <c r="E24" s="22"/>
      <c r="F24" s="22"/>
      <c r="G24" s="22"/>
      <c r="H24" s="3"/>
    </row>
    <row r="25" spans="1:8" x14ac:dyDescent="0.25">
      <c r="A25" s="21">
        <v>21976</v>
      </c>
      <c r="B25" s="22"/>
      <c r="C25" s="22"/>
      <c r="D25" s="22">
        <v>5</v>
      </c>
      <c r="E25" s="22"/>
      <c r="F25" s="22"/>
      <c r="G25" s="22"/>
      <c r="H25" s="3"/>
    </row>
    <row r="26" spans="1:8" x14ac:dyDescent="0.25">
      <c r="A26" s="21">
        <v>22007</v>
      </c>
      <c r="B26" s="22"/>
      <c r="C26" s="22"/>
      <c r="D26" s="22">
        <v>5</v>
      </c>
      <c r="E26" s="22"/>
      <c r="F26" s="22"/>
      <c r="G26" s="22"/>
      <c r="H26" s="3"/>
    </row>
    <row r="27" spans="1:8" x14ac:dyDescent="0.25">
      <c r="A27" s="21">
        <v>22037</v>
      </c>
      <c r="B27" s="22"/>
      <c r="C27" s="22"/>
      <c r="D27" s="22">
        <v>5</v>
      </c>
      <c r="E27" s="22"/>
      <c r="F27" s="22"/>
      <c r="G27" s="22"/>
      <c r="H27" s="3"/>
    </row>
    <row r="28" spans="1:8" x14ac:dyDescent="0.25">
      <c r="A28" s="21">
        <v>22068</v>
      </c>
      <c r="B28" s="22"/>
      <c r="C28" s="22"/>
      <c r="D28" s="22">
        <v>5</v>
      </c>
      <c r="E28" s="22"/>
      <c r="F28" s="22"/>
      <c r="G28" s="22"/>
      <c r="H28" s="3"/>
    </row>
    <row r="29" spans="1:8" x14ac:dyDescent="0.25">
      <c r="A29" s="21">
        <v>22098</v>
      </c>
      <c r="B29" s="22"/>
      <c r="C29" s="22"/>
      <c r="D29" s="22">
        <v>5</v>
      </c>
      <c r="E29" s="22"/>
      <c r="F29" s="22"/>
      <c r="G29" s="22"/>
      <c r="H29" s="3"/>
    </row>
    <row r="30" spans="1:8" x14ac:dyDescent="0.25">
      <c r="A30" s="21">
        <v>22129</v>
      </c>
      <c r="B30" s="22"/>
      <c r="C30" s="22"/>
      <c r="D30" s="22">
        <v>5</v>
      </c>
      <c r="E30" s="22"/>
      <c r="F30" s="22"/>
      <c r="G30" s="22"/>
      <c r="H30" s="3"/>
    </row>
    <row r="31" spans="1:8" x14ac:dyDescent="0.25">
      <c r="A31" s="21">
        <v>22160</v>
      </c>
      <c r="B31" s="22"/>
      <c r="C31" s="22"/>
      <c r="D31" s="22">
        <v>5</v>
      </c>
      <c r="E31" s="22"/>
      <c r="F31" s="22"/>
      <c r="G31" s="22"/>
      <c r="H31" s="3"/>
    </row>
    <row r="32" spans="1:8" x14ac:dyDescent="0.25">
      <c r="A32" s="21">
        <v>22190</v>
      </c>
      <c r="B32" s="22"/>
      <c r="C32" s="22"/>
      <c r="D32" s="22">
        <v>5</v>
      </c>
      <c r="E32" s="22"/>
      <c r="F32" s="22"/>
      <c r="G32" s="22"/>
      <c r="H32" s="3"/>
    </row>
    <row r="33" spans="1:8" x14ac:dyDescent="0.25">
      <c r="A33" s="21">
        <v>22221</v>
      </c>
      <c r="B33" s="22"/>
      <c r="C33" s="22"/>
      <c r="D33" s="22">
        <v>5</v>
      </c>
      <c r="E33" s="22"/>
      <c r="F33" s="22"/>
      <c r="G33" s="22"/>
      <c r="H33" s="3"/>
    </row>
    <row r="34" spans="1:8" x14ac:dyDescent="0.25">
      <c r="A34" s="21">
        <v>22251</v>
      </c>
      <c r="B34" s="22"/>
      <c r="C34" s="22"/>
      <c r="D34" s="22">
        <v>5</v>
      </c>
      <c r="E34" s="22"/>
      <c r="F34" s="22"/>
      <c r="G34" s="22"/>
      <c r="H34" s="3"/>
    </row>
    <row r="35" spans="1:8" x14ac:dyDescent="0.25">
      <c r="A35" s="21">
        <v>22282</v>
      </c>
      <c r="B35" s="22"/>
      <c r="C35" s="22"/>
      <c r="D35" s="22">
        <v>5.5</v>
      </c>
      <c r="E35" s="22"/>
      <c r="F35" s="22"/>
      <c r="G35" s="22"/>
      <c r="H35" s="3"/>
    </row>
    <row r="36" spans="1:8" x14ac:dyDescent="0.25">
      <c r="A36" s="21">
        <v>22313</v>
      </c>
      <c r="B36" s="22"/>
      <c r="C36" s="22"/>
      <c r="D36" s="22">
        <v>5.5</v>
      </c>
      <c r="E36" s="22"/>
      <c r="F36" s="22"/>
      <c r="G36" s="22"/>
      <c r="H36" s="3"/>
    </row>
    <row r="37" spans="1:8" x14ac:dyDescent="0.25">
      <c r="A37" s="21">
        <v>22341</v>
      </c>
      <c r="B37" s="22"/>
      <c r="C37" s="22"/>
      <c r="D37" s="22">
        <v>5.5</v>
      </c>
      <c r="E37" s="22"/>
      <c r="F37" s="22"/>
      <c r="G37" s="22"/>
      <c r="H37" s="3"/>
    </row>
    <row r="38" spans="1:8" x14ac:dyDescent="0.25">
      <c r="A38" s="21">
        <v>22372</v>
      </c>
      <c r="B38" s="22"/>
      <c r="C38" s="22"/>
      <c r="D38" s="22">
        <v>5.5</v>
      </c>
      <c r="E38" s="22"/>
      <c r="F38" s="22"/>
      <c r="G38" s="22"/>
      <c r="H38" s="3"/>
    </row>
    <row r="39" spans="1:8" x14ac:dyDescent="0.25">
      <c r="A39" s="21">
        <v>22402</v>
      </c>
      <c r="B39" s="22"/>
      <c r="C39" s="22"/>
      <c r="D39" s="22">
        <v>5.5</v>
      </c>
      <c r="E39" s="22"/>
      <c r="F39" s="22"/>
      <c r="G39" s="22"/>
      <c r="H39" s="3"/>
    </row>
    <row r="40" spans="1:8" x14ac:dyDescent="0.25">
      <c r="A40" s="21">
        <v>22433</v>
      </c>
      <c r="B40" s="22"/>
      <c r="C40" s="22"/>
      <c r="D40" s="22">
        <v>5.5</v>
      </c>
      <c r="E40" s="22"/>
      <c r="F40" s="22"/>
      <c r="G40" s="22"/>
      <c r="H40" s="3"/>
    </row>
    <row r="41" spans="1:8" x14ac:dyDescent="0.25">
      <c r="A41" s="21">
        <v>22463</v>
      </c>
      <c r="B41" s="22"/>
      <c r="C41" s="22"/>
      <c r="D41" s="22">
        <v>5.5</v>
      </c>
      <c r="E41" s="22"/>
      <c r="F41" s="22"/>
      <c r="G41" s="22"/>
      <c r="H41" s="3"/>
    </row>
    <row r="42" spans="1:8" x14ac:dyDescent="0.25">
      <c r="A42" s="21">
        <v>22494</v>
      </c>
      <c r="B42" s="22"/>
      <c r="C42" s="22"/>
      <c r="D42" s="22">
        <v>5.5</v>
      </c>
      <c r="E42" s="22"/>
      <c r="F42" s="22"/>
      <c r="G42" s="22"/>
      <c r="H42" s="3"/>
    </row>
    <row r="43" spans="1:8" x14ac:dyDescent="0.25">
      <c r="A43" s="21">
        <v>22525</v>
      </c>
      <c r="B43" s="22"/>
      <c r="C43" s="22"/>
      <c r="D43" s="22">
        <v>5.5</v>
      </c>
      <c r="E43" s="22"/>
      <c r="F43" s="22"/>
      <c r="G43" s="22"/>
      <c r="H43" s="3"/>
    </row>
    <row r="44" spans="1:8" x14ac:dyDescent="0.25">
      <c r="A44" s="21">
        <v>22555</v>
      </c>
      <c r="B44" s="22"/>
      <c r="C44" s="22"/>
      <c r="D44" s="22">
        <v>5.5</v>
      </c>
      <c r="E44" s="22"/>
      <c r="F44" s="22"/>
      <c r="G44" s="22"/>
      <c r="H44" s="3"/>
    </row>
    <row r="45" spans="1:8" x14ac:dyDescent="0.25">
      <c r="A45" s="21">
        <v>22586</v>
      </c>
      <c r="B45" s="22"/>
      <c r="C45" s="22"/>
      <c r="D45" s="22">
        <v>5.5</v>
      </c>
      <c r="E45" s="22"/>
      <c r="F45" s="22"/>
      <c r="G45" s="22"/>
      <c r="H45" s="3"/>
    </row>
    <row r="46" spans="1:8" x14ac:dyDescent="0.25">
      <c r="A46" s="21">
        <v>22616</v>
      </c>
      <c r="B46" s="22"/>
      <c r="C46" s="22"/>
      <c r="D46" s="22">
        <v>5.5</v>
      </c>
      <c r="E46" s="22"/>
      <c r="F46" s="22"/>
      <c r="G46" s="22"/>
      <c r="H46" s="3"/>
    </row>
    <row r="47" spans="1:8" x14ac:dyDescent="0.25">
      <c r="A47" s="21">
        <v>22647</v>
      </c>
      <c r="B47" s="22"/>
      <c r="C47" s="22"/>
      <c r="D47" s="22">
        <v>5.5</v>
      </c>
      <c r="E47" s="22"/>
      <c r="F47" s="22"/>
      <c r="G47" s="22"/>
      <c r="H47" s="3"/>
    </row>
    <row r="48" spans="1:8" x14ac:dyDescent="0.25">
      <c r="A48" s="21">
        <v>22678</v>
      </c>
      <c r="B48" s="22"/>
      <c r="C48" s="22"/>
      <c r="D48" s="22">
        <v>5.5</v>
      </c>
      <c r="E48" s="22"/>
      <c r="F48" s="22"/>
      <c r="G48" s="22"/>
      <c r="H48" s="3"/>
    </row>
    <row r="49" spans="1:8" x14ac:dyDescent="0.25">
      <c r="A49" s="21">
        <v>22706</v>
      </c>
      <c r="B49" s="22"/>
      <c r="C49" s="22"/>
      <c r="D49" s="22">
        <v>5.5</v>
      </c>
      <c r="E49" s="22"/>
      <c r="F49" s="22"/>
      <c r="G49" s="22"/>
      <c r="H49" s="3"/>
    </row>
    <row r="50" spans="1:8" x14ac:dyDescent="0.25">
      <c r="A50" s="21">
        <v>22737</v>
      </c>
      <c r="B50" s="22"/>
      <c r="C50" s="22"/>
      <c r="D50" s="22">
        <v>5.5</v>
      </c>
      <c r="E50" s="22"/>
      <c r="F50" s="22"/>
      <c r="G50" s="22"/>
      <c r="H50" s="3"/>
    </row>
    <row r="51" spans="1:8" x14ac:dyDescent="0.25">
      <c r="A51" s="21">
        <v>22767</v>
      </c>
      <c r="B51" s="22"/>
      <c r="C51" s="22"/>
      <c r="D51" s="22">
        <v>5.5</v>
      </c>
      <c r="E51" s="22"/>
      <c r="F51" s="22"/>
      <c r="G51" s="22"/>
      <c r="H51" s="3"/>
    </row>
    <row r="52" spans="1:8" x14ac:dyDescent="0.25">
      <c r="A52" s="21">
        <v>22798</v>
      </c>
      <c r="B52" s="22"/>
      <c r="C52" s="22"/>
      <c r="D52" s="22">
        <v>5.5</v>
      </c>
      <c r="E52" s="22"/>
      <c r="F52" s="22"/>
      <c r="G52" s="22"/>
      <c r="H52" s="3"/>
    </row>
    <row r="53" spans="1:8" x14ac:dyDescent="0.25">
      <c r="A53" s="21">
        <v>22828</v>
      </c>
      <c r="B53" s="22"/>
      <c r="C53" s="22"/>
      <c r="D53" s="22">
        <v>5.5</v>
      </c>
      <c r="E53" s="22"/>
      <c r="F53" s="22"/>
      <c r="G53" s="22"/>
      <c r="H53" s="3"/>
    </row>
    <row r="54" spans="1:8" x14ac:dyDescent="0.25">
      <c r="A54" s="21">
        <v>22859</v>
      </c>
      <c r="B54" s="22"/>
      <c r="C54" s="22"/>
      <c r="D54" s="22">
        <v>5.5</v>
      </c>
      <c r="E54" s="22"/>
      <c r="F54" s="22"/>
      <c r="G54" s="22"/>
      <c r="H54" s="3"/>
    </row>
    <row r="55" spans="1:8" x14ac:dyDescent="0.25">
      <c r="A55" s="21">
        <v>22890</v>
      </c>
      <c r="B55" s="22"/>
      <c r="C55" s="22"/>
      <c r="D55" s="22">
        <v>5.5</v>
      </c>
      <c r="E55" s="22"/>
      <c r="F55" s="22"/>
      <c r="G55" s="22"/>
      <c r="H55" s="3"/>
    </row>
    <row r="56" spans="1:8" x14ac:dyDescent="0.25">
      <c r="A56" s="21">
        <v>22920</v>
      </c>
      <c r="B56" s="22"/>
      <c r="C56" s="22"/>
      <c r="D56" s="22">
        <v>5.5</v>
      </c>
      <c r="E56" s="22"/>
      <c r="F56" s="22"/>
      <c r="G56" s="22"/>
      <c r="H56" s="3"/>
    </row>
    <row r="57" spans="1:8" x14ac:dyDescent="0.25">
      <c r="A57" s="21">
        <v>22951</v>
      </c>
      <c r="B57" s="22"/>
      <c r="C57" s="22"/>
      <c r="D57" s="22">
        <v>5.5</v>
      </c>
      <c r="E57" s="22"/>
      <c r="F57" s="22"/>
      <c r="G57" s="22"/>
      <c r="H57" s="3"/>
    </row>
    <row r="58" spans="1:8" x14ac:dyDescent="0.25">
      <c r="A58" s="21">
        <v>22981</v>
      </c>
      <c r="B58" s="22"/>
      <c r="C58" s="22"/>
      <c r="D58" s="22">
        <v>5.5</v>
      </c>
      <c r="E58" s="22"/>
      <c r="F58" s="22"/>
      <c r="G58" s="22"/>
      <c r="H58" s="3"/>
    </row>
    <row r="59" spans="1:8" x14ac:dyDescent="0.25">
      <c r="A59" s="21">
        <v>23012</v>
      </c>
      <c r="B59" s="22"/>
      <c r="C59" s="22"/>
      <c r="D59" s="22">
        <v>5.5</v>
      </c>
      <c r="E59" s="22"/>
      <c r="F59" s="22"/>
      <c r="G59" s="22"/>
      <c r="H59" s="3"/>
    </row>
    <row r="60" spans="1:8" x14ac:dyDescent="0.25">
      <c r="A60" s="21">
        <v>23043</v>
      </c>
      <c r="B60" s="22"/>
      <c r="C60" s="22"/>
      <c r="D60" s="22">
        <v>5.5</v>
      </c>
      <c r="E60" s="22"/>
      <c r="F60" s="22"/>
      <c r="G60" s="22"/>
      <c r="H60" s="3"/>
    </row>
    <row r="61" spans="1:8" x14ac:dyDescent="0.25">
      <c r="A61" s="21">
        <v>23071</v>
      </c>
      <c r="B61" s="22"/>
      <c r="C61" s="22"/>
      <c r="D61" s="22">
        <v>5.5</v>
      </c>
      <c r="E61" s="22"/>
      <c r="F61" s="22"/>
      <c r="G61" s="22"/>
      <c r="H61" s="3"/>
    </row>
    <row r="62" spans="1:8" x14ac:dyDescent="0.25">
      <c r="A62" s="21">
        <v>23102</v>
      </c>
      <c r="B62" s="22"/>
      <c r="C62" s="22"/>
      <c r="D62" s="22">
        <v>5</v>
      </c>
      <c r="E62" s="22"/>
      <c r="F62" s="22"/>
      <c r="G62" s="22"/>
      <c r="H62" s="3"/>
    </row>
    <row r="63" spans="1:8" x14ac:dyDescent="0.25">
      <c r="A63" s="21">
        <v>23132</v>
      </c>
      <c r="B63" s="22"/>
      <c r="C63" s="22"/>
      <c r="D63" s="22">
        <v>5</v>
      </c>
      <c r="E63" s="22"/>
      <c r="F63" s="22"/>
      <c r="G63" s="22"/>
      <c r="H63" s="3"/>
    </row>
    <row r="64" spans="1:8" x14ac:dyDescent="0.25">
      <c r="A64" s="21">
        <v>23163</v>
      </c>
      <c r="B64" s="22"/>
      <c r="C64" s="22"/>
      <c r="D64" s="22">
        <v>5</v>
      </c>
      <c r="E64" s="22"/>
      <c r="F64" s="22"/>
      <c r="G64" s="22"/>
      <c r="H64" s="3"/>
    </row>
    <row r="65" spans="1:8" x14ac:dyDescent="0.25">
      <c r="A65" s="21">
        <v>23193</v>
      </c>
      <c r="B65" s="22"/>
      <c r="C65" s="22"/>
      <c r="D65" s="22">
        <v>5</v>
      </c>
      <c r="E65" s="22"/>
      <c r="F65" s="22"/>
      <c r="G65" s="22"/>
      <c r="H65" s="3"/>
    </row>
    <row r="66" spans="1:8" x14ac:dyDescent="0.25">
      <c r="A66" s="21">
        <v>23224</v>
      </c>
      <c r="B66" s="22"/>
      <c r="C66" s="22"/>
      <c r="D66" s="22">
        <v>5</v>
      </c>
      <c r="E66" s="22"/>
      <c r="F66" s="22"/>
      <c r="G66" s="22"/>
      <c r="H66" s="3"/>
    </row>
    <row r="67" spans="1:8" x14ac:dyDescent="0.25">
      <c r="A67" s="21">
        <v>23255</v>
      </c>
      <c r="B67" s="22"/>
      <c r="C67" s="22"/>
      <c r="D67" s="22">
        <v>5</v>
      </c>
      <c r="E67" s="22"/>
      <c r="F67" s="22"/>
      <c r="G67" s="22"/>
      <c r="H67" s="3"/>
    </row>
    <row r="68" spans="1:8" x14ac:dyDescent="0.25">
      <c r="A68" s="21">
        <v>23285</v>
      </c>
      <c r="B68" s="22"/>
      <c r="C68" s="22"/>
      <c r="D68" s="22">
        <v>5</v>
      </c>
      <c r="E68" s="22"/>
      <c r="F68" s="22"/>
      <c r="G68" s="22"/>
      <c r="H68" s="3"/>
    </row>
    <row r="69" spans="1:8" x14ac:dyDescent="0.25">
      <c r="A69" s="21">
        <v>23316</v>
      </c>
      <c r="B69" s="22"/>
      <c r="C69" s="22"/>
      <c r="D69" s="22">
        <v>5</v>
      </c>
      <c r="E69" s="22"/>
      <c r="F69" s="22"/>
      <c r="G69" s="22"/>
      <c r="H69" s="3"/>
    </row>
    <row r="70" spans="1:8" x14ac:dyDescent="0.25">
      <c r="A70" s="21">
        <v>23346</v>
      </c>
      <c r="B70" s="22"/>
      <c r="C70" s="22"/>
      <c r="D70" s="22">
        <v>5</v>
      </c>
      <c r="E70" s="22"/>
      <c r="F70" s="22"/>
      <c r="G70" s="22"/>
      <c r="H70" s="3"/>
    </row>
    <row r="71" spans="1:8" x14ac:dyDescent="0.25">
      <c r="A71" s="21">
        <v>23377</v>
      </c>
      <c r="B71" s="22"/>
      <c r="C71" s="22"/>
      <c r="D71" s="22">
        <v>5</v>
      </c>
      <c r="E71" s="22"/>
      <c r="F71" s="22"/>
      <c r="G71" s="22"/>
      <c r="H71" s="3"/>
    </row>
    <row r="72" spans="1:8" x14ac:dyDescent="0.25">
      <c r="A72" s="21">
        <v>23408</v>
      </c>
      <c r="B72" s="22"/>
      <c r="C72" s="22"/>
      <c r="D72" s="22">
        <v>5</v>
      </c>
      <c r="E72" s="22"/>
      <c r="F72" s="22"/>
      <c r="G72" s="22"/>
      <c r="H72" s="3"/>
    </row>
    <row r="73" spans="1:8" x14ac:dyDescent="0.25">
      <c r="A73" s="21">
        <v>23437</v>
      </c>
      <c r="B73" s="22"/>
      <c r="C73" s="22"/>
      <c r="D73" s="22">
        <v>5</v>
      </c>
      <c r="E73" s="22"/>
      <c r="F73" s="22"/>
      <c r="G73" s="22"/>
      <c r="H73" s="3"/>
    </row>
    <row r="74" spans="1:8" x14ac:dyDescent="0.25">
      <c r="A74" s="21">
        <v>23468</v>
      </c>
      <c r="B74" s="22"/>
      <c r="C74" s="22"/>
      <c r="D74" s="22">
        <v>5</v>
      </c>
      <c r="E74" s="22"/>
      <c r="F74" s="22"/>
      <c r="G74" s="22"/>
      <c r="H74" s="3"/>
    </row>
    <row r="75" spans="1:8" x14ac:dyDescent="0.25">
      <c r="A75" s="21">
        <v>23498</v>
      </c>
      <c r="B75" s="22"/>
      <c r="C75" s="22"/>
      <c r="D75" s="22">
        <v>5</v>
      </c>
      <c r="E75" s="22"/>
      <c r="F75" s="22"/>
      <c r="G75" s="22"/>
      <c r="H75" s="3"/>
    </row>
    <row r="76" spans="1:8" x14ac:dyDescent="0.25">
      <c r="A76" s="21">
        <v>23529</v>
      </c>
      <c r="B76" s="22"/>
      <c r="C76" s="22"/>
      <c r="D76" s="22">
        <v>5.13</v>
      </c>
      <c r="E76" s="22"/>
      <c r="F76" s="22"/>
      <c r="G76" s="22"/>
      <c r="H76" s="3"/>
    </row>
    <row r="77" spans="1:8" x14ac:dyDescent="0.25">
      <c r="A77" s="21">
        <v>23559</v>
      </c>
      <c r="B77" s="22"/>
      <c r="C77" s="22"/>
      <c r="D77" s="22">
        <v>5.13</v>
      </c>
      <c r="E77" s="22"/>
      <c r="F77" s="22"/>
      <c r="G77" s="22"/>
      <c r="H77" s="3"/>
    </row>
    <row r="78" spans="1:8" x14ac:dyDescent="0.25">
      <c r="A78" s="21">
        <v>23590</v>
      </c>
      <c r="B78" s="22"/>
      <c r="C78" s="22"/>
      <c r="D78" s="22">
        <v>5.13</v>
      </c>
      <c r="E78" s="22"/>
      <c r="F78" s="22"/>
      <c r="G78" s="22"/>
      <c r="H78" s="3"/>
    </row>
    <row r="79" spans="1:8" x14ac:dyDescent="0.25">
      <c r="A79" s="21">
        <v>23621</v>
      </c>
      <c r="B79" s="22"/>
      <c r="C79" s="22"/>
      <c r="D79" s="22">
        <v>5.13</v>
      </c>
      <c r="E79" s="22"/>
      <c r="F79" s="22"/>
      <c r="G79" s="22"/>
      <c r="H79" s="3"/>
    </row>
    <row r="80" spans="1:8" x14ac:dyDescent="0.25">
      <c r="A80" s="21">
        <v>23651</v>
      </c>
      <c r="B80" s="22"/>
      <c r="C80" s="22"/>
      <c r="D80" s="22">
        <v>5.13</v>
      </c>
      <c r="E80" s="22"/>
      <c r="F80" s="22"/>
      <c r="G80" s="22"/>
      <c r="H80" s="3"/>
    </row>
    <row r="81" spans="1:8" x14ac:dyDescent="0.25">
      <c r="A81" s="21">
        <v>23682</v>
      </c>
      <c r="B81" s="22"/>
      <c r="C81" s="22"/>
      <c r="D81" s="22">
        <v>5.13</v>
      </c>
      <c r="E81" s="22"/>
      <c r="F81" s="22"/>
      <c r="G81" s="22"/>
      <c r="H81" s="3"/>
    </row>
    <row r="82" spans="1:8" x14ac:dyDescent="0.25">
      <c r="A82" s="21">
        <v>23712</v>
      </c>
      <c r="B82" s="22"/>
      <c r="C82" s="22"/>
      <c r="D82" s="22">
        <v>5.13</v>
      </c>
      <c r="E82" s="22"/>
      <c r="F82" s="22"/>
      <c r="G82" s="22"/>
      <c r="H82" s="3"/>
    </row>
    <row r="83" spans="1:8" x14ac:dyDescent="0.25">
      <c r="A83" s="21">
        <v>23743</v>
      </c>
      <c r="B83" s="22"/>
      <c r="C83" s="22"/>
      <c r="D83" s="22">
        <v>5.13</v>
      </c>
      <c r="E83" s="22"/>
      <c r="F83" s="22"/>
      <c r="G83" s="22"/>
      <c r="H83" s="3"/>
    </row>
    <row r="84" spans="1:8" x14ac:dyDescent="0.25">
      <c r="A84" s="21">
        <v>23774</v>
      </c>
      <c r="B84" s="22"/>
      <c r="C84" s="22"/>
      <c r="D84" s="22">
        <v>5.13</v>
      </c>
      <c r="E84" s="22"/>
      <c r="F84" s="22"/>
      <c r="G84" s="22"/>
      <c r="H84" s="3"/>
    </row>
    <row r="85" spans="1:8" x14ac:dyDescent="0.25">
      <c r="A85" s="21">
        <v>23802</v>
      </c>
      <c r="B85" s="22"/>
      <c r="C85" s="22"/>
      <c r="D85" s="22">
        <v>5.13</v>
      </c>
      <c r="E85" s="22"/>
      <c r="F85" s="22"/>
      <c r="G85" s="22"/>
      <c r="H85" s="3"/>
    </row>
    <row r="86" spans="1:8" x14ac:dyDescent="0.25">
      <c r="A86" s="21">
        <v>23833</v>
      </c>
      <c r="B86" s="22"/>
      <c r="C86" s="22"/>
      <c r="D86" s="22">
        <v>5.38</v>
      </c>
      <c r="E86" s="22"/>
      <c r="F86" s="22"/>
      <c r="G86" s="22"/>
      <c r="H86" s="3"/>
    </row>
    <row r="87" spans="1:8" x14ac:dyDescent="0.25">
      <c r="A87" s="21">
        <v>23863</v>
      </c>
      <c r="B87" s="22"/>
      <c r="C87" s="22"/>
      <c r="D87" s="22">
        <v>5.38</v>
      </c>
      <c r="E87" s="22"/>
      <c r="F87" s="22"/>
      <c r="G87" s="22"/>
      <c r="H87" s="3"/>
    </row>
    <row r="88" spans="1:8" x14ac:dyDescent="0.25">
      <c r="A88" s="21">
        <v>23894</v>
      </c>
      <c r="B88" s="22"/>
      <c r="C88" s="22"/>
      <c r="D88" s="22">
        <v>5.38</v>
      </c>
      <c r="E88" s="22"/>
      <c r="F88" s="22"/>
      <c r="G88" s="22"/>
      <c r="H88" s="3"/>
    </row>
    <row r="89" spans="1:8" x14ac:dyDescent="0.25">
      <c r="A89" s="21">
        <v>23924</v>
      </c>
      <c r="B89" s="22"/>
      <c r="C89" s="22"/>
      <c r="D89" s="22">
        <v>5.38</v>
      </c>
      <c r="E89" s="22"/>
      <c r="F89" s="22"/>
      <c r="G89" s="22"/>
      <c r="H89" s="3"/>
    </row>
    <row r="90" spans="1:8" x14ac:dyDescent="0.25">
      <c r="A90" s="21">
        <v>23955</v>
      </c>
      <c r="B90" s="22"/>
      <c r="C90" s="22"/>
      <c r="D90" s="22">
        <v>5.38</v>
      </c>
      <c r="E90" s="22"/>
      <c r="F90" s="22"/>
      <c r="G90" s="22"/>
      <c r="H90" s="3"/>
    </row>
    <row r="91" spans="1:8" x14ac:dyDescent="0.25">
      <c r="A91" s="21">
        <v>23986</v>
      </c>
      <c r="B91" s="22"/>
      <c r="C91" s="22"/>
      <c r="D91" s="22">
        <v>5.38</v>
      </c>
      <c r="E91" s="22"/>
      <c r="F91" s="22"/>
      <c r="G91" s="22"/>
      <c r="H91" s="3"/>
    </row>
    <row r="92" spans="1:8" x14ac:dyDescent="0.25">
      <c r="A92" s="21">
        <v>24016</v>
      </c>
      <c r="B92" s="22"/>
      <c r="C92" s="22"/>
      <c r="D92" s="22">
        <v>5.38</v>
      </c>
      <c r="E92" s="22"/>
      <c r="F92" s="22"/>
      <c r="G92" s="22"/>
      <c r="H92" s="3"/>
    </row>
    <row r="93" spans="1:8" x14ac:dyDescent="0.25">
      <c r="A93" s="21">
        <v>24047</v>
      </c>
      <c r="B93" s="22"/>
      <c r="C93" s="22"/>
      <c r="D93" s="22">
        <v>5.38</v>
      </c>
      <c r="E93" s="22"/>
      <c r="F93" s="22"/>
      <c r="G93" s="22"/>
      <c r="H93" s="3"/>
    </row>
    <row r="94" spans="1:8" x14ac:dyDescent="0.25">
      <c r="A94" s="21">
        <v>24077</v>
      </c>
      <c r="B94" s="22"/>
      <c r="C94" s="22"/>
      <c r="D94" s="22">
        <v>5.38</v>
      </c>
      <c r="E94" s="22"/>
      <c r="F94" s="22"/>
      <c r="G94" s="22"/>
      <c r="H94" s="3"/>
    </row>
    <row r="95" spans="1:8" x14ac:dyDescent="0.25">
      <c r="A95" s="21">
        <v>24108</v>
      </c>
      <c r="B95" s="22"/>
      <c r="C95" s="22"/>
      <c r="D95" s="22">
        <v>5.38</v>
      </c>
      <c r="E95" s="22"/>
      <c r="F95" s="22"/>
      <c r="G95" s="22"/>
      <c r="H95" s="3"/>
    </row>
    <row r="96" spans="1:8" x14ac:dyDescent="0.25">
      <c r="A96" s="21">
        <v>24139</v>
      </c>
      <c r="B96" s="22"/>
      <c r="C96" s="22"/>
      <c r="D96" s="22">
        <v>5.38</v>
      </c>
      <c r="E96" s="22"/>
      <c r="F96" s="22"/>
      <c r="G96" s="22"/>
      <c r="H96" s="3"/>
    </row>
    <row r="97" spans="1:8" x14ac:dyDescent="0.25">
      <c r="A97" s="21">
        <v>24167</v>
      </c>
      <c r="B97" s="22"/>
      <c r="C97" s="22"/>
      <c r="D97" s="22">
        <v>5.38</v>
      </c>
      <c r="E97" s="22"/>
      <c r="F97" s="22"/>
      <c r="G97" s="22"/>
      <c r="H97" s="3"/>
    </row>
    <row r="98" spans="1:8" x14ac:dyDescent="0.25">
      <c r="A98" s="21">
        <v>24198</v>
      </c>
      <c r="B98" s="22"/>
      <c r="C98" s="22"/>
      <c r="D98" s="22">
        <v>5.38</v>
      </c>
      <c r="E98" s="22"/>
      <c r="F98" s="22"/>
      <c r="G98" s="22"/>
      <c r="H98" s="3"/>
    </row>
    <row r="99" spans="1:8" x14ac:dyDescent="0.25">
      <c r="A99" s="21">
        <v>24228</v>
      </c>
      <c r="B99" s="22"/>
      <c r="C99" s="22"/>
      <c r="D99" s="22">
        <v>5.38</v>
      </c>
      <c r="E99" s="22"/>
      <c r="F99" s="22"/>
      <c r="G99" s="22"/>
      <c r="H99" s="3"/>
    </row>
    <row r="100" spans="1:8" x14ac:dyDescent="0.25">
      <c r="A100" s="21">
        <v>24259</v>
      </c>
      <c r="B100" s="22"/>
      <c r="C100" s="22"/>
      <c r="D100" s="22">
        <v>5.38</v>
      </c>
      <c r="E100" s="22"/>
      <c r="F100" s="22"/>
      <c r="G100" s="22"/>
      <c r="H100" s="3"/>
    </row>
    <row r="101" spans="1:8" x14ac:dyDescent="0.25">
      <c r="A101" s="21">
        <v>24289</v>
      </c>
      <c r="B101" s="22"/>
      <c r="C101" s="22"/>
      <c r="D101" s="22">
        <v>5.38</v>
      </c>
      <c r="E101" s="22"/>
      <c r="F101" s="22"/>
      <c r="G101" s="22"/>
      <c r="H101" s="3"/>
    </row>
    <row r="102" spans="1:8" x14ac:dyDescent="0.25">
      <c r="A102" s="21">
        <v>24320</v>
      </c>
      <c r="B102" s="22"/>
      <c r="C102" s="22"/>
      <c r="D102" s="22">
        <v>5.38</v>
      </c>
      <c r="E102" s="22"/>
      <c r="F102" s="22"/>
      <c r="G102" s="22"/>
      <c r="H102" s="3"/>
    </row>
    <row r="103" spans="1:8" x14ac:dyDescent="0.25">
      <c r="A103" s="21">
        <v>24351</v>
      </c>
      <c r="B103" s="22"/>
      <c r="C103" s="22"/>
      <c r="D103" s="22">
        <v>5.38</v>
      </c>
      <c r="E103" s="22"/>
      <c r="F103" s="22"/>
      <c r="G103" s="22"/>
      <c r="H103" s="3"/>
    </row>
    <row r="104" spans="1:8" x14ac:dyDescent="0.25">
      <c r="A104" s="21">
        <v>24381</v>
      </c>
      <c r="B104" s="22"/>
      <c r="C104" s="22"/>
      <c r="D104" s="22">
        <v>5.38</v>
      </c>
      <c r="E104" s="22"/>
      <c r="F104" s="22"/>
      <c r="G104" s="22"/>
      <c r="H104" s="3"/>
    </row>
    <row r="105" spans="1:8" x14ac:dyDescent="0.25">
      <c r="A105" s="21">
        <v>24412</v>
      </c>
      <c r="B105" s="22"/>
      <c r="C105" s="22"/>
      <c r="D105" s="22">
        <v>5.38</v>
      </c>
      <c r="E105" s="22"/>
      <c r="F105" s="22"/>
      <c r="G105" s="22"/>
      <c r="H105" s="3"/>
    </row>
    <row r="106" spans="1:8" x14ac:dyDescent="0.25">
      <c r="A106" s="21">
        <v>24442</v>
      </c>
      <c r="B106" s="22"/>
      <c r="C106" s="22"/>
      <c r="D106" s="22">
        <v>5.38</v>
      </c>
      <c r="E106" s="22"/>
      <c r="F106" s="22"/>
      <c r="G106" s="22"/>
      <c r="H106" s="3"/>
    </row>
    <row r="107" spans="1:8" x14ac:dyDescent="0.25">
      <c r="A107" s="21">
        <v>24473</v>
      </c>
      <c r="B107" s="22"/>
      <c r="C107" s="22"/>
      <c r="D107" s="22">
        <v>5.38</v>
      </c>
      <c r="E107" s="22"/>
      <c r="F107" s="22"/>
      <c r="G107" s="22"/>
      <c r="H107" s="3"/>
    </row>
    <row r="108" spans="1:8" x14ac:dyDescent="0.25">
      <c r="A108" s="21">
        <v>24504</v>
      </c>
      <c r="B108" s="22"/>
      <c r="C108" s="22"/>
      <c r="D108" s="22">
        <v>5.38</v>
      </c>
      <c r="E108" s="22"/>
      <c r="F108" s="22"/>
      <c r="G108" s="22"/>
      <c r="H108" s="3"/>
    </row>
    <row r="109" spans="1:8" x14ac:dyDescent="0.25">
      <c r="A109" s="21">
        <v>24532</v>
      </c>
      <c r="B109" s="22"/>
      <c r="C109" s="22"/>
      <c r="D109" s="22">
        <v>5.38</v>
      </c>
      <c r="E109" s="22"/>
      <c r="F109" s="22"/>
      <c r="G109" s="22"/>
      <c r="H109" s="3"/>
    </row>
    <row r="110" spans="1:8" x14ac:dyDescent="0.25">
      <c r="A110" s="21">
        <v>24563</v>
      </c>
      <c r="B110" s="22"/>
      <c r="C110" s="22"/>
      <c r="D110" s="22">
        <v>5.38</v>
      </c>
      <c r="E110" s="22"/>
      <c r="F110" s="22"/>
      <c r="G110" s="22"/>
      <c r="H110" s="3"/>
    </row>
    <row r="111" spans="1:8" x14ac:dyDescent="0.25">
      <c r="A111" s="21">
        <v>24593</v>
      </c>
      <c r="B111" s="22"/>
      <c r="C111" s="22"/>
      <c r="D111" s="22">
        <v>5.38</v>
      </c>
      <c r="E111" s="22"/>
      <c r="F111" s="22"/>
      <c r="G111" s="22"/>
      <c r="H111" s="3"/>
    </row>
    <row r="112" spans="1:8" x14ac:dyDescent="0.25">
      <c r="A112" s="21">
        <v>24624</v>
      </c>
      <c r="B112" s="22"/>
      <c r="C112" s="22"/>
      <c r="D112" s="22">
        <v>5.38</v>
      </c>
      <c r="E112" s="22"/>
      <c r="F112" s="22"/>
      <c r="G112" s="22"/>
      <c r="H112" s="3"/>
    </row>
    <row r="113" spans="1:8" x14ac:dyDescent="0.25">
      <c r="A113" s="21">
        <v>24654</v>
      </c>
      <c r="B113" s="22"/>
      <c r="C113" s="22"/>
      <c r="D113" s="22">
        <v>5.38</v>
      </c>
      <c r="E113" s="22"/>
      <c r="F113" s="22"/>
      <c r="G113" s="22"/>
      <c r="H113" s="3"/>
    </row>
    <row r="114" spans="1:8" x14ac:dyDescent="0.25">
      <c r="A114" s="21">
        <v>24685</v>
      </c>
      <c r="B114" s="22"/>
      <c r="C114" s="22"/>
      <c r="D114" s="22">
        <v>5.38</v>
      </c>
      <c r="E114" s="22"/>
      <c r="F114" s="22"/>
      <c r="G114" s="22"/>
      <c r="H114" s="3"/>
    </row>
    <row r="115" spans="1:8" x14ac:dyDescent="0.25">
      <c r="A115" s="21">
        <v>24716</v>
      </c>
      <c r="B115" s="22"/>
      <c r="C115" s="22"/>
      <c r="D115" s="22">
        <v>5.38</v>
      </c>
      <c r="E115" s="22"/>
      <c r="F115" s="22"/>
      <c r="G115" s="22"/>
      <c r="H115" s="3"/>
    </row>
    <row r="116" spans="1:8" x14ac:dyDescent="0.25">
      <c r="A116" s="21">
        <v>24746</v>
      </c>
      <c r="B116" s="22"/>
      <c r="C116" s="22"/>
      <c r="D116" s="22">
        <v>5.38</v>
      </c>
      <c r="E116" s="22"/>
      <c r="F116" s="22"/>
      <c r="G116" s="22"/>
      <c r="H116" s="3"/>
    </row>
    <row r="117" spans="1:8" x14ac:dyDescent="0.25">
      <c r="A117" s="21">
        <v>24777</v>
      </c>
      <c r="B117" s="22"/>
      <c r="C117" s="22"/>
      <c r="D117" s="22">
        <v>5.38</v>
      </c>
      <c r="E117" s="22"/>
      <c r="F117" s="22"/>
      <c r="G117" s="22"/>
      <c r="H117" s="3"/>
    </row>
    <row r="118" spans="1:8" x14ac:dyDescent="0.25">
      <c r="A118" s="21">
        <v>24807</v>
      </c>
      <c r="B118" s="22"/>
      <c r="C118" s="22"/>
      <c r="D118" s="22">
        <v>5.38</v>
      </c>
      <c r="E118" s="22"/>
      <c r="F118" s="22"/>
      <c r="G118" s="22"/>
      <c r="H118" s="3"/>
    </row>
    <row r="119" spans="1:8" x14ac:dyDescent="0.25">
      <c r="A119" s="21">
        <v>24838</v>
      </c>
      <c r="B119" s="22"/>
      <c r="C119" s="22"/>
      <c r="D119" s="22">
        <v>5.38</v>
      </c>
      <c r="E119" s="22"/>
      <c r="F119" s="22"/>
      <c r="G119" s="22"/>
      <c r="H119" s="3"/>
    </row>
    <row r="120" spans="1:8" x14ac:dyDescent="0.25">
      <c r="A120" s="21">
        <v>24869</v>
      </c>
      <c r="B120" s="22"/>
      <c r="C120" s="22"/>
      <c r="D120" s="22">
        <v>5.38</v>
      </c>
      <c r="E120" s="22"/>
      <c r="F120" s="22"/>
      <c r="G120" s="22"/>
      <c r="H120" s="3"/>
    </row>
    <row r="121" spans="1:8" x14ac:dyDescent="0.25">
      <c r="A121" s="21">
        <v>24898</v>
      </c>
      <c r="B121" s="22"/>
      <c r="C121" s="22"/>
      <c r="D121" s="22">
        <v>5.38</v>
      </c>
      <c r="E121" s="22"/>
      <c r="F121" s="22"/>
      <c r="G121" s="22"/>
      <c r="H121" s="3"/>
    </row>
    <row r="122" spans="1:8" x14ac:dyDescent="0.25">
      <c r="A122" s="21">
        <v>24929</v>
      </c>
      <c r="B122" s="22"/>
      <c r="C122" s="22"/>
      <c r="D122" s="22">
        <v>5.38</v>
      </c>
      <c r="E122" s="22"/>
      <c r="F122" s="22"/>
      <c r="G122" s="22"/>
      <c r="H122" s="3"/>
    </row>
    <row r="123" spans="1:8" x14ac:dyDescent="0.25">
      <c r="A123" s="21">
        <v>24959</v>
      </c>
      <c r="B123" s="22"/>
      <c r="C123" s="22"/>
      <c r="D123" s="22">
        <v>5.38</v>
      </c>
      <c r="E123" s="22"/>
      <c r="F123" s="22"/>
      <c r="G123" s="22"/>
      <c r="H123" s="3"/>
    </row>
    <row r="124" spans="1:8" x14ac:dyDescent="0.25">
      <c r="A124" s="21">
        <v>24990</v>
      </c>
      <c r="B124" s="22"/>
      <c r="C124" s="22"/>
      <c r="D124" s="22">
        <v>5.38</v>
      </c>
      <c r="E124" s="22"/>
      <c r="F124" s="22"/>
      <c r="G124" s="22"/>
      <c r="H124" s="3"/>
    </row>
    <row r="125" spans="1:8" x14ac:dyDescent="0.25">
      <c r="A125" s="21">
        <v>25020</v>
      </c>
      <c r="B125" s="22"/>
      <c r="C125" s="22"/>
      <c r="D125" s="22">
        <v>5.38</v>
      </c>
      <c r="E125" s="22"/>
      <c r="F125" s="22"/>
      <c r="G125" s="22"/>
      <c r="H125" s="3"/>
    </row>
    <row r="126" spans="1:8" x14ac:dyDescent="0.25">
      <c r="A126" s="21">
        <v>25051</v>
      </c>
      <c r="B126" s="22"/>
      <c r="C126" s="22"/>
      <c r="D126" s="22">
        <v>5.88</v>
      </c>
      <c r="E126" s="22"/>
      <c r="F126" s="22"/>
      <c r="G126" s="22"/>
      <c r="H126" s="3"/>
    </row>
    <row r="127" spans="1:8" x14ac:dyDescent="0.25">
      <c r="A127" s="21">
        <v>25082</v>
      </c>
      <c r="B127" s="22"/>
      <c r="C127" s="22"/>
      <c r="D127" s="22">
        <v>5.88</v>
      </c>
      <c r="E127" s="22"/>
      <c r="F127" s="22"/>
      <c r="G127" s="22"/>
      <c r="H127" s="3"/>
    </row>
    <row r="128" spans="1:8" x14ac:dyDescent="0.25">
      <c r="A128" s="21">
        <v>25112</v>
      </c>
      <c r="B128" s="22"/>
      <c r="C128" s="22"/>
      <c r="D128" s="22">
        <v>5.88</v>
      </c>
      <c r="E128" s="22"/>
      <c r="F128" s="22"/>
      <c r="G128" s="22"/>
      <c r="H128" s="3"/>
    </row>
    <row r="129" spans="1:8" x14ac:dyDescent="0.25">
      <c r="A129" s="21">
        <v>25143</v>
      </c>
      <c r="B129" s="22"/>
      <c r="C129" s="22"/>
      <c r="D129" s="22">
        <v>5.88</v>
      </c>
      <c r="E129" s="22"/>
      <c r="F129" s="22"/>
      <c r="G129" s="22"/>
      <c r="H129" s="3"/>
    </row>
    <row r="130" spans="1:8" x14ac:dyDescent="0.25">
      <c r="A130" s="21">
        <v>25173</v>
      </c>
      <c r="B130" s="22"/>
      <c r="C130" s="22"/>
      <c r="D130" s="22">
        <v>5.88</v>
      </c>
      <c r="E130" s="22"/>
      <c r="F130" s="22"/>
      <c r="G130" s="22"/>
      <c r="H130" s="3"/>
    </row>
    <row r="131" spans="1:8" x14ac:dyDescent="0.25">
      <c r="A131" s="21">
        <v>25204</v>
      </c>
      <c r="B131" s="22"/>
      <c r="C131" s="22"/>
      <c r="D131" s="22">
        <v>5.88</v>
      </c>
      <c r="E131" s="22"/>
      <c r="F131" s="22"/>
      <c r="G131" s="22"/>
      <c r="H131" s="3"/>
    </row>
    <row r="132" spans="1:8" x14ac:dyDescent="0.25">
      <c r="A132" s="21">
        <v>25235</v>
      </c>
      <c r="B132" s="22"/>
      <c r="C132" s="22"/>
      <c r="D132" s="22">
        <v>5.88</v>
      </c>
      <c r="E132" s="22"/>
      <c r="F132" s="22"/>
      <c r="G132" s="22"/>
      <c r="H132" s="3"/>
    </row>
    <row r="133" spans="1:8" x14ac:dyDescent="0.25">
      <c r="A133" s="21">
        <v>25263</v>
      </c>
      <c r="B133" s="22"/>
      <c r="C133" s="22"/>
      <c r="D133" s="22">
        <v>5.88</v>
      </c>
      <c r="E133" s="22"/>
      <c r="F133" s="22"/>
      <c r="G133" s="22"/>
      <c r="H133" s="3"/>
    </row>
    <row r="134" spans="1:8" x14ac:dyDescent="0.25">
      <c r="A134" s="21">
        <v>25294</v>
      </c>
      <c r="B134" s="22"/>
      <c r="C134" s="22"/>
      <c r="D134" s="22">
        <v>5.88</v>
      </c>
      <c r="E134" s="22"/>
      <c r="F134" s="22"/>
      <c r="G134" s="22"/>
      <c r="H134" s="3"/>
    </row>
    <row r="135" spans="1:8" x14ac:dyDescent="0.25">
      <c r="A135" s="21">
        <v>25324</v>
      </c>
      <c r="B135" s="22"/>
      <c r="C135" s="22"/>
      <c r="D135" s="22">
        <v>5.88</v>
      </c>
      <c r="E135" s="22"/>
      <c r="F135" s="22"/>
      <c r="G135" s="22"/>
      <c r="H135" s="3"/>
    </row>
    <row r="136" spans="1:8" x14ac:dyDescent="0.25">
      <c r="A136" s="21">
        <v>25355</v>
      </c>
      <c r="B136" s="22"/>
      <c r="C136" s="22"/>
      <c r="D136" s="22">
        <v>5.88</v>
      </c>
      <c r="E136" s="22"/>
      <c r="F136" s="22"/>
      <c r="G136" s="22"/>
      <c r="H136" s="3"/>
    </row>
    <row r="137" spans="1:8" x14ac:dyDescent="0.25">
      <c r="A137" s="21">
        <v>25385</v>
      </c>
      <c r="B137" s="22"/>
      <c r="C137" s="22"/>
      <c r="D137" s="22">
        <v>5.88</v>
      </c>
      <c r="E137" s="22"/>
      <c r="F137" s="22"/>
      <c r="G137" s="22"/>
      <c r="H137" s="3"/>
    </row>
    <row r="138" spans="1:8" x14ac:dyDescent="0.25">
      <c r="A138" s="21">
        <v>25416</v>
      </c>
      <c r="B138" s="22"/>
      <c r="C138" s="22"/>
      <c r="D138" s="22">
        <v>5.88</v>
      </c>
      <c r="E138" s="22"/>
      <c r="F138" s="22"/>
      <c r="G138" s="22"/>
      <c r="H138" s="3"/>
    </row>
    <row r="139" spans="1:8" x14ac:dyDescent="0.25">
      <c r="A139" s="21">
        <v>25447</v>
      </c>
      <c r="B139" s="22"/>
      <c r="C139" s="22"/>
      <c r="D139" s="22">
        <v>5.88</v>
      </c>
      <c r="E139" s="22"/>
      <c r="F139" s="22"/>
      <c r="G139" s="22"/>
      <c r="H139" s="3"/>
    </row>
    <row r="140" spans="1:8" x14ac:dyDescent="0.25">
      <c r="A140" s="21">
        <v>25477</v>
      </c>
      <c r="B140" s="22"/>
      <c r="C140" s="22"/>
      <c r="D140" s="22">
        <v>5.88</v>
      </c>
      <c r="E140" s="22"/>
      <c r="F140" s="22"/>
      <c r="G140" s="22"/>
      <c r="H140" s="3"/>
    </row>
    <row r="141" spans="1:8" x14ac:dyDescent="0.25">
      <c r="A141" s="21">
        <v>25508</v>
      </c>
      <c r="B141" s="22"/>
      <c r="C141" s="22"/>
      <c r="D141" s="22">
        <v>5.88</v>
      </c>
      <c r="E141" s="22"/>
      <c r="F141" s="22"/>
      <c r="G141" s="22"/>
      <c r="H141" s="3"/>
    </row>
    <row r="142" spans="1:8" x14ac:dyDescent="0.25">
      <c r="A142" s="21">
        <v>25538</v>
      </c>
      <c r="B142" s="22"/>
      <c r="C142" s="22"/>
      <c r="D142" s="22">
        <v>5.88</v>
      </c>
      <c r="E142" s="22"/>
      <c r="F142" s="22"/>
      <c r="G142" s="22"/>
      <c r="H142" s="3"/>
    </row>
    <row r="143" spans="1:8" x14ac:dyDescent="0.25">
      <c r="A143" s="21">
        <v>25569</v>
      </c>
      <c r="B143" s="22"/>
      <c r="C143" s="22"/>
      <c r="D143" s="22">
        <v>5.88</v>
      </c>
      <c r="E143" s="22"/>
      <c r="F143" s="22"/>
      <c r="G143" s="22"/>
      <c r="H143" s="3"/>
    </row>
    <row r="144" spans="1:8" x14ac:dyDescent="0.25">
      <c r="A144" s="21">
        <v>25600</v>
      </c>
      <c r="B144" s="22"/>
      <c r="C144" s="22"/>
      <c r="D144" s="22">
        <v>5.88</v>
      </c>
      <c r="E144" s="22"/>
      <c r="F144" s="22"/>
      <c r="G144" s="22"/>
      <c r="H144" s="3"/>
    </row>
    <row r="145" spans="1:8" x14ac:dyDescent="0.25">
      <c r="A145" s="21">
        <v>25628</v>
      </c>
      <c r="B145" s="22"/>
      <c r="C145" s="22"/>
      <c r="D145" s="22">
        <v>5.88</v>
      </c>
      <c r="E145" s="22"/>
      <c r="F145" s="22"/>
      <c r="G145" s="22"/>
      <c r="H145" s="3"/>
    </row>
    <row r="146" spans="1:8" x14ac:dyDescent="0.25">
      <c r="A146" s="21">
        <v>25659</v>
      </c>
      <c r="B146" s="22"/>
      <c r="C146" s="22"/>
      <c r="D146" s="22">
        <v>7.25</v>
      </c>
      <c r="E146" s="22"/>
      <c r="F146" s="22"/>
      <c r="G146" s="22"/>
      <c r="H146" s="3"/>
    </row>
    <row r="147" spans="1:8" x14ac:dyDescent="0.25">
      <c r="A147" s="21">
        <v>25689</v>
      </c>
      <c r="B147" s="22"/>
      <c r="C147" s="22"/>
      <c r="D147" s="22">
        <v>7.25</v>
      </c>
      <c r="E147" s="22"/>
      <c r="F147" s="22"/>
      <c r="G147" s="22"/>
      <c r="H147" s="3"/>
    </row>
    <row r="148" spans="1:8" x14ac:dyDescent="0.25">
      <c r="A148" s="21">
        <v>25720</v>
      </c>
      <c r="B148" s="22"/>
      <c r="C148" s="22"/>
      <c r="D148" s="22">
        <v>7.25</v>
      </c>
      <c r="E148" s="22"/>
      <c r="F148" s="22"/>
      <c r="G148" s="22"/>
      <c r="H148" s="3"/>
    </row>
    <row r="149" spans="1:8" x14ac:dyDescent="0.25">
      <c r="A149" s="21">
        <v>25750</v>
      </c>
      <c r="B149" s="22"/>
      <c r="C149" s="22"/>
      <c r="D149" s="22">
        <v>7.25</v>
      </c>
      <c r="E149" s="22"/>
      <c r="F149" s="22"/>
      <c r="G149" s="22"/>
      <c r="H149" s="3"/>
    </row>
    <row r="150" spans="1:8" x14ac:dyDescent="0.25">
      <c r="A150" s="21">
        <v>25781</v>
      </c>
      <c r="B150" s="22"/>
      <c r="C150" s="22"/>
      <c r="D150" s="22">
        <v>7.25</v>
      </c>
      <c r="E150" s="22"/>
      <c r="F150" s="22"/>
      <c r="G150" s="22"/>
      <c r="H150" s="3"/>
    </row>
    <row r="151" spans="1:8" x14ac:dyDescent="0.25">
      <c r="A151" s="21">
        <v>25812</v>
      </c>
      <c r="B151" s="22"/>
      <c r="C151" s="22"/>
      <c r="D151" s="22">
        <v>7.25</v>
      </c>
      <c r="E151" s="22"/>
      <c r="F151" s="22"/>
      <c r="G151" s="22"/>
      <c r="H151" s="3"/>
    </row>
    <row r="152" spans="1:8" x14ac:dyDescent="0.25">
      <c r="A152" s="21">
        <v>25842</v>
      </c>
      <c r="B152" s="22"/>
      <c r="C152" s="22"/>
      <c r="D152" s="22">
        <v>7.25</v>
      </c>
      <c r="E152" s="22"/>
      <c r="F152" s="22"/>
      <c r="G152" s="22"/>
      <c r="H152" s="3"/>
    </row>
    <row r="153" spans="1:8" x14ac:dyDescent="0.25">
      <c r="A153" s="21">
        <v>25873</v>
      </c>
      <c r="B153" s="22"/>
      <c r="C153" s="22"/>
      <c r="D153" s="22">
        <v>7.25</v>
      </c>
      <c r="E153" s="22"/>
      <c r="F153" s="22"/>
      <c r="G153" s="22"/>
      <c r="H153" s="3"/>
    </row>
    <row r="154" spans="1:8" x14ac:dyDescent="0.25">
      <c r="A154" s="21">
        <v>25903</v>
      </c>
      <c r="B154" s="22"/>
      <c r="C154" s="22"/>
      <c r="D154" s="22">
        <v>7.25</v>
      </c>
      <c r="E154" s="22"/>
      <c r="F154" s="22"/>
      <c r="G154" s="22"/>
      <c r="H154" s="3"/>
    </row>
    <row r="155" spans="1:8" x14ac:dyDescent="0.25">
      <c r="A155" s="21">
        <v>25934</v>
      </c>
      <c r="B155" s="22"/>
      <c r="C155" s="22"/>
      <c r="D155" s="22">
        <v>7.25</v>
      </c>
      <c r="E155" s="22"/>
      <c r="F155" s="22"/>
      <c r="G155" s="22"/>
      <c r="H155" s="3"/>
    </row>
    <row r="156" spans="1:8" x14ac:dyDescent="0.25">
      <c r="A156" s="21">
        <v>25965</v>
      </c>
      <c r="B156" s="22"/>
      <c r="C156" s="22"/>
      <c r="D156" s="22">
        <v>7.25</v>
      </c>
      <c r="E156" s="22"/>
      <c r="F156" s="22"/>
      <c r="G156" s="22"/>
      <c r="H156" s="3"/>
    </row>
    <row r="157" spans="1:8" x14ac:dyDescent="0.25">
      <c r="A157" s="21">
        <v>25993</v>
      </c>
      <c r="B157" s="22"/>
      <c r="C157" s="22"/>
      <c r="D157" s="22">
        <v>7.25</v>
      </c>
      <c r="E157" s="22"/>
      <c r="F157" s="22"/>
      <c r="G157" s="22"/>
      <c r="H157" s="3"/>
    </row>
    <row r="158" spans="1:8" x14ac:dyDescent="0.25">
      <c r="A158" s="21">
        <v>26024</v>
      </c>
      <c r="B158" s="22"/>
      <c r="C158" s="22"/>
      <c r="D158" s="22">
        <v>7.25</v>
      </c>
      <c r="E158" s="22"/>
      <c r="F158" s="22"/>
      <c r="G158" s="22"/>
      <c r="H158" s="3"/>
    </row>
    <row r="159" spans="1:8" x14ac:dyDescent="0.25">
      <c r="A159" s="21">
        <v>26054</v>
      </c>
      <c r="B159" s="22"/>
      <c r="C159" s="22"/>
      <c r="D159" s="22">
        <v>7.25</v>
      </c>
      <c r="E159" s="22"/>
      <c r="F159" s="22"/>
      <c r="G159" s="22"/>
      <c r="H159" s="3"/>
    </row>
    <row r="160" spans="1:8" x14ac:dyDescent="0.25">
      <c r="A160" s="21">
        <v>26085</v>
      </c>
      <c r="B160" s="22"/>
      <c r="C160" s="22"/>
      <c r="D160" s="22">
        <v>7.25</v>
      </c>
      <c r="E160" s="22"/>
      <c r="F160" s="22"/>
      <c r="G160" s="22"/>
      <c r="H160" s="3"/>
    </row>
    <row r="161" spans="1:8" x14ac:dyDescent="0.25">
      <c r="A161" s="21">
        <v>26115</v>
      </c>
      <c r="B161" s="22"/>
      <c r="C161" s="22"/>
      <c r="D161" s="22">
        <v>7.25</v>
      </c>
      <c r="E161" s="22"/>
      <c r="F161" s="22"/>
      <c r="G161" s="22"/>
      <c r="H161" s="3"/>
    </row>
    <row r="162" spans="1:8" x14ac:dyDescent="0.25">
      <c r="A162" s="21">
        <v>26146</v>
      </c>
      <c r="B162" s="22"/>
      <c r="C162" s="22"/>
      <c r="D162" s="22">
        <v>7.25</v>
      </c>
      <c r="E162" s="22"/>
      <c r="F162" s="22"/>
      <c r="G162" s="22"/>
      <c r="H162" s="3"/>
    </row>
    <row r="163" spans="1:8" x14ac:dyDescent="0.25">
      <c r="A163" s="21">
        <v>26177</v>
      </c>
      <c r="B163" s="22"/>
      <c r="C163" s="22"/>
      <c r="D163" s="22">
        <v>7.25</v>
      </c>
      <c r="E163" s="22"/>
      <c r="F163" s="22"/>
      <c r="G163" s="22"/>
      <c r="H163" s="3"/>
    </row>
    <row r="164" spans="1:8" x14ac:dyDescent="0.25">
      <c r="A164" s="21">
        <v>26207</v>
      </c>
      <c r="B164" s="22"/>
      <c r="C164" s="22"/>
      <c r="D164" s="22">
        <v>7.25</v>
      </c>
      <c r="E164" s="22"/>
      <c r="F164" s="22"/>
      <c r="G164" s="22"/>
      <c r="H164" s="3"/>
    </row>
    <row r="165" spans="1:8" x14ac:dyDescent="0.25">
      <c r="A165" s="21">
        <v>26238</v>
      </c>
      <c r="B165" s="22"/>
      <c r="C165" s="22"/>
      <c r="D165" s="22">
        <v>7.25</v>
      </c>
      <c r="E165" s="22"/>
      <c r="F165" s="22"/>
      <c r="G165" s="22"/>
      <c r="H165" s="3"/>
    </row>
    <row r="166" spans="1:8" x14ac:dyDescent="0.25">
      <c r="A166" s="21">
        <v>26268</v>
      </c>
      <c r="B166" s="22"/>
      <c r="C166" s="22"/>
      <c r="D166" s="22">
        <v>7.25</v>
      </c>
      <c r="E166" s="22"/>
      <c r="F166" s="22"/>
      <c r="G166" s="22"/>
      <c r="H166" s="3"/>
    </row>
    <row r="167" spans="1:8" x14ac:dyDescent="0.25">
      <c r="A167" s="21">
        <v>26299</v>
      </c>
      <c r="B167" s="22"/>
      <c r="C167" s="22"/>
      <c r="D167" s="22">
        <v>7.25</v>
      </c>
      <c r="E167" s="22"/>
      <c r="F167" s="22"/>
      <c r="G167" s="22"/>
      <c r="H167" s="3"/>
    </row>
    <row r="168" spans="1:8" x14ac:dyDescent="0.25">
      <c r="A168" s="21">
        <v>26330</v>
      </c>
      <c r="B168" s="22"/>
      <c r="C168" s="22"/>
      <c r="D168" s="22">
        <v>7</v>
      </c>
      <c r="E168" s="22"/>
      <c r="F168" s="22"/>
      <c r="G168" s="22"/>
      <c r="H168" s="3"/>
    </row>
    <row r="169" spans="1:8" x14ac:dyDescent="0.25">
      <c r="A169" s="21">
        <v>26359</v>
      </c>
      <c r="B169" s="22"/>
      <c r="C169" s="22"/>
      <c r="D169" s="22">
        <v>7</v>
      </c>
      <c r="E169" s="22"/>
      <c r="F169" s="22"/>
      <c r="G169" s="22"/>
      <c r="H169" s="3"/>
    </row>
    <row r="170" spans="1:8" x14ac:dyDescent="0.25">
      <c r="A170" s="21">
        <v>26390</v>
      </c>
      <c r="B170" s="22"/>
      <c r="C170" s="22"/>
      <c r="D170" s="22">
        <v>7</v>
      </c>
      <c r="E170" s="22"/>
      <c r="F170" s="22"/>
      <c r="G170" s="22"/>
      <c r="H170" s="3"/>
    </row>
    <row r="171" spans="1:8" x14ac:dyDescent="0.25">
      <c r="A171" s="21">
        <v>26420</v>
      </c>
      <c r="B171" s="22"/>
      <c r="C171" s="22"/>
      <c r="D171" s="22">
        <v>7</v>
      </c>
      <c r="E171" s="22"/>
      <c r="F171" s="22"/>
      <c r="G171" s="22"/>
      <c r="H171" s="3"/>
    </row>
    <row r="172" spans="1:8" x14ac:dyDescent="0.25">
      <c r="A172" s="21">
        <v>26451</v>
      </c>
      <c r="B172" s="22"/>
      <c r="C172" s="22"/>
      <c r="D172" s="22">
        <v>7</v>
      </c>
      <c r="E172" s="22"/>
      <c r="F172" s="22"/>
      <c r="G172" s="22"/>
      <c r="H172" s="3"/>
    </row>
    <row r="173" spans="1:8" x14ac:dyDescent="0.25">
      <c r="A173" s="21">
        <v>26481</v>
      </c>
      <c r="B173" s="22"/>
      <c r="C173" s="22"/>
      <c r="D173" s="22">
        <v>7</v>
      </c>
      <c r="E173" s="22"/>
      <c r="F173" s="22"/>
      <c r="G173" s="22"/>
      <c r="H173" s="3"/>
    </row>
    <row r="174" spans="1:8" x14ac:dyDescent="0.25">
      <c r="A174" s="21">
        <v>26512</v>
      </c>
      <c r="B174" s="22"/>
      <c r="C174" s="22"/>
      <c r="D174" s="22">
        <v>7</v>
      </c>
      <c r="E174" s="22"/>
      <c r="F174" s="22"/>
      <c r="G174" s="22"/>
      <c r="H174" s="3"/>
    </row>
    <row r="175" spans="1:8" x14ac:dyDescent="0.25">
      <c r="A175" s="21">
        <v>26543</v>
      </c>
      <c r="B175" s="22"/>
      <c r="C175" s="22"/>
      <c r="D175" s="22">
        <v>7</v>
      </c>
      <c r="E175" s="22"/>
      <c r="F175" s="22"/>
      <c r="G175" s="22"/>
      <c r="H175" s="3"/>
    </row>
    <row r="176" spans="1:8" x14ac:dyDescent="0.25">
      <c r="A176" s="21">
        <v>26573</v>
      </c>
      <c r="B176" s="22"/>
      <c r="C176" s="22"/>
      <c r="D176" s="22">
        <v>7</v>
      </c>
      <c r="E176" s="22"/>
      <c r="F176" s="22"/>
      <c r="G176" s="22"/>
      <c r="H176" s="3"/>
    </row>
    <row r="177" spans="1:8" x14ac:dyDescent="0.25">
      <c r="A177" s="21">
        <v>26604</v>
      </c>
      <c r="B177" s="22"/>
      <c r="C177" s="22"/>
      <c r="D177" s="22">
        <v>7</v>
      </c>
      <c r="E177" s="22"/>
      <c r="F177" s="22"/>
      <c r="G177" s="22"/>
      <c r="H177" s="3"/>
    </row>
    <row r="178" spans="1:8" x14ac:dyDescent="0.25">
      <c r="A178" s="21">
        <v>26634</v>
      </c>
      <c r="B178" s="22"/>
      <c r="C178" s="22"/>
      <c r="D178" s="22">
        <v>7</v>
      </c>
      <c r="E178" s="22"/>
      <c r="F178" s="22"/>
      <c r="G178" s="22"/>
      <c r="H178" s="3"/>
    </row>
    <row r="179" spans="1:8" x14ac:dyDescent="0.25">
      <c r="A179" s="21">
        <v>26665</v>
      </c>
      <c r="B179" s="22"/>
      <c r="C179" s="22"/>
      <c r="D179" s="22">
        <v>7</v>
      </c>
      <c r="E179" s="22"/>
      <c r="F179" s="22"/>
      <c r="G179" s="22"/>
      <c r="H179" s="3"/>
    </row>
    <row r="180" spans="1:8" x14ac:dyDescent="0.25">
      <c r="A180" s="21">
        <v>26696</v>
      </c>
      <c r="B180" s="22"/>
      <c r="C180" s="22"/>
      <c r="D180" s="22">
        <v>7</v>
      </c>
      <c r="E180" s="22"/>
      <c r="F180" s="22"/>
      <c r="G180" s="22"/>
      <c r="H180" s="3"/>
    </row>
    <row r="181" spans="1:8" x14ac:dyDescent="0.25">
      <c r="A181" s="21">
        <v>26724</v>
      </c>
      <c r="B181" s="22"/>
      <c r="C181" s="22"/>
      <c r="D181" s="22">
        <v>7</v>
      </c>
      <c r="E181" s="22"/>
      <c r="F181" s="22"/>
      <c r="G181" s="22"/>
      <c r="H181" s="3"/>
    </row>
    <row r="182" spans="1:8" x14ac:dyDescent="0.25">
      <c r="A182" s="21">
        <v>26755</v>
      </c>
      <c r="B182" s="22"/>
      <c r="C182" s="22"/>
      <c r="D182" s="22">
        <v>7</v>
      </c>
      <c r="E182" s="22"/>
      <c r="F182" s="22"/>
      <c r="G182" s="22"/>
      <c r="H182" s="3"/>
    </row>
    <row r="183" spans="1:8" x14ac:dyDescent="0.25">
      <c r="A183" s="21">
        <v>26785</v>
      </c>
      <c r="B183" s="22"/>
      <c r="C183" s="22"/>
      <c r="D183" s="22">
        <v>7</v>
      </c>
      <c r="E183" s="22"/>
      <c r="F183" s="22"/>
      <c r="G183" s="22"/>
      <c r="H183" s="3"/>
    </row>
    <row r="184" spans="1:8" x14ac:dyDescent="0.25">
      <c r="A184" s="21">
        <v>26816</v>
      </c>
      <c r="B184" s="22"/>
      <c r="C184" s="22"/>
      <c r="D184" s="22">
        <v>7</v>
      </c>
      <c r="E184" s="22"/>
      <c r="F184" s="22"/>
      <c r="G184" s="22"/>
      <c r="H184" s="3"/>
    </row>
    <row r="185" spans="1:8" x14ac:dyDescent="0.25">
      <c r="A185" s="21">
        <v>26846</v>
      </c>
      <c r="B185" s="22"/>
      <c r="C185" s="22"/>
      <c r="D185" s="22">
        <v>7</v>
      </c>
      <c r="E185" s="22"/>
      <c r="F185" s="22"/>
      <c r="G185" s="22"/>
      <c r="H185" s="3"/>
    </row>
    <row r="186" spans="1:8" x14ac:dyDescent="0.25">
      <c r="A186" s="21">
        <v>26877</v>
      </c>
      <c r="B186" s="22"/>
      <c r="C186" s="22"/>
      <c r="D186" s="22">
        <v>7</v>
      </c>
      <c r="E186" s="22"/>
      <c r="F186" s="22"/>
      <c r="G186" s="22"/>
      <c r="H186" s="3"/>
    </row>
    <row r="187" spans="1:8" x14ac:dyDescent="0.25">
      <c r="A187" s="21">
        <v>26908</v>
      </c>
      <c r="B187" s="22"/>
      <c r="C187" s="22"/>
      <c r="D187" s="22">
        <v>7</v>
      </c>
      <c r="E187" s="22"/>
      <c r="F187" s="22"/>
      <c r="G187" s="22"/>
      <c r="H187" s="3"/>
    </row>
    <row r="188" spans="1:8" x14ac:dyDescent="0.25">
      <c r="A188" s="21">
        <v>26938</v>
      </c>
      <c r="B188" s="22"/>
      <c r="C188" s="22"/>
      <c r="D188" s="22">
        <v>8.3800000000000008</v>
      </c>
      <c r="E188" s="22"/>
      <c r="F188" s="22"/>
      <c r="G188" s="22"/>
      <c r="H188" s="3"/>
    </row>
    <row r="189" spans="1:8" x14ac:dyDescent="0.25">
      <c r="A189" s="21">
        <v>26969</v>
      </c>
      <c r="B189" s="22"/>
      <c r="C189" s="22"/>
      <c r="D189" s="22">
        <v>8.3800000000000008</v>
      </c>
      <c r="E189" s="22"/>
      <c r="F189" s="22"/>
      <c r="G189" s="22"/>
      <c r="H189" s="3"/>
    </row>
    <row r="190" spans="1:8" x14ac:dyDescent="0.25">
      <c r="A190" s="21">
        <v>26999</v>
      </c>
      <c r="B190" s="22"/>
      <c r="C190" s="22"/>
      <c r="D190" s="22">
        <v>8.3800000000000008</v>
      </c>
      <c r="E190" s="22"/>
      <c r="F190" s="22"/>
      <c r="G190" s="22"/>
      <c r="H190" s="3"/>
    </row>
    <row r="191" spans="1:8" x14ac:dyDescent="0.25">
      <c r="A191" s="21">
        <v>27030</v>
      </c>
      <c r="B191" s="22"/>
      <c r="C191" s="22"/>
      <c r="D191" s="22">
        <v>8.3800000000000008</v>
      </c>
      <c r="E191" s="22"/>
      <c r="F191" s="22"/>
      <c r="G191" s="22"/>
      <c r="H191" s="3"/>
    </row>
    <row r="192" spans="1:8" x14ac:dyDescent="0.25">
      <c r="A192" s="21">
        <v>27061</v>
      </c>
      <c r="B192" s="22"/>
      <c r="C192" s="22"/>
      <c r="D192" s="22">
        <v>8.3800000000000008</v>
      </c>
      <c r="E192" s="22"/>
      <c r="F192" s="22"/>
      <c r="G192" s="22"/>
      <c r="H192" s="3"/>
    </row>
    <row r="193" spans="1:8" x14ac:dyDescent="0.25">
      <c r="A193" s="21">
        <v>27089</v>
      </c>
      <c r="B193" s="22"/>
      <c r="C193" s="22"/>
      <c r="D193" s="22">
        <v>8.3800000000000008</v>
      </c>
      <c r="E193" s="22"/>
      <c r="F193" s="22"/>
      <c r="G193" s="22"/>
      <c r="H193" s="3"/>
    </row>
    <row r="194" spans="1:8" x14ac:dyDescent="0.25">
      <c r="A194" s="21">
        <v>27120</v>
      </c>
      <c r="B194" s="22"/>
      <c r="C194" s="22"/>
      <c r="D194" s="22">
        <v>8.3800000000000008</v>
      </c>
      <c r="E194" s="22"/>
      <c r="F194" s="22"/>
      <c r="G194" s="22"/>
      <c r="H194" s="3"/>
    </row>
    <row r="195" spans="1:8" x14ac:dyDescent="0.25">
      <c r="A195" s="21">
        <v>27150</v>
      </c>
      <c r="B195" s="22"/>
      <c r="C195" s="22"/>
      <c r="D195" s="22">
        <v>8.3800000000000008</v>
      </c>
      <c r="E195" s="22"/>
      <c r="F195" s="22"/>
      <c r="G195" s="22"/>
      <c r="H195" s="3"/>
    </row>
    <row r="196" spans="1:8" x14ac:dyDescent="0.25">
      <c r="A196" s="21">
        <v>27181</v>
      </c>
      <c r="B196" s="22"/>
      <c r="C196" s="22"/>
      <c r="D196" s="22">
        <v>8.3800000000000008</v>
      </c>
      <c r="E196" s="22"/>
      <c r="F196" s="22"/>
      <c r="G196" s="22"/>
      <c r="H196" s="3"/>
    </row>
    <row r="197" spans="1:8" x14ac:dyDescent="0.25">
      <c r="A197" s="21">
        <v>27211</v>
      </c>
      <c r="B197" s="22"/>
      <c r="C197" s="22"/>
      <c r="D197" s="22">
        <v>10.38</v>
      </c>
      <c r="E197" s="22"/>
      <c r="F197" s="22"/>
      <c r="G197" s="22"/>
      <c r="H197" s="3"/>
    </row>
    <row r="198" spans="1:8" x14ac:dyDescent="0.25">
      <c r="A198" s="21">
        <v>27242</v>
      </c>
      <c r="B198" s="22"/>
      <c r="C198" s="22"/>
      <c r="D198" s="22">
        <v>10.38</v>
      </c>
      <c r="E198" s="22"/>
      <c r="F198" s="22"/>
      <c r="G198" s="22"/>
      <c r="H198" s="3"/>
    </row>
    <row r="199" spans="1:8" x14ac:dyDescent="0.25">
      <c r="A199" s="21">
        <v>27273</v>
      </c>
      <c r="B199" s="22"/>
      <c r="C199" s="22"/>
      <c r="D199" s="22">
        <v>10.38</v>
      </c>
      <c r="E199" s="22"/>
      <c r="F199" s="22"/>
      <c r="G199" s="22"/>
      <c r="H199" s="3"/>
    </row>
    <row r="200" spans="1:8" x14ac:dyDescent="0.25">
      <c r="A200" s="21">
        <v>27303</v>
      </c>
      <c r="B200" s="22"/>
      <c r="C200" s="22"/>
      <c r="D200" s="22">
        <v>10.38</v>
      </c>
      <c r="E200" s="22"/>
      <c r="F200" s="22"/>
      <c r="G200" s="22"/>
      <c r="H200" s="3"/>
    </row>
    <row r="201" spans="1:8" x14ac:dyDescent="0.25">
      <c r="A201" s="21">
        <v>27334</v>
      </c>
      <c r="B201" s="22"/>
      <c r="C201" s="22"/>
      <c r="D201" s="22">
        <v>10.38</v>
      </c>
      <c r="E201" s="22"/>
      <c r="F201" s="22"/>
      <c r="G201" s="22"/>
      <c r="H201" s="3"/>
    </row>
    <row r="202" spans="1:8" x14ac:dyDescent="0.25">
      <c r="A202" s="21">
        <v>27364</v>
      </c>
      <c r="B202" s="22"/>
      <c r="C202" s="22"/>
      <c r="D202" s="22">
        <v>10.38</v>
      </c>
      <c r="E202" s="22"/>
      <c r="F202" s="22"/>
      <c r="G202" s="22"/>
      <c r="H202" s="3"/>
    </row>
    <row r="203" spans="1:8" x14ac:dyDescent="0.25">
      <c r="A203" s="21">
        <v>27395</v>
      </c>
      <c r="B203" s="22"/>
      <c r="C203" s="22"/>
      <c r="D203" s="22">
        <v>10.38</v>
      </c>
      <c r="E203" s="22"/>
      <c r="F203" s="22"/>
      <c r="G203" s="22"/>
      <c r="H203" s="3"/>
    </row>
    <row r="204" spans="1:8" x14ac:dyDescent="0.25">
      <c r="A204" s="21">
        <v>27426</v>
      </c>
      <c r="B204" s="22"/>
      <c r="C204" s="22"/>
      <c r="D204" s="22">
        <v>10.38</v>
      </c>
      <c r="E204" s="22"/>
      <c r="F204" s="22"/>
      <c r="G204" s="22"/>
      <c r="H204" s="3"/>
    </row>
    <row r="205" spans="1:8" x14ac:dyDescent="0.25">
      <c r="A205" s="21">
        <v>27454</v>
      </c>
      <c r="B205" s="22"/>
      <c r="C205" s="22"/>
      <c r="D205" s="22">
        <v>10.38</v>
      </c>
      <c r="E205" s="22"/>
      <c r="F205" s="22"/>
      <c r="G205" s="22"/>
      <c r="H205" s="3"/>
    </row>
    <row r="206" spans="1:8" x14ac:dyDescent="0.25">
      <c r="A206" s="21">
        <v>27485</v>
      </c>
      <c r="B206" s="22"/>
      <c r="C206" s="22"/>
      <c r="D206" s="22">
        <v>10.130000000000001</v>
      </c>
      <c r="E206" s="22"/>
      <c r="F206" s="22"/>
      <c r="G206" s="22"/>
      <c r="H206" s="3"/>
    </row>
    <row r="207" spans="1:8" x14ac:dyDescent="0.25">
      <c r="A207" s="21">
        <v>27515</v>
      </c>
      <c r="B207" s="22"/>
      <c r="C207" s="22"/>
      <c r="D207" s="22">
        <v>10.130000000000001</v>
      </c>
      <c r="E207" s="22"/>
      <c r="F207" s="22"/>
      <c r="G207" s="22"/>
      <c r="H207" s="3"/>
    </row>
    <row r="208" spans="1:8" x14ac:dyDescent="0.25">
      <c r="A208" s="21">
        <v>27546</v>
      </c>
      <c r="B208" s="22"/>
      <c r="C208" s="22"/>
      <c r="D208" s="22">
        <v>10.130000000000001</v>
      </c>
      <c r="E208" s="22"/>
      <c r="F208" s="22"/>
      <c r="G208" s="22"/>
      <c r="H208" s="3"/>
    </row>
    <row r="209" spans="1:8" x14ac:dyDescent="0.25">
      <c r="A209" s="21">
        <v>27576</v>
      </c>
      <c r="B209" s="22"/>
      <c r="C209" s="22"/>
      <c r="D209" s="22">
        <v>10.130000000000001</v>
      </c>
      <c r="E209" s="22"/>
      <c r="F209" s="22"/>
      <c r="G209" s="22"/>
      <c r="H209" s="3"/>
    </row>
    <row r="210" spans="1:8" x14ac:dyDescent="0.25">
      <c r="A210" s="21">
        <v>27607</v>
      </c>
      <c r="B210" s="22"/>
      <c r="C210" s="22"/>
      <c r="D210" s="22">
        <v>10.130000000000001</v>
      </c>
      <c r="E210" s="22"/>
      <c r="F210" s="22"/>
      <c r="G210" s="22"/>
      <c r="H210" s="3"/>
    </row>
    <row r="211" spans="1:8" x14ac:dyDescent="0.25">
      <c r="A211" s="21">
        <v>27638</v>
      </c>
      <c r="B211" s="22"/>
      <c r="C211" s="22"/>
      <c r="D211" s="22">
        <v>10.38</v>
      </c>
      <c r="E211" s="22"/>
      <c r="F211" s="22"/>
      <c r="G211" s="22"/>
      <c r="H211" s="3"/>
    </row>
    <row r="212" spans="1:8" x14ac:dyDescent="0.25">
      <c r="A212" s="21">
        <v>27668</v>
      </c>
      <c r="B212" s="22"/>
      <c r="C212" s="22"/>
      <c r="D212" s="22">
        <v>10.38</v>
      </c>
      <c r="E212" s="22"/>
      <c r="F212" s="22"/>
      <c r="G212" s="22"/>
      <c r="H212" s="3"/>
    </row>
    <row r="213" spans="1:8" x14ac:dyDescent="0.25">
      <c r="A213" s="21">
        <v>27699</v>
      </c>
      <c r="B213" s="22"/>
      <c r="C213" s="22"/>
      <c r="D213" s="22">
        <v>10.38</v>
      </c>
      <c r="E213" s="22"/>
      <c r="F213" s="22"/>
      <c r="G213" s="22"/>
      <c r="H213" s="3"/>
    </row>
    <row r="214" spans="1:8" x14ac:dyDescent="0.25">
      <c r="A214" s="21">
        <v>27729</v>
      </c>
      <c r="B214" s="22"/>
      <c r="C214" s="22"/>
      <c r="D214" s="22">
        <v>10.38</v>
      </c>
      <c r="E214" s="22"/>
      <c r="F214" s="22"/>
      <c r="G214" s="22"/>
      <c r="H214" s="3"/>
    </row>
    <row r="215" spans="1:8" x14ac:dyDescent="0.25">
      <c r="A215" s="21">
        <v>27760</v>
      </c>
      <c r="B215" s="22"/>
      <c r="C215" s="22"/>
      <c r="D215" s="22">
        <v>10.38</v>
      </c>
      <c r="E215" s="22"/>
      <c r="F215" s="22"/>
      <c r="G215" s="22"/>
      <c r="H215" s="3"/>
    </row>
    <row r="216" spans="1:8" x14ac:dyDescent="0.25">
      <c r="A216" s="21">
        <v>27791</v>
      </c>
      <c r="B216" s="22"/>
      <c r="C216" s="22">
        <v>10.46</v>
      </c>
      <c r="D216" s="22">
        <v>9.8800000000000008</v>
      </c>
      <c r="E216" s="22"/>
      <c r="F216" s="22"/>
      <c r="G216" s="22"/>
      <c r="H216" s="3"/>
    </row>
    <row r="217" spans="1:8" x14ac:dyDescent="0.25">
      <c r="A217" s="21">
        <v>27820</v>
      </c>
      <c r="B217" s="22"/>
      <c r="C217" s="22">
        <v>10.46</v>
      </c>
      <c r="D217" s="22">
        <v>9.8800000000000008</v>
      </c>
      <c r="E217" s="22"/>
      <c r="F217" s="22"/>
      <c r="G217" s="22"/>
      <c r="H217" s="3"/>
    </row>
    <row r="218" spans="1:8" x14ac:dyDescent="0.25">
      <c r="A218" s="21">
        <v>27851</v>
      </c>
      <c r="B218" s="22"/>
      <c r="C218" s="22">
        <v>10.46</v>
      </c>
      <c r="D218" s="22">
        <v>9.8800000000000008</v>
      </c>
      <c r="E218" s="22"/>
      <c r="F218" s="22"/>
      <c r="G218" s="22"/>
      <c r="H218" s="3"/>
    </row>
    <row r="219" spans="1:8" x14ac:dyDescent="0.25">
      <c r="A219" s="21">
        <v>27881</v>
      </c>
      <c r="B219" s="22"/>
      <c r="C219" s="22">
        <v>10.46</v>
      </c>
      <c r="D219" s="22">
        <v>9.8800000000000008</v>
      </c>
      <c r="E219" s="22"/>
      <c r="F219" s="22"/>
      <c r="G219" s="22"/>
      <c r="H219" s="3"/>
    </row>
    <row r="220" spans="1:8" x14ac:dyDescent="0.25">
      <c r="A220" s="21">
        <v>27912</v>
      </c>
      <c r="B220" s="22"/>
      <c r="C220" s="22">
        <v>10.46</v>
      </c>
      <c r="D220" s="22">
        <v>9.8800000000000008</v>
      </c>
      <c r="E220" s="22"/>
      <c r="F220" s="22"/>
      <c r="G220" s="22"/>
      <c r="H220" s="3"/>
    </row>
    <row r="221" spans="1:8" x14ac:dyDescent="0.25">
      <c r="A221" s="21">
        <v>27942</v>
      </c>
      <c r="B221" s="22"/>
      <c r="C221" s="22">
        <v>10.46</v>
      </c>
      <c r="D221" s="22">
        <v>9.8800000000000008</v>
      </c>
      <c r="E221" s="22"/>
      <c r="F221" s="22"/>
      <c r="G221" s="22"/>
      <c r="H221" s="3"/>
    </row>
    <row r="222" spans="1:8" x14ac:dyDescent="0.25">
      <c r="A222" s="21">
        <v>27973</v>
      </c>
      <c r="B222" s="22"/>
      <c r="C222" s="22">
        <v>10.46</v>
      </c>
      <c r="D222" s="22">
        <v>9.8800000000000008</v>
      </c>
      <c r="E222" s="22"/>
      <c r="F222" s="22"/>
      <c r="G222" s="22"/>
      <c r="H222" s="3"/>
    </row>
    <row r="223" spans="1:8" x14ac:dyDescent="0.25">
      <c r="A223" s="21">
        <v>28004</v>
      </c>
      <c r="B223" s="22"/>
      <c r="C223" s="22">
        <v>10.46</v>
      </c>
      <c r="D223" s="22">
        <v>9.8800000000000008</v>
      </c>
      <c r="E223" s="22"/>
      <c r="F223" s="22"/>
      <c r="G223" s="22"/>
      <c r="H223" s="3"/>
    </row>
    <row r="224" spans="1:8" x14ac:dyDescent="0.25">
      <c r="A224" s="21">
        <v>28034</v>
      </c>
      <c r="B224" s="22"/>
      <c r="C224" s="22">
        <v>10.46</v>
      </c>
      <c r="D224" s="22">
        <v>9.8800000000000008</v>
      </c>
      <c r="E224" s="22"/>
      <c r="F224" s="22"/>
      <c r="G224" s="22"/>
      <c r="H224" s="3"/>
    </row>
    <row r="225" spans="1:8" x14ac:dyDescent="0.25">
      <c r="A225" s="21">
        <v>28065</v>
      </c>
      <c r="B225" s="22"/>
      <c r="C225" s="22">
        <v>10.46</v>
      </c>
      <c r="D225" s="22">
        <v>9.8800000000000008</v>
      </c>
      <c r="E225" s="22"/>
      <c r="F225" s="22"/>
      <c r="G225" s="22"/>
      <c r="H225" s="3"/>
    </row>
    <row r="226" spans="1:8" x14ac:dyDescent="0.25">
      <c r="A226" s="21">
        <v>28095</v>
      </c>
      <c r="B226" s="22"/>
      <c r="C226" s="22">
        <v>10.46</v>
      </c>
      <c r="D226" s="22">
        <v>9.8800000000000008</v>
      </c>
      <c r="E226" s="22"/>
      <c r="F226" s="22"/>
      <c r="G226" s="22"/>
      <c r="H226" s="3"/>
    </row>
    <row r="227" spans="1:8" x14ac:dyDescent="0.25">
      <c r="A227" s="21">
        <v>28126</v>
      </c>
      <c r="B227" s="22"/>
      <c r="C227" s="22">
        <v>10.46</v>
      </c>
      <c r="D227" s="22">
        <v>9.8800000000000008</v>
      </c>
      <c r="E227" s="22"/>
      <c r="F227" s="22"/>
      <c r="G227" s="22"/>
      <c r="H227" s="3"/>
    </row>
    <row r="228" spans="1:8" x14ac:dyDescent="0.25">
      <c r="A228" s="21">
        <v>28157</v>
      </c>
      <c r="B228" s="22"/>
      <c r="C228" s="22">
        <v>10.46</v>
      </c>
      <c r="D228" s="22">
        <v>9.8800000000000008</v>
      </c>
      <c r="E228" s="22"/>
      <c r="F228" s="22"/>
      <c r="G228" s="22"/>
      <c r="H228" s="3"/>
    </row>
    <row r="229" spans="1:8" x14ac:dyDescent="0.25">
      <c r="A229" s="21">
        <v>28185</v>
      </c>
      <c r="B229" s="22"/>
      <c r="C229" s="22">
        <v>10.46</v>
      </c>
      <c r="D229" s="22">
        <v>9.8800000000000008</v>
      </c>
      <c r="E229" s="22"/>
      <c r="F229" s="22"/>
      <c r="G229" s="22"/>
      <c r="H229" s="3"/>
    </row>
    <row r="230" spans="1:8" x14ac:dyDescent="0.25">
      <c r="A230" s="21">
        <v>28216</v>
      </c>
      <c r="B230" s="22"/>
      <c r="C230" s="22">
        <v>10.46</v>
      </c>
      <c r="D230" s="22">
        <v>9.8800000000000008</v>
      </c>
      <c r="E230" s="22"/>
      <c r="F230" s="22"/>
      <c r="G230" s="22"/>
      <c r="H230" s="3"/>
    </row>
    <row r="231" spans="1:8" x14ac:dyDescent="0.25">
      <c r="A231" s="21">
        <v>28246</v>
      </c>
      <c r="B231" s="22"/>
      <c r="C231" s="22">
        <v>10.46</v>
      </c>
      <c r="D231" s="22">
        <v>9.8800000000000008</v>
      </c>
      <c r="E231" s="22"/>
      <c r="F231" s="22"/>
      <c r="G231" s="22"/>
      <c r="H231" s="3"/>
    </row>
    <row r="232" spans="1:8" x14ac:dyDescent="0.25">
      <c r="A232" s="21">
        <v>28277</v>
      </c>
      <c r="B232" s="22"/>
      <c r="C232" s="22">
        <v>10.46</v>
      </c>
      <c r="D232" s="22">
        <v>9.8800000000000008</v>
      </c>
      <c r="E232" s="22"/>
      <c r="F232" s="22"/>
      <c r="G232" s="22"/>
      <c r="H232" s="3"/>
    </row>
    <row r="233" spans="1:8" x14ac:dyDescent="0.25">
      <c r="A233" s="21">
        <v>28307</v>
      </c>
      <c r="B233" s="22"/>
      <c r="C233" s="22">
        <v>10.46</v>
      </c>
      <c r="D233" s="22">
        <v>9.8800000000000008</v>
      </c>
      <c r="E233" s="22"/>
      <c r="F233" s="22"/>
      <c r="G233" s="22"/>
      <c r="H233" s="3"/>
    </row>
    <row r="234" spans="1:8" x14ac:dyDescent="0.25">
      <c r="A234" s="21">
        <v>28338</v>
      </c>
      <c r="B234" s="22"/>
      <c r="C234" s="22">
        <v>10.46</v>
      </c>
      <c r="D234" s="22">
        <v>9.8800000000000008</v>
      </c>
      <c r="E234" s="22"/>
      <c r="F234" s="22"/>
      <c r="G234" s="22"/>
      <c r="H234" s="3"/>
    </row>
    <row r="235" spans="1:8" x14ac:dyDescent="0.25">
      <c r="A235" s="21">
        <v>28369</v>
      </c>
      <c r="B235" s="22"/>
      <c r="C235" s="22">
        <v>10.46</v>
      </c>
      <c r="D235" s="22">
        <v>9.8800000000000008</v>
      </c>
      <c r="E235" s="22"/>
      <c r="F235" s="22"/>
      <c r="G235" s="22"/>
      <c r="H235" s="3"/>
    </row>
    <row r="236" spans="1:8" x14ac:dyDescent="0.25">
      <c r="A236" s="21">
        <v>28399</v>
      </c>
      <c r="B236" s="22"/>
      <c r="C236" s="22">
        <v>10.46</v>
      </c>
      <c r="D236" s="22">
        <v>9.8800000000000008</v>
      </c>
      <c r="E236" s="22"/>
      <c r="F236" s="22"/>
      <c r="G236" s="22"/>
      <c r="H236" s="3"/>
    </row>
    <row r="237" spans="1:8" x14ac:dyDescent="0.25">
      <c r="A237" s="21">
        <v>28430</v>
      </c>
      <c r="B237" s="22"/>
      <c r="C237" s="22">
        <v>10.46</v>
      </c>
      <c r="D237" s="22">
        <v>9.8800000000000008</v>
      </c>
      <c r="E237" s="22"/>
      <c r="F237" s="22"/>
      <c r="G237" s="22"/>
      <c r="H237" s="3"/>
    </row>
    <row r="238" spans="1:8" x14ac:dyDescent="0.25">
      <c r="A238" s="21">
        <v>28460</v>
      </c>
      <c r="B238" s="22"/>
      <c r="C238" s="22">
        <v>10.46</v>
      </c>
      <c r="D238" s="22">
        <v>9.8800000000000008</v>
      </c>
      <c r="E238" s="22"/>
      <c r="F238" s="22"/>
      <c r="G238" s="22"/>
      <c r="H238" s="3"/>
    </row>
    <row r="239" spans="1:8" x14ac:dyDescent="0.25">
      <c r="A239" s="21">
        <v>28491</v>
      </c>
      <c r="B239" s="22"/>
      <c r="C239" s="22">
        <v>10.46</v>
      </c>
      <c r="D239" s="22">
        <v>9.6300000000000008</v>
      </c>
      <c r="E239" s="22"/>
      <c r="F239" s="22"/>
      <c r="G239" s="22"/>
      <c r="H239" s="3"/>
    </row>
    <row r="240" spans="1:8" x14ac:dyDescent="0.25">
      <c r="A240" s="21">
        <v>28522</v>
      </c>
      <c r="B240" s="22"/>
      <c r="C240" s="22">
        <v>10.46</v>
      </c>
      <c r="D240" s="22">
        <v>9.3800000000000008</v>
      </c>
      <c r="E240" s="22"/>
      <c r="F240" s="22"/>
      <c r="G240" s="22"/>
      <c r="H240" s="3"/>
    </row>
    <row r="241" spans="1:8" x14ac:dyDescent="0.25">
      <c r="A241" s="21">
        <v>28550</v>
      </c>
      <c r="B241" s="22"/>
      <c r="C241" s="22">
        <v>10.46</v>
      </c>
      <c r="D241" s="22">
        <v>9.3800000000000008</v>
      </c>
      <c r="E241" s="22"/>
      <c r="F241" s="22"/>
      <c r="G241" s="22"/>
      <c r="H241" s="3"/>
    </row>
    <row r="242" spans="1:8" x14ac:dyDescent="0.25">
      <c r="A242" s="21">
        <v>28581</v>
      </c>
      <c r="B242" s="22"/>
      <c r="C242" s="22">
        <v>10.46</v>
      </c>
      <c r="D242" s="22">
        <v>9.3800000000000008</v>
      </c>
      <c r="E242" s="22"/>
      <c r="F242" s="22"/>
      <c r="G242" s="22"/>
      <c r="H242" s="3"/>
    </row>
    <row r="243" spans="1:8" x14ac:dyDescent="0.25">
      <c r="A243" s="21">
        <v>28611</v>
      </c>
      <c r="B243" s="22"/>
      <c r="C243" s="22">
        <v>10.46</v>
      </c>
      <c r="D243" s="22">
        <v>9.3800000000000008</v>
      </c>
      <c r="E243" s="22"/>
      <c r="F243" s="22"/>
      <c r="G243" s="22"/>
      <c r="H243" s="3"/>
    </row>
    <row r="244" spans="1:8" x14ac:dyDescent="0.25">
      <c r="A244" s="21">
        <v>28642</v>
      </c>
      <c r="B244" s="22"/>
      <c r="C244" s="22">
        <v>10.46</v>
      </c>
      <c r="D244" s="22">
        <v>9.3800000000000008</v>
      </c>
      <c r="E244" s="22"/>
      <c r="F244" s="22"/>
      <c r="G244" s="22"/>
      <c r="H244" s="3"/>
    </row>
    <row r="245" spans="1:8" x14ac:dyDescent="0.25">
      <c r="A245" s="21">
        <v>28672</v>
      </c>
      <c r="B245" s="22"/>
      <c r="C245" s="22">
        <v>10.46</v>
      </c>
      <c r="D245" s="22">
        <v>9.3800000000000008</v>
      </c>
      <c r="E245" s="22"/>
      <c r="F245" s="22"/>
      <c r="G245" s="22"/>
      <c r="H245" s="3"/>
    </row>
    <row r="246" spans="1:8" x14ac:dyDescent="0.25">
      <c r="A246" s="21">
        <v>28703</v>
      </c>
      <c r="B246" s="22"/>
      <c r="C246" s="22">
        <v>10.46</v>
      </c>
      <c r="D246" s="22">
        <v>9.3800000000000008</v>
      </c>
      <c r="E246" s="22"/>
      <c r="F246" s="22"/>
      <c r="G246" s="22"/>
      <c r="H246" s="3"/>
    </row>
    <row r="247" spans="1:8" x14ac:dyDescent="0.25">
      <c r="A247" s="21">
        <v>28734</v>
      </c>
      <c r="B247" s="22"/>
      <c r="C247" s="22">
        <v>10.46</v>
      </c>
      <c r="D247" s="22">
        <v>9.3800000000000008</v>
      </c>
      <c r="E247" s="22"/>
      <c r="F247" s="22"/>
      <c r="G247" s="22"/>
      <c r="H247" s="3"/>
    </row>
    <row r="248" spans="1:8" x14ac:dyDescent="0.25">
      <c r="A248" s="21">
        <v>28764</v>
      </c>
      <c r="B248" s="22"/>
      <c r="C248" s="22">
        <v>10.46</v>
      </c>
      <c r="D248" s="22">
        <v>9.3800000000000008</v>
      </c>
      <c r="E248" s="22"/>
      <c r="F248" s="22"/>
      <c r="G248" s="22"/>
      <c r="H248" s="3"/>
    </row>
    <row r="249" spans="1:8" x14ac:dyDescent="0.25">
      <c r="A249" s="21">
        <v>28795</v>
      </c>
      <c r="B249" s="22"/>
      <c r="C249" s="22">
        <v>10.34</v>
      </c>
      <c r="D249" s="22">
        <v>9.3800000000000008</v>
      </c>
      <c r="E249" s="22"/>
      <c r="F249" s="22"/>
      <c r="G249" s="22"/>
      <c r="H249" s="3"/>
    </row>
    <row r="250" spans="1:8" x14ac:dyDescent="0.25">
      <c r="A250" s="21">
        <v>28825</v>
      </c>
      <c r="B250" s="22"/>
      <c r="C250" s="22">
        <v>9.9600000000000009</v>
      </c>
      <c r="D250" s="22">
        <v>9.1300000000000008</v>
      </c>
      <c r="E250" s="22"/>
      <c r="F250" s="22"/>
      <c r="G250" s="22"/>
      <c r="H250" s="3"/>
    </row>
    <row r="251" spans="1:8" x14ac:dyDescent="0.25">
      <c r="A251" s="21">
        <v>28856</v>
      </c>
      <c r="B251" s="22"/>
      <c r="C251" s="22">
        <v>9.9600000000000009</v>
      </c>
      <c r="D251" s="22">
        <v>9.1300000000000008</v>
      </c>
      <c r="E251" s="22"/>
      <c r="F251" s="22"/>
      <c r="G251" s="22"/>
      <c r="H251" s="3"/>
    </row>
    <row r="252" spans="1:8" x14ac:dyDescent="0.25">
      <c r="A252" s="21">
        <v>28887</v>
      </c>
      <c r="B252" s="22"/>
      <c r="C252" s="22">
        <v>9.9600000000000009</v>
      </c>
      <c r="D252" s="22">
        <v>9.1300000000000008</v>
      </c>
      <c r="E252" s="22"/>
      <c r="F252" s="22"/>
      <c r="G252" s="22"/>
      <c r="H252" s="3"/>
    </row>
    <row r="253" spans="1:8" x14ac:dyDescent="0.25">
      <c r="A253" s="21">
        <v>28915</v>
      </c>
      <c r="B253" s="22"/>
      <c r="C253" s="22">
        <v>9.9600000000000009</v>
      </c>
      <c r="D253" s="22">
        <v>9.1300000000000008</v>
      </c>
      <c r="E253" s="22"/>
      <c r="F253" s="22"/>
      <c r="G253" s="22"/>
      <c r="H253" s="3"/>
    </row>
    <row r="254" spans="1:8" x14ac:dyDescent="0.25">
      <c r="A254" s="21">
        <v>28946</v>
      </c>
      <c r="B254" s="22"/>
      <c r="C254" s="22">
        <v>9.9600000000000009</v>
      </c>
      <c r="D254" s="22">
        <v>9.1300000000000008</v>
      </c>
      <c r="E254" s="22"/>
      <c r="F254" s="22"/>
      <c r="G254" s="22"/>
      <c r="H254" s="3"/>
    </row>
    <row r="255" spans="1:8" x14ac:dyDescent="0.25">
      <c r="A255" s="21">
        <v>28976</v>
      </c>
      <c r="B255" s="22"/>
      <c r="C255" s="22">
        <v>9.9600000000000009</v>
      </c>
      <c r="D255" s="22">
        <v>9.1300000000000008</v>
      </c>
      <c r="E255" s="22"/>
      <c r="F255" s="22"/>
      <c r="G255" s="22"/>
      <c r="H255" s="3"/>
    </row>
    <row r="256" spans="1:8" x14ac:dyDescent="0.25">
      <c r="A256" s="21">
        <v>29007</v>
      </c>
      <c r="B256" s="22"/>
      <c r="C256" s="22">
        <v>9.9600000000000009</v>
      </c>
      <c r="D256" s="22">
        <v>9.1300000000000008</v>
      </c>
      <c r="E256" s="22"/>
      <c r="F256" s="22"/>
      <c r="G256" s="22"/>
      <c r="H256" s="3"/>
    </row>
    <row r="257" spans="1:8" x14ac:dyDescent="0.25">
      <c r="A257" s="21">
        <v>29037</v>
      </c>
      <c r="B257" s="22"/>
      <c r="C257" s="22">
        <v>9.9600000000000009</v>
      </c>
      <c r="D257" s="22">
        <v>9.1300000000000008</v>
      </c>
      <c r="E257" s="22"/>
      <c r="F257" s="22"/>
      <c r="G257" s="22"/>
      <c r="H257" s="3"/>
    </row>
    <row r="258" spans="1:8" x14ac:dyDescent="0.25">
      <c r="A258" s="21">
        <v>29068</v>
      </c>
      <c r="B258" s="22"/>
      <c r="C258" s="22">
        <v>9.9600000000000009</v>
      </c>
      <c r="D258" s="22">
        <v>9.1300000000000008</v>
      </c>
      <c r="E258" s="22"/>
      <c r="F258" s="22"/>
      <c r="G258" s="22"/>
      <c r="H258" s="3"/>
    </row>
    <row r="259" spans="1:8" x14ac:dyDescent="0.25">
      <c r="A259" s="21">
        <v>29099</v>
      </c>
      <c r="B259" s="22"/>
      <c r="C259" s="22">
        <v>9.9600000000000009</v>
      </c>
      <c r="D259" s="22">
        <v>9.1300000000000008</v>
      </c>
      <c r="E259" s="22"/>
      <c r="F259" s="22"/>
      <c r="G259" s="22"/>
      <c r="H259" s="3"/>
    </row>
    <row r="260" spans="1:8" x14ac:dyDescent="0.25">
      <c r="A260" s="21">
        <v>29129</v>
      </c>
      <c r="B260" s="22"/>
      <c r="C260" s="22">
        <v>9.9600000000000009</v>
      </c>
      <c r="D260" s="22">
        <v>9.1300000000000008</v>
      </c>
      <c r="E260" s="22"/>
      <c r="F260" s="22"/>
      <c r="G260" s="22"/>
      <c r="H260" s="3"/>
    </row>
    <row r="261" spans="1:8" x14ac:dyDescent="0.25">
      <c r="A261" s="21">
        <v>29160</v>
      </c>
      <c r="B261" s="22"/>
      <c r="C261" s="22">
        <v>9.9600000000000009</v>
      </c>
      <c r="D261" s="22">
        <v>9.1300000000000008</v>
      </c>
      <c r="E261" s="22"/>
      <c r="F261" s="22"/>
      <c r="G261" s="22"/>
      <c r="H261" s="3"/>
    </row>
    <row r="262" spans="1:8" x14ac:dyDescent="0.25">
      <c r="A262" s="21">
        <v>29190</v>
      </c>
      <c r="B262" s="22"/>
      <c r="C262" s="22">
        <v>9.9600000000000009</v>
      </c>
      <c r="D262" s="22">
        <v>9.1300000000000008</v>
      </c>
      <c r="E262" s="22"/>
      <c r="F262" s="22"/>
      <c r="G262" s="22"/>
      <c r="H262" s="3"/>
    </row>
    <row r="263" spans="1:8" x14ac:dyDescent="0.25">
      <c r="A263" s="21">
        <v>29221</v>
      </c>
      <c r="B263" s="22"/>
      <c r="C263" s="22">
        <v>9.9600000000000009</v>
      </c>
      <c r="D263" s="22">
        <v>9.1300000000000008</v>
      </c>
      <c r="E263" s="22"/>
      <c r="F263" s="22"/>
      <c r="G263" s="22"/>
      <c r="H263" s="3"/>
    </row>
    <row r="264" spans="1:8" x14ac:dyDescent="0.25">
      <c r="A264" s="21">
        <v>29252</v>
      </c>
      <c r="B264" s="22"/>
      <c r="C264" s="22">
        <v>9.9600000000000009</v>
      </c>
      <c r="D264" s="22">
        <v>9.1300000000000008</v>
      </c>
      <c r="E264" s="22"/>
      <c r="F264" s="22"/>
      <c r="G264" s="22"/>
      <c r="H264" s="3"/>
    </row>
    <row r="265" spans="1:8" x14ac:dyDescent="0.25">
      <c r="A265" s="21">
        <v>29281</v>
      </c>
      <c r="B265" s="22"/>
      <c r="C265" s="22">
        <v>10.34</v>
      </c>
      <c r="D265" s="22">
        <v>9.6300000000000008</v>
      </c>
      <c r="E265" s="22"/>
      <c r="F265" s="22"/>
      <c r="G265" s="22"/>
      <c r="H265" s="3"/>
    </row>
    <row r="266" spans="1:8" x14ac:dyDescent="0.25">
      <c r="A266" s="21">
        <v>29312</v>
      </c>
      <c r="B266" s="22"/>
      <c r="C266" s="22">
        <v>10.46</v>
      </c>
      <c r="D266" s="22">
        <v>9.8800000000000008</v>
      </c>
      <c r="E266" s="22"/>
      <c r="F266" s="22"/>
      <c r="G266" s="22"/>
      <c r="H266" s="3"/>
    </row>
    <row r="267" spans="1:8" x14ac:dyDescent="0.25">
      <c r="A267" s="21">
        <v>29342</v>
      </c>
      <c r="B267" s="22"/>
      <c r="C267" s="22">
        <v>10.46</v>
      </c>
      <c r="D267" s="22">
        <v>9.8800000000000008</v>
      </c>
      <c r="E267" s="22"/>
      <c r="F267" s="22"/>
      <c r="G267" s="22"/>
      <c r="H267" s="3"/>
    </row>
    <row r="268" spans="1:8" x14ac:dyDescent="0.25">
      <c r="A268" s="21">
        <v>29373</v>
      </c>
      <c r="B268" s="22"/>
      <c r="C268" s="22">
        <v>10.46</v>
      </c>
      <c r="D268" s="22">
        <v>9.8800000000000008</v>
      </c>
      <c r="E268" s="22"/>
      <c r="F268" s="22"/>
      <c r="G268" s="22"/>
      <c r="H268" s="3"/>
    </row>
    <row r="269" spans="1:8" x14ac:dyDescent="0.25">
      <c r="A269" s="21">
        <v>29403</v>
      </c>
      <c r="B269" s="22"/>
      <c r="C269" s="22">
        <v>10.46</v>
      </c>
      <c r="D269" s="22">
        <v>10.25</v>
      </c>
      <c r="E269" s="22"/>
      <c r="F269" s="22"/>
      <c r="G269" s="22"/>
      <c r="H269" s="3"/>
    </row>
    <row r="270" spans="1:8" x14ac:dyDescent="0.25">
      <c r="A270" s="21">
        <v>29434</v>
      </c>
      <c r="B270" s="22"/>
      <c r="C270" s="22">
        <v>10.46</v>
      </c>
      <c r="D270" s="22">
        <v>10.25</v>
      </c>
      <c r="E270" s="22"/>
      <c r="F270" s="22"/>
      <c r="G270" s="22"/>
      <c r="H270" s="3"/>
    </row>
    <row r="271" spans="1:8" x14ac:dyDescent="0.25">
      <c r="A271" s="21">
        <v>29465</v>
      </c>
      <c r="B271" s="22"/>
      <c r="C271" s="22">
        <v>10.46</v>
      </c>
      <c r="D271" s="22">
        <v>10.25</v>
      </c>
      <c r="E271" s="22"/>
      <c r="F271" s="22"/>
      <c r="G271" s="22"/>
      <c r="H271" s="3"/>
    </row>
    <row r="272" spans="1:8" x14ac:dyDescent="0.25">
      <c r="A272" s="21">
        <v>29495</v>
      </c>
      <c r="B272" s="22"/>
      <c r="C272" s="22">
        <v>10.46</v>
      </c>
      <c r="D272" s="22">
        <v>10.25</v>
      </c>
      <c r="E272" s="22"/>
      <c r="F272" s="22"/>
      <c r="G272" s="22"/>
      <c r="H272" s="3"/>
    </row>
    <row r="273" spans="1:8" x14ac:dyDescent="0.25">
      <c r="A273" s="21">
        <v>29526</v>
      </c>
      <c r="B273" s="22"/>
      <c r="C273" s="22">
        <v>10.46</v>
      </c>
      <c r="D273" s="22">
        <v>10.25</v>
      </c>
      <c r="E273" s="22"/>
      <c r="F273" s="22"/>
      <c r="G273" s="22"/>
      <c r="H273" s="3"/>
    </row>
    <row r="274" spans="1:8" x14ac:dyDescent="0.25">
      <c r="A274" s="21">
        <v>29556</v>
      </c>
      <c r="B274" s="22"/>
      <c r="C274" s="22">
        <v>11.95</v>
      </c>
      <c r="D274" s="22">
        <v>11</v>
      </c>
      <c r="E274" s="22"/>
      <c r="F274" s="22"/>
      <c r="G274" s="22"/>
      <c r="H274" s="3"/>
    </row>
    <row r="275" spans="1:8" x14ac:dyDescent="0.25">
      <c r="A275" s="21">
        <v>29587</v>
      </c>
      <c r="B275" s="22"/>
      <c r="C275" s="22">
        <v>11.95</v>
      </c>
      <c r="D275" s="22">
        <v>11.5</v>
      </c>
      <c r="E275" s="22"/>
      <c r="F275" s="22"/>
      <c r="G275" s="22"/>
      <c r="H275" s="3"/>
    </row>
    <row r="276" spans="1:8" x14ac:dyDescent="0.25">
      <c r="A276" s="21">
        <v>29618</v>
      </c>
      <c r="B276" s="22"/>
      <c r="C276" s="22">
        <v>11.95</v>
      </c>
      <c r="D276" s="22">
        <v>11.5</v>
      </c>
      <c r="E276" s="22"/>
      <c r="F276" s="22"/>
      <c r="G276" s="22"/>
      <c r="H276" s="3"/>
    </row>
    <row r="277" spans="1:8" x14ac:dyDescent="0.25">
      <c r="A277" s="21">
        <v>29646</v>
      </c>
      <c r="B277" s="22"/>
      <c r="C277" s="22">
        <v>12.2</v>
      </c>
      <c r="D277" s="22">
        <v>11.5</v>
      </c>
      <c r="E277" s="22"/>
      <c r="F277" s="22"/>
      <c r="G277" s="22"/>
      <c r="H277" s="3"/>
    </row>
    <row r="278" spans="1:8" x14ac:dyDescent="0.25">
      <c r="A278" s="21">
        <v>29677</v>
      </c>
      <c r="B278" s="22"/>
      <c r="C278" s="22">
        <v>12.38</v>
      </c>
      <c r="D278" s="22">
        <v>11.5</v>
      </c>
      <c r="E278" s="22"/>
      <c r="F278" s="22"/>
      <c r="G278" s="22"/>
      <c r="H278" s="3"/>
    </row>
    <row r="279" spans="1:8" x14ac:dyDescent="0.25">
      <c r="A279" s="21">
        <v>29707</v>
      </c>
      <c r="B279" s="22"/>
      <c r="C279" s="22">
        <v>12.38</v>
      </c>
      <c r="D279" s="22">
        <v>11.5</v>
      </c>
      <c r="E279" s="22"/>
      <c r="F279" s="22"/>
      <c r="G279" s="22"/>
      <c r="H279" s="3"/>
    </row>
    <row r="280" spans="1:8" x14ac:dyDescent="0.25">
      <c r="A280" s="21">
        <v>29738</v>
      </c>
      <c r="B280" s="22"/>
      <c r="C280" s="22">
        <v>12.38</v>
      </c>
      <c r="D280" s="22">
        <v>11.5</v>
      </c>
      <c r="E280" s="22"/>
      <c r="F280" s="22"/>
      <c r="G280" s="22"/>
      <c r="H280" s="3"/>
    </row>
    <row r="281" spans="1:8" x14ac:dyDescent="0.25">
      <c r="A281" s="21">
        <v>29768</v>
      </c>
      <c r="B281" s="22"/>
      <c r="C281" s="22">
        <v>12.46</v>
      </c>
      <c r="D281" s="22">
        <v>11.5</v>
      </c>
      <c r="E281" s="22"/>
      <c r="F281" s="22"/>
      <c r="G281" s="22"/>
      <c r="H281" s="3"/>
    </row>
    <row r="282" spans="1:8" x14ac:dyDescent="0.25">
      <c r="A282" s="21">
        <v>29799</v>
      </c>
      <c r="B282" s="22"/>
      <c r="C282" s="22">
        <v>13.46</v>
      </c>
      <c r="D282" s="22">
        <v>12</v>
      </c>
      <c r="E282" s="22"/>
      <c r="F282" s="22"/>
      <c r="G282" s="22"/>
      <c r="H282" s="3"/>
    </row>
    <row r="283" spans="1:8" x14ac:dyDescent="0.25">
      <c r="A283" s="21">
        <v>29830</v>
      </c>
      <c r="B283" s="22"/>
      <c r="C283" s="22">
        <v>13.46</v>
      </c>
      <c r="D283" s="22">
        <v>12</v>
      </c>
      <c r="E283" s="22"/>
      <c r="F283" s="22"/>
      <c r="G283" s="22"/>
      <c r="H283" s="3"/>
    </row>
    <row r="284" spans="1:8" x14ac:dyDescent="0.25">
      <c r="A284" s="21">
        <v>29860</v>
      </c>
      <c r="B284" s="22"/>
      <c r="C284" s="22">
        <v>13.46</v>
      </c>
      <c r="D284" s="22">
        <v>12.5</v>
      </c>
      <c r="E284" s="22"/>
      <c r="F284" s="22"/>
      <c r="G284" s="22"/>
      <c r="H284" s="3"/>
    </row>
    <row r="285" spans="1:8" x14ac:dyDescent="0.25">
      <c r="A285" s="21">
        <v>29891</v>
      </c>
      <c r="B285" s="22"/>
      <c r="C285" s="22">
        <v>13.46</v>
      </c>
      <c r="D285" s="22">
        <v>12.5</v>
      </c>
      <c r="E285" s="22"/>
      <c r="F285" s="22"/>
      <c r="G285" s="22"/>
      <c r="H285" s="3"/>
    </row>
    <row r="286" spans="1:8" x14ac:dyDescent="0.25">
      <c r="A286" s="21">
        <v>29921</v>
      </c>
      <c r="B286" s="22"/>
      <c r="C286" s="22">
        <v>13.46</v>
      </c>
      <c r="D286" s="22">
        <v>12.5</v>
      </c>
      <c r="E286" s="22"/>
      <c r="F286" s="22"/>
      <c r="G286" s="22"/>
      <c r="H286" s="3"/>
    </row>
    <row r="287" spans="1:8" x14ac:dyDescent="0.25">
      <c r="A287" s="21">
        <v>29952</v>
      </c>
      <c r="B287" s="22"/>
      <c r="C287" s="22">
        <v>13.46</v>
      </c>
      <c r="D287" s="22">
        <v>12.5</v>
      </c>
      <c r="E287" s="22"/>
      <c r="F287" s="22"/>
      <c r="G287" s="22"/>
      <c r="H287" s="3"/>
    </row>
    <row r="288" spans="1:8" x14ac:dyDescent="0.25">
      <c r="A288" s="21">
        <v>29983</v>
      </c>
      <c r="B288" s="22"/>
      <c r="C288" s="22">
        <v>13.46</v>
      </c>
      <c r="D288" s="22">
        <v>12.5</v>
      </c>
      <c r="E288" s="22"/>
      <c r="F288" s="22"/>
      <c r="G288" s="22"/>
      <c r="H288" s="3"/>
    </row>
    <row r="289" spans="1:8" x14ac:dyDescent="0.25">
      <c r="A289" s="21">
        <v>30011</v>
      </c>
      <c r="B289" s="22"/>
      <c r="C289" s="22">
        <v>14.21</v>
      </c>
      <c r="D289" s="22">
        <v>13</v>
      </c>
      <c r="E289" s="22"/>
      <c r="F289" s="22"/>
      <c r="G289" s="22"/>
      <c r="H289" s="3"/>
    </row>
    <row r="290" spans="1:8" x14ac:dyDescent="0.25">
      <c r="A290" s="21">
        <v>30042</v>
      </c>
      <c r="B290" s="22"/>
      <c r="C290" s="22">
        <v>14.46</v>
      </c>
      <c r="D290" s="22">
        <v>13.5</v>
      </c>
      <c r="E290" s="22"/>
      <c r="F290" s="22"/>
      <c r="G290" s="22"/>
      <c r="H290" s="3"/>
    </row>
    <row r="291" spans="1:8" x14ac:dyDescent="0.25">
      <c r="A291" s="21">
        <v>30072</v>
      </c>
      <c r="B291" s="22"/>
      <c r="C291" s="22">
        <v>14.46</v>
      </c>
      <c r="D291" s="22">
        <v>13.5</v>
      </c>
      <c r="E291" s="22"/>
      <c r="F291" s="22"/>
      <c r="G291" s="22"/>
      <c r="H291" s="3"/>
    </row>
    <row r="292" spans="1:8" x14ac:dyDescent="0.25">
      <c r="A292" s="21">
        <v>30103</v>
      </c>
      <c r="B292" s="22"/>
      <c r="C292" s="22">
        <v>14.46</v>
      </c>
      <c r="D292" s="22">
        <v>13.5</v>
      </c>
      <c r="E292" s="22"/>
      <c r="F292" s="22"/>
      <c r="G292" s="22"/>
      <c r="H292" s="3"/>
    </row>
    <row r="293" spans="1:8" x14ac:dyDescent="0.25">
      <c r="A293" s="21">
        <v>30133</v>
      </c>
      <c r="B293" s="22"/>
      <c r="C293" s="22">
        <v>14.46</v>
      </c>
      <c r="D293" s="22">
        <v>13.5</v>
      </c>
      <c r="E293" s="22"/>
      <c r="F293" s="22"/>
      <c r="G293" s="22"/>
      <c r="H293" s="3"/>
    </row>
    <row r="294" spans="1:8" x14ac:dyDescent="0.25">
      <c r="A294" s="21">
        <v>30164</v>
      </c>
      <c r="B294" s="22"/>
      <c r="C294" s="22">
        <v>14.46</v>
      </c>
      <c r="D294" s="22">
        <v>13.5</v>
      </c>
      <c r="E294" s="22"/>
      <c r="F294" s="22"/>
      <c r="G294" s="22"/>
      <c r="H294" s="3"/>
    </row>
    <row r="295" spans="1:8" x14ac:dyDescent="0.25">
      <c r="A295" s="21">
        <v>30195</v>
      </c>
      <c r="B295" s="22"/>
      <c r="C295" s="22">
        <v>14.46</v>
      </c>
      <c r="D295" s="22">
        <v>13.5</v>
      </c>
      <c r="E295" s="22"/>
      <c r="F295" s="22"/>
      <c r="G295" s="22"/>
      <c r="H295" s="3"/>
    </row>
    <row r="296" spans="1:8" x14ac:dyDescent="0.25">
      <c r="A296" s="21">
        <v>30225</v>
      </c>
      <c r="B296" s="22"/>
      <c r="C296" s="22">
        <v>14.46</v>
      </c>
      <c r="D296" s="22">
        <v>13.5</v>
      </c>
      <c r="E296" s="22"/>
      <c r="F296" s="22"/>
      <c r="G296" s="22"/>
      <c r="H296" s="3"/>
    </row>
    <row r="297" spans="1:8" x14ac:dyDescent="0.25">
      <c r="A297" s="21">
        <v>30256</v>
      </c>
      <c r="B297" s="22"/>
      <c r="C297" s="22">
        <v>14.46</v>
      </c>
      <c r="D297" s="22">
        <v>13.5</v>
      </c>
      <c r="E297" s="22"/>
      <c r="F297" s="22"/>
      <c r="G297" s="22"/>
      <c r="H297" s="3"/>
    </row>
    <row r="298" spans="1:8" x14ac:dyDescent="0.25">
      <c r="A298" s="21">
        <v>30286</v>
      </c>
      <c r="B298" s="22"/>
      <c r="C298" s="22">
        <v>14.46</v>
      </c>
      <c r="D298" s="22">
        <v>13.5</v>
      </c>
      <c r="E298" s="22"/>
      <c r="F298" s="22"/>
      <c r="G298" s="22"/>
      <c r="H298" s="3"/>
    </row>
    <row r="299" spans="1:8" x14ac:dyDescent="0.25">
      <c r="A299" s="21">
        <v>30317</v>
      </c>
      <c r="B299" s="22"/>
      <c r="C299" s="22">
        <v>13.96</v>
      </c>
      <c r="D299" s="22">
        <v>13.5</v>
      </c>
      <c r="E299" s="22"/>
      <c r="F299" s="22"/>
      <c r="G299" s="22"/>
      <c r="H299" s="3"/>
    </row>
    <row r="300" spans="1:8" x14ac:dyDescent="0.25">
      <c r="A300" s="21">
        <v>30348</v>
      </c>
      <c r="B300" s="22"/>
      <c r="C300" s="22">
        <v>13.82</v>
      </c>
      <c r="D300" s="22">
        <v>12.5</v>
      </c>
      <c r="E300" s="22"/>
      <c r="F300" s="22"/>
      <c r="G300" s="22"/>
      <c r="H300" s="3"/>
    </row>
    <row r="301" spans="1:8" x14ac:dyDescent="0.25">
      <c r="A301" s="21">
        <v>30376</v>
      </c>
      <c r="B301" s="22"/>
      <c r="C301" s="22">
        <v>13.82</v>
      </c>
      <c r="D301" s="22">
        <v>12.5</v>
      </c>
      <c r="E301" s="22"/>
      <c r="F301" s="22"/>
      <c r="G301" s="22"/>
      <c r="H301" s="3"/>
    </row>
    <row r="302" spans="1:8" x14ac:dyDescent="0.25">
      <c r="A302" s="21">
        <v>30407</v>
      </c>
      <c r="B302" s="22"/>
      <c r="C302" s="22">
        <v>13.82</v>
      </c>
      <c r="D302" s="22">
        <v>12.5</v>
      </c>
      <c r="E302" s="22"/>
      <c r="F302" s="22"/>
      <c r="G302" s="22"/>
      <c r="H302" s="3"/>
    </row>
    <row r="303" spans="1:8" x14ac:dyDescent="0.25">
      <c r="A303" s="21">
        <v>30437</v>
      </c>
      <c r="B303" s="22"/>
      <c r="C303" s="22">
        <v>13.82</v>
      </c>
      <c r="D303" s="22">
        <v>12.5</v>
      </c>
      <c r="E303" s="22"/>
      <c r="F303" s="22"/>
      <c r="G303" s="22"/>
      <c r="H303" s="3"/>
    </row>
    <row r="304" spans="1:8" x14ac:dyDescent="0.25">
      <c r="A304" s="21">
        <v>30468</v>
      </c>
      <c r="B304" s="22"/>
      <c r="C304" s="22">
        <v>13.82</v>
      </c>
      <c r="D304" s="22">
        <v>12.5</v>
      </c>
      <c r="E304" s="22"/>
      <c r="F304" s="22"/>
      <c r="G304" s="22"/>
      <c r="H304" s="3"/>
    </row>
    <row r="305" spans="1:8" x14ac:dyDescent="0.25">
      <c r="A305" s="21">
        <v>30498</v>
      </c>
      <c r="B305" s="22"/>
      <c r="C305" s="22">
        <v>13.82</v>
      </c>
      <c r="D305" s="22">
        <v>12.5</v>
      </c>
      <c r="E305" s="22"/>
      <c r="F305" s="22"/>
      <c r="G305" s="22"/>
      <c r="H305" s="3"/>
    </row>
    <row r="306" spans="1:8" x14ac:dyDescent="0.25">
      <c r="A306" s="21">
        <v>30529</v>
      </c>
      <c r="B306" s="22"/>
      <c r="C306" s="22">
        <v>13.82</v>
      </c>
      <c r="D306" s="22">
        <v>12.5</v>
      </c>
      <c r="E306" s="22"/>
      <c r="F306" s="22"/>
      <c r="G306" s="22"/>
      <c r="H306" s="3"/>
    </row>
    <row r="307" spans="1:8" x14ac:dyDescent="0.25">
      <c r="A307" s="21">
        <v>30560</v>
      </c>
      <c r="B307" s="22"/>
      <c r="C307" s="22">
        <v>13.82</v>
      </c>
      <c r="D307" s="22">
        <v>12</v>
      </c>
      <c r="E307" s="22"/>
      <c r="F307" s="22"/>
      <c r="G307" s="22"/>
      <c r="H307" s="3"/>
    </row>
    <row r="308" spans="1:8" x14ac:dyDescent="0.25">
      <c r="A308" s="21">
        <v>30590</v>
      </c>
      <c r="B308" s="22"/>
      <c r="C308" s="22">
        <v>13.82</v>
      </c>
      <c r="D308" s="22">
        <v>12</v>
      </c>
      <c r="E308" s="22"/>
      <c r="F308" s="22"/>
      <c r="G308" s="22"/>
      <c r="H308" s="3"/>
    </row>
    <row r="309" spans="1:8" x14ac:dyDescent="0.25">
      <c r="A309" s="21">
        <v>30621</v>
      </c>
      <c r="B309" s="22"/>
      <c r="C309" s="22">
        <v>13.82</v>
      </c>
      <c r="D309" s="22">
        <v>12</v>
      </c>
      <c r="E309" s="22"/>
      <c r="F309" s="22"/>
      <c r="G309" s="22"/>
      <c r="H309" s="3"/>
    </row>
    <row r="310" spans="1:8" x14ac:dyDescent="0.25">
      <c r="A310" s="21">
        <v>30651</v>
      </c>
      <c r="B310" s="22"/>
      <c r="C310" s="22">
        <v>13.82</v>
      </c>
      <c r="D310" s="22">
        <v>12</v>
      </c>
      <c r="E310" s="22"/>
      <c r="F310" s="22"/>
      <c r="G310" s="22"/>
      <c r="H310" s="3"/>
    </row>
    <row r="311" spans="1:8" x14ac:dyDescent="0.25">
      <c r="A311" s="21">
        <v>30682</v>
      </c>
      <c r="B311" s="22"/>
      <c r="C311" s="22">
        <v>13.7</v>
      </c>
      <c r="D311" s="22">
        <v>11.5</v>
      </c>
      <c r="E311" s="22"/>
      <c r="F311" s="22"/>
      <c r="G311" s="22"/>
      <c r="H311" s="3"/>
    </row>
    <row r="312" spans="1:8" x14ac:dyDescent="0.25">
      <c r="A312" s="21">
        <v>30713</v>
      </c>
      <c r="B312" s="22"/>
      <c r="C312" s="22">
        <v>13.7</v>
      </c>
      <c r="D312" s="22">
        <v>11.5</v>
      </c>
      <c r="E312" s="22"/>
      <c r="F312" s="22"/>
      <c r="G312" s="22"/>
      <c r="H312" s="3"/>
    </row>
    <row r="313" spans="1:8" x14ac:dyDescent="0.25">
      <c r="A313" s="21">
        <v>30742</v>
      </c>
      <c r="B313" s="22"/>
      <c r="C313" s="22">
        <v>13.82</v>
      </c>
      <c r="D313" s="22">
        <v>11.5</v>
      </c>
      <c r="E313" s="22"/>
      <c r="F313" s="22"/>
      <c r="G313" s="22"/>
      <c r="H313" s="3"/>
    </row>
    <row r="314" spans="1:8" x14ac:dyDescent="0.25">
      <c r="A314" s="21">
        <v>30773</v>
      </c>
      <c r="B314" s="22"/>
      <c r="C314" s="22">
        <v>13.82</v>
      </c>
      <c r="D314" s="22">
        <v>11.5</v>
      </c>
      <c r="E314" s="22"/>
      <c r="F314" s="22"/>
      <c r="G314" s="22"/>
      <c r="H314" s="3"/>
    </row>
    <row r="315" spans="1:8" x14ac:dyDescent="0.25">
      <c r="A315" s="21">
        <v>30803</v>
      </c>
      <c r="B315" s="22"/>
      <c r="C315" s="22">
        <v>13.82</v>
      </c>
      <c r="D315" s="22">
        <v>11.5</v>
      </c>
      <c r="E315" s="22"/>
      <c r="F315" s="22"/>
      <c r="G315" s="22"/>
      <c r="H315" s="3"/>
    </row>
    <row r="316" spans="1:8" x14ac:dyDescent="0.25">
      <c r="A316" s="21">
        <v>30834</v>
      </c>
      <c r="B316" s="22"/>
      <c r="C316" s="22">
        <v>13.82</v>
      </c>
      <c r="D316" s="22">
        <v>11.5</v>
      </c>
      <c r="E316" s="22"/>
      <c r="F316" s="22"/>
      <c r="G316" s="22"/>
      <c r="H316" s="3"/>
    </row>
    <row r="317" spans="1:8" x14ac:dyDescent="0.25">
      <c r="A317" s="21">
        <v>30864</v>
      </c>
      <c r="B317" s="22"/>
      <c r="C317" s="22">
        <v>13.82</v>
      </c>
      <c r="D317" s="22">
        <v>11.5</v>
      </c>
      <c r="E317" s="22"/>
      <c r="F317" s="22"/>
      <c r="G317" s="22"/>
      <c r="H317" s="3"/>
    </row>
    <row r="318" spans="1:8" x14ac:dyDescent="0.25">
      <c r="A318" s="21">
        <v>30895</v>
      </c>
      <c r="B318" s="22"/>
      <c r="C318" s="22">
        <v>13.82</v>
      </c>
      <c r="D318" s="22">
        <v>11.5</v>
      </c>
      <c r="E318" s="22"/>
      <c r="F318" s="22"/>
      <c r="G318" s="22"/>
      <c r="H318" s="3"/>
    </row>
    <row r="319" spans="1:8" x14ac:dyDescent="0.25">
      <c r="A319" s="21">
        <v>30926</v>
      </c>
      <c r="B319" s="22"/>
      <c r="C319" s="22">
        <v>13.82</v>
      </c>
      <c r="D319" s="22">
        <v>11.5</v>
      </c>
      <c r="E319" s="22"/>
      <c r="F319" s="22"/>
      <c r="G319" s="22"/>
      <c r="H319" s="3"/>
    </row>
    <row r="320" spans="1:8" x14ac:dyDescent="0.25">
      <c r="A320" s="21">
        <v>30956</v>
      </c>
      <c r="B320" s="22"/>
      <c r="C320" s="22">
        <v>13.82</v>
      </c>
      <c r="D320" s="22">
        <v>11.5</v>
      </c>
      <c r="E320" s="22"/>
      <c r="F320" s="22"/>
      <c r="G320" s="22"/>
      <c r="H320" s="3"/>
    </row>
    <row r="321" spans="1:8" x14ac:dyDescent="0.25">
      <c r="A321" s="21">
        <v>30987</v>
      </c>
      <c r="B321" s="22"/>
      <c r="C321" s="22">
        <v>13.82</v>
      </c>
      <c r="D321" s="22">
        <v>11.5</v>
      </c>
      <c r="E321" s="22"/>
      <c r="F321" s="22"/>
      <c r="G321" s="22"/>
      <c r="H321" s="3"/>
    </row>
    <row r="322" spans="1:8" x14ac:dyDescent="0.25">
      <c r="A322" s="21">
        <v>31017</v>
      </c>
      <c r="B322" s="22"/>
      <c r="C322" s="22">
        <v>13.82</v>
      </c>
      <c r="D322" s="22">
        <v>11.5</v>
      </c>
      <c r="E322" s="22"/>
      <c r="F322" s="22"/>
      <c r="G322" s="22"/>
      <c r="H322" s="3"/>
    </row>
    <row r="323" spans="1:8" x14ac:dyDescent="0.25">
      <c r="A323" s="21">
        <v>31048</v>
      </c>
      <c r="B323" s="22"/>
      <c r="C323" s="22">
        <v>13.98</v>
      </c>
      <c r="D323" s="22">
        <v>11.5</v>
      </c>
      <c r="E323" s="22"/>
      <c r="F323" s="22"/>
      <c r="G323" s="22"/>
      <c r="H323" s="3"/>
    </row>
    <row r="324" spans="1:8" x14ac:dyDescent="0.25">
      <c r="A324" s="21">
        <v>31079</v>
      </c>
      <c r="B324" s="22"/>
      <c r="C324" s="22">
        <v>13.98</v>
      </c>
      <c r="D324" s="22">
        <v>11.5</v>
      </c>
      <c r="E324" s="22"/>
      <c r="F324" s="22"/>
      <c r="G324" s="22"/>
      <c r="H324" s="3"/>
    </row>
    <row r="325" spans="1:8" x14ac:dyDescent="0.25">
      <c r="A325" s="21">
        <v>31107</v>
      </c>
      <c r="B325" s="22"/>
      <c r="C325" s="22">
        <v>14.05</v>
      </c>
      <c r="D325" s="22">
        <v>11.5</v>
      </c>
      <c r="E325" s="22"/>
      <c r="F325" s="22"/>
      <c r="G325" s="22"/>
      <c r="H325" s="3"/>
    </row>
    <row r="326" spans="1:8" x14ac:dyDescent="0.25">
      <c r="A326" s="21">
        <v>31138</v>
      </c>
      <c r="B326" s="22"/>
      <c r="C326" s="22">
        <v>14.42</v>
      </c>
      <c r="D326" s="22">
        <v>12</v>
      </c>
      <c r="E326" s="22"/>
      <c r="F326" s="22"/>
      <c r="G326" s="22"/>
      <c r="H326" s="3"/>
    </row>
    <row r="327" spans="1:8" x14ac:dyDescent="0.25">
      <c r="A327" s="21">
        <v>31168</v>
      </c>
      <c r="B327" s="22"/>
      <c r="C327" s="22">
        <v>14.48</v>
      </c>
      <c r="D327" s="22">
        <v>12</v>
      </c>
      <c r="E327" s="22"/>
      <c r="F327" s="22"/>
      <c r="G327" s="22"/>
      <c r="H327" s="3"/>
    </row>
    <row r="328" spans="1:8" x14ac:dyDescent="0.25">
      <c r="A328" s="21">
        <v>31199</v>
      </c>
      <c r="B328" s="22"/>
      <c r="C328" s="22">
        <v>15.17</v>
      </c>
      <c r="D328" s="22">
        <v>12.13</v>
      </c>
      <c r="E328" s="22"/>
      <c r="F328" s="22"/>
      <c r="G328" s="22"/>
      <c r="H328" s="3"/>
    </row>
    <row r="329" spans="1:8" x14ac:dyDescent="0.25">
      <c r="A329" s="21">
        <v>31229</v>
      </c>
      <c r="B329" s="22"/>
      <c r="C329" s="22">
        <v>15.48</v>
      </c>
      <c r="D329" s="22">
        <v>12.5</v>
      </c>
      <c r="E329" s="22"/>
      <c r="F329" s="22"/>
      <c r="G329" s="22"/>
      <c r="H329" s="3"/>
    </row>
    <row r="330" spans="1:8" x14ac:dyDescent="0.25">
      <c r="A330" s="21">
        <v>31260</v>
      </c>
      <c r="B330" s="22"/>
      <c r="C330" s="22">
        <v>15.8</v>
      </c>
      <c r="D330" s="22">
        <v>12.5</v>
      </c>
      <c r="E330" s="22"/>
      <c r="F330" s="22"/>
      <c r="G330" s="22"/>
      <c r="H330" s="3"/>
    </row>
    <row r="331" spans="1:8" x14ac:dyDescent="0.25">
      <c r="A331" s="21">
        <v>31291</v>
      </c>
      <c r="B331" s="22"/>
      <c r="C331" s="22">
        <v>16.3</v>
      </c>
      <c r="D331" s="22">
        <v>12.88</v>
      </c>
      <c r="E331" s="22"/>
      <c r="F331" s="22"/>
      <c r="G331" s="22"/>
      <c r="H331" s="3"/>
    </row>
    <row r="332" spans="1:8" x14ac:dyDescent="0.25">
      <c r="A332" s="21">
        <v>31321</v>
      </c>
      <c r="B332" s="22"/>
      <c r="C332" s="22">
        <v>16.3</v>
      </c>
      <c r="D332" s="22">
        <v>13.5</v>
      </c>
      <c r="E332" s="22"/>
      <c r="F332" s="22"/>
      <c r="G332" s="22"/>
      <c r="H332" s="3"/>
    </row>
    <row r="333" spans="1:8" x14ac:dyDescent="0.25">
      <c r="A333" s="21">
        <v>31352</v>
      </c>
      <c r="B333" s="22"/>
      <c r="C333" s="22">
        <v>16.8</v>
      </c>
      <c r="D333" s="22">
        <v>13.5</v>
      </c>
      <c r="E333" s="22"/>
      <c r="F333" s="22"/>
      <c r="G333" s="22"/>
      <c r="H333" s="3"/>
    </row>
    <row r="334" spans="1:8" x14ac:dyDescent="0.25">
      <c r="A334" s="21">
        <v>31382</v>
      </c>
      <c r="B334" s="22"/>
      <c r="C334" s="22">
        <v>18.05</v>
      </c>
      <c r="D334" s="22">
        <v>13.5</v>
      </c>
      <c r="E334" s="22"/>
      <c r="F334" s="22"/>
      <c r="G334" s="22"/>
      <c r="H334" s="3"/>
    </row>
    <row r="335" spans="1:8" x14ac:dyDescent="0.25">
      <c r="A335" s="21">
        <v>31413</v>
      </c>
      <c r="B335" s="22"/>
      <c r="C335" s="22">
        <v>18.05</v>
      </c>
      <c r="D335" s="22">
        <v>13.5</v>
      </c>
      <c r="E335" s="22"/>
      <c r="F335" s="22"/>
      <c r="G335" s="22"/>
      <c r="H335" s="3"/>
    </row>
    <row r="336" spans="1:8" x14ac:dyDescent="0.25">
      <c r="A336" s="21">
        <v>31444</v>
      </c>
      <c r="B336" s="22"/>
      <c r="C336" s="22">
        <v>18.36</v>
      </c>
      <c r="D336" s="22">
        <v>13.5</v>
      </c>
      <c r="E336" s="22"/>
      <c r="F336" s="22"/>
      <c r="G336" s="22"/>
      <c r="H336" s="3"/>
    </row>
    <row r="337" spans="1:8" x14ac:dyDescent="0.25">
      <c r="A337" s="21">
        <v>31472</v>
      </c>
      <c r="B337" s="22"/>
      <c r="C337" s="22">
        <v>18.36</v>
      </c>
      <c r="D337" s="22">
        <v>13.5</v>
      </c>
      <c r="E337" s="22"/>
      <c r="F337" s="22"/>
      <c r="G337" s="22"/>
      <c r="H337" s="3"/>
    </row>
    <row r="338" spans="1:8" x14ac:dyDescent="0.25">
      <c r="A338" s="21">
        <v>31503</v>
      </c>
      <c r="B338" s="22"/>
      <c r="C338" s="22">
        <v>18.36</v>
      </c>
      <c r="D338" s="22">
        <v>15.5</v>
      </c>
      <c r="E338" s="22"/>
      <c r="F338" s="22"/>
      <c r="G338" s="22"/>
      <c r="H338" s="3"/>
    </row>
    <row r="339" spans="1:8" x14ac:dyDescent="0.25">
      <c r="A339" s="21">
        <v>31533</v>
      </c>
      <c r="B339" s="22"/>
      <c r="C339" s="22">
        <v>17.98</v>
      </c>
      <c r="D339" s="22">
        <v>15.5</v>
      </c>
      <c r="E339" s="22"/>
      <c r="F339" s="22"/>
      <c r="G339" s="22"/>
      <c r="H339" s="3"/>
    </row>
    <row r="340" spans="1:8" x14ac:dyDescent="0.25">
      <c r="A340" s="21">
        <v>31564</v>
      </c>
      <c r="B340" s="22"/>
      <c r="C340" s="22">
        <v>17.670000000000002</v>
      </c>
      <c r="D340" s="22">
        <v>15.5</v>
      </c>
      <c r="E340" s="22"/>
      <c r="F340" s="22"/>
      <c r="G340" s="22"/>
      <c r="H340" s="3"/>
    </row>
    <row r="341" spans="1:8" x14ac:dyDescent="0.25">
      <c r="A341" s="21">
        <v>31594</v>
      </c>
      <c r="B341" s="22"/>
      <c r="C341" s="22">
        <v>17.48</v>
      </c>
      <c r="D341" s="22">
        <v>15.5</v>
      </c>
      <c r="E341" s="22"/>
      <c r="F341" s="22"/>
      <c r="G341" s="22"/>
      <c r="H341" s="3"/>
    </row>
    <row r="342" spans="1:8" x14ac:dyDescent="0.25">
      <c r="A342" s="21">
        <v>31625</v>
      </c>
      <c r="B342" s="22"/>
      <c r="C342" s="22">
        <v>18.3</v>
      </c>
      <c r="D342" s="22">
        <v>15.5</v>
      </c>
      <c r="E342" s="22"/>
      <c r="F342" s="22"/>
      <c r="G342" s="22"/>
      <c r="H342" s="3"/>
    </row>
    <row r="343" spans="1:8" x14ac:dyDescent="0.25">
      <c r="A343" s="21">
        <v>31656</v>
      </c>
      <c r="B343" s="22"/>
      <c r="C343" s="22">
        <v>18.98</v>
      </c>
      <c r="D343" s="22">
        <v>15.5</v>
      </c>
      <c r="E343" s="22"/>
      <c r="F343" s="22"/>
      <c r="G343" s="22"/>
      <c r="H343" s="3"/>
    </row>
    <row r="344" spans="1:8" x14ac:dyDescent="0.25">
      <c r="A344" s="21">
        <v>31686</v>
      </c>
      <c r="B344" s="22"/>
      <c r="C344" s="22">
        <v>18.98</v>
      </c>
      <c r="D344" s="22">
        <v>15.5</v>
      </c>
      <c r="E344" s="22"/>
      <c r="F344" s="22"/>
      <c r="G344" s="22"/>
      <c r="H344" s="3"/>
    </row>
    <row r="345" spans="1:8" x14ac:dyDescent="0.25">
      <c r="A345" s="21">
        <v>31717</v>
      </c>
      <c r="B345" s="22"/>
      <c r="C345" s="22">
        <v>18.86</v>
      </c>
      <c r="D345" s="22">
        <v>15.5</v>
      </c>
      <c r="E345" s="22"/>
      <c r="F345" s="22"/>
      <c r="G345" s="22"/>
      <c r="H345" s="3"/>
    </row>
    <row r="346" spans="1:8" x14ac:dyDescent="0.25">
      <c r="A346" s="21">
        <v>31747</v>
      </c>
      <c r="B346" s="22"/>
      <c r="C346" s="22">
        <v>18.55</v>
      </c>
      <c r="D346" s="22">
        <v>15.5</v>
      </c>
      <c r="E346" s="22"/>
      <c r="F346" s="22"/>
      <c r="G346" s="22"/>
      <c r="H346" s="3"/>
    </row>
    <row r="347" spans="1:8" x14ac:dyDescent="0.25">
      <c r="A347" s="21">
        <v>31778</v>
      </c>
      <c r="B347" s="22"/>
      <c r="C347" s="22">
        <v>18.23</v>
      </c>
      <c r="D347" s="22">
        <v>15.5</v>
      </c>
      <c r="E347" s="22"/>
      <c r="F347" s="22"/>
      <c r="G347" s="22"/>
      <c r="H347" s="3"/>
    </row>
    <row r="348" spans="1:8" x14ac:dyDescent="0.25">
      <c r="A348" s="21">
        <v>31809</v>
      </c>
      <c r="B348" s="22"/>
      <c r="C348" s="22">
        <v>18.670000000000002</v>
      </c>
      <c r="D348" s="22">
        <v>15.5</v>
      </c>
      <c r="E348" s="22"/>
      <c r="F348" s="22"/>
      <c r="G348" s="22"/>
      <c r="H348" s="3"/>
    </row>
    <row r="349" spans="1:8" x14ac:dyDescent="0.25">
      <c r="A349" s="21">
        <v>31837</v>
      </c>
      <c r="B349" s="22"/>
      <c r="C349" s="22">
        <v>18.8</v>
      </c>
      <c r="D349" s="22">
        <v>15.5</v>
      </c>
      <c r="E349" s="22"/>
      <c r="F349" s="22"/>
      <c r="G349" s="22"/>
      <c r="H349" s="3"/>
    </row>
    <row r="350" spans="1:8" x14ac:dyDescent="0.25">
      <c r="A350" s="21">
        <v>31868</v>
      </c>
      <c r="B350" s="22"/>
      <c r="C350" s="22">
        <v>18.3</v>
      </c>
      <c r="D350" s="22">
        <v>15.5</v>
      </c>
      <c r="E350" s="22"/>
      <c r="F350" s="22"/>
      <c r="G350" s="22"/>
      <c r="H350" s="3"/>
    </row>
    <row r="351" spans="1:8" x14ac:dyDescent="0.25">
      <c r="A351" s="21">
        <v>31898</v>
      </c>
      <c r="B351" s="22"/>
      <c r="C351" s="22">
        <v>17.55</v>
      </c>
      <c r="D351" s="22">
        <v>15.5</v>
      </c>
      <c r="E351" s="22"/>
      <c r="F351" s="22"/>
      <c r="G351" s="22"/>
      <c r="H351" s="3"/>
    </row>
    <row r="352" spans="1:8" x14ac:dyDescent="0.25">
      <c r="A352" s="21">
        <v>31929</v>
      </c>
      <c r="B352" s="22"/>
      <c r="C352" s="22">
        <v>17.11</v>
      </c>
      <c r="D352" s="22">
        <v>15.5</v>
      </c>
      <c r="E352" s="22"/>
      <c r="F352" s="22"/>
      <c r="G352" s="22"/>
      <c r="H352" s="3"/>
    </row>
    <row r="353" spans="1:8" x14ac:dyDescent="0.25">
      <c r="A353" s="21">
        <v>31959</v>
      </c>
      <c r="B353" s="22"/>
      <c r="C353" s="22">
        <v>16.73</v>
      </c>
      <c r="D353" s="22">
        <v>15.5</v>
      </c>
      <c r="E353" s="22"/>
      <c r="F353" s="22"/>
      <c r="G353" s="22"/>
      <c r="H353" s="3"/>
    </row>
    <row r="354" spans="1:8" x14ac:dyDescent="0.25">
      <c r="A354" s="21">
        <v>31990</v>
      </c>
      <c r="B354" s="22"/>
      <c r="C354" s="22">
        <v>16.05</v>
      </c>
      <c r="D354" s="22">
        <v>15.06</v>
      </c>
      <c r="E354" s="22"/>
      <c r="F354" s="22"/>
      <c r="G354" s="22"/>
      <c r="H354" s="3"/>
    </row>
    <row r="355" spans="1:8" x14ac:dyDescent="0.25">
      <c r="A355" s="21">
        <v>32021</v>
      </c>
      <c r="B355" s="22"/>
      <c r="C355" s="22">
        <v>15.55</v>
      </c>
      <c r="D355" s="22">
        <v>14.75</v>
      </c>
      <c r="E355" s="22"/>
      <c r="F355" s="22"/>
      <c r="G355" s="22"/>
      <c r="H355" s="3"/>
    </row>
    <row r="356" spans="1:8" x14ac:dyDescent="0.25">
      <c r="A356" s="21">
        <v>32051</v>
      </c>
      <c r="B356" s="22"/>
      <c r="C356" s="22">
        <v>14.92</v>
      </c>
      <c r="D356" s="22">
        <v>14.5</v>
      </c>
      <c r="E356" s="22"/>
      <c r="F356" s="22"/>
      <c r="G356" s="22"/>
      <c r="H356" s="3"/>
    </row>
    <row r="357" spans="1:8" x14ac:dyDescent="0.25">
      <c r="A357" s="21">
        <v>32082</v>
      </c>
      <c r="B357" s="22"/>
      <c r="C357" s="22">
        <v>14.92</v>
      </c>
      <c r="D357" s="22">
        <v>14.13</v>
      </c>
      <c r="E357" s="22"/>
      <c r="F357" s="22"/>
      <c r="G357" s="22"/>
      <c r="H357" s="3"/>
    </row>
    <row r="358" spans="1:8" x14ac:dyDescent="0.25">
      <c r="A358" s="21">
        <v>32112</v>
      </c>
      <c r="B358" s="22"/>
      <c r="C358" s="22">
        <v>14.92</v>
      </c>
      <c r="D358" s="22">
        <v>14</v>
      </c>
      <c r="E358" s="22"/>
      <c r="F358" s="22"/>
      <c r="G358" s="22"/>
      <c r="H358" s="3"/>
    </row>
    <row r="359" spans="1:8" x14ac:dyDescent="0.25">
      <c r="A359" s="21">
        <v>32143</v>
      </c>
      <c r="B359" s="22"/>
      <c r="C359" s="22">
        <v>14.55</v>
      </c>
      <c r="D359" s="22">
        <v>14</v>
      </c>
      <c r="E359" s="22"/>
      <c r="F359" s="22"/>
      <c r="G359" s="22"/>
      <c r="H359" s="3"/>
    </row>
    <row r="360" spans="1:8" x14ac:dyDescent="0.25">
      <c r="A360" s="21">
        <v>32174</v>
      </c>
      <c r="B360" s="22"/>
      <c r="C360" s="22">
        <v>14.55</v>
      </c>
      <c r="D360" s="22">
        <v>13.5</v>
      </c>
      <c r="E360" s="22"/>
      <c r="F360" s="22"/>
      <c r="G360" s="22"/>
      <c r="H360" s="3"/>
    </row>
    <row r="361" spans="1:8" x14ac:dyDescent="0.25">
      <c r="A361" s="21">
        <v>32203</v>
      </c>
      <c r="B361" s="22"/>
      <c r="C361" s="22">
        <v>14.42</v>
      </c>
      <c r="D361" s="22">
        <v>13.5</v>
      </c>
      <c r="E361" s="22"/>
      <c r="F361" s="22"/>
      <c r="G361" s="22"/>
      <c r="H361" s="3"/>
    </row>
    <row r="362" spans="1:8" x14ac:dyDescent="0.25">
      <c r="A362" s="21">
        <v>32234</v>
      </c>
      <c r="B362" s="22"/>
      <c r="C362" s="22">
        <v>14.48</v>
      </c>
      <c r="D362" s="22">
        <v>13.5</v>
      </c>
      <c r="E362" s="22"/>
      <c r="F362" s="22"/>
      <c r="G362" s="22"/>
      <c r="H362" s="3"/>
    </row>
    <row r="363" spans="1:8" x14ac:dyDescent="0.25">
      <c r="A363" s="21">
        <v>32264</v>
      </c>
      <c r="B363" s="22"/>
      <c r="C363" s="22">
        <v>14.73</v>
      </c>
      <c r="D363" s="22">
        <v>13.5</v>
      </c>
      <c r="E363" s="22"/>
      <c r="F363" s="22"/>
      <c r="G363" s="22"/>
      <c r="H363" s="3"/>
    </row>
    <row r="364" spans="1:8" x14ac:dyDescent="0.25">
      <c r="A364" s="21">
        <v>32295</v>
      </c>
      <c r="B364" s="22"/>
      <c r="C364" s="22">
        <v>15.48</v>
      </c>
      <c r="D364" s="22">
        <v>13.75</v>
      </c>
      <c r="E364" s="22"/>
      <c r="F364" s="22"/>
      <c r="G364" s="22"/>
      <c r="H364" s="3"/>
    </row>
    <row r="365" spans="1:8" x14ac:dyDescent="0.25">
      <c r="A365" s="21">
        <v>32325</v>
      </c>
      <c r="B365" s="22"/>
      <c r="C365" s="22">
        <v>15.67</v>
      </c>
      <c r="D365" s="22">
        <v>14.5</v>
      </c>
      <c r="E365" s="22"/>
      <c r="F365" s="22"/>
      <c r="G365" s="22"/>
      <c r="H365" s="3"/>
    </row>
    <row r="366" spans="1:8" x14ac:dyDescent="0.25">
      <c r="A366" s="21">
        <v>32356</v>
      </c>
      <c r="B366" s="22"/>
      <c r="C366" s="22">
        <v>15.67</v>
      </c>
      <c r="D366" s="22">
        <v>14.5</v>
      </c>
      <c r="E366" s="22"/>
      <c r="F366" s="22"/>
      <c r="G366" s="22"/>
      <c r="H366" s="3"/>
    </row>
    <row r="367" spans="1:8" x14ac:dyDescent="0.25">
      <c r="A367" s="21">
        <v>32387</v>
      </c>
      <c r="B367" s="22"/>
      <c r="C367" s="22">
        <v>16.23</v>
      </c>
      <c r="D367" s="22">
        <v>14.5</v>
      </c>
      <c r="E367" s="22"/>
      <c r="F367" s="22"/>
      <c r="G367" s="22"/>
      <c r="H367" s="3"/>
    </row>
    <row r="368" spans="1:8" x14ac:dyDescent="0.25">
      <c r="A368" s="21">
        <v>32417</v>
      </c>
      <c r="B368" s="22"/>
      <c r="C368" s="22">
        <v>16.420000000000002</v>
      </c>
      <c r="D368" s="22">
        <v>14.5</v>
      </c>
      <c r="E368" s="22"/>
      <c r="F368" s="22"/>
      <c r="G368" s="22"/>
      <c r="H368" s="3"/>
    </row>
    <row r="369" spans="1:8" x14ac:dyDescent="0.25">
      <c r="A369" s="21">
        <v>32448</v>
      </c>
      <c r="B369" s="22"/>
      <c r="C369" s="22">
        <v>16.8</v>
      </c>
      <c r="D369" s="22">
        <v>14.75</v>
      </c>
      <c r="E369" s="22"/>
      <c r="F369" s="22"/>
      <c r="G369" s="22"/>
      <c r="H369" s="3"/>
    </row>
    <row r="370" spans="1:8" x14ac:dyDescent="0.25">
      <c r="A370" s="21">
        <v>32478</v>
      </c>
      <c r="B370" s="22"/>
      <c r="C370" s="22">
        <v>16.920000000000002</v>
      </c>
      <c r="D370" s="22">
        <v>14.98</v>
      </c>
      <c r="E370" s="22"/>
      <c r="F370" s="22"/>
      <c r="G370" s="22"/>
      <c r="H370" s="3"/>
    </row>
    <row r="371" spans="1:8" x14ac:dyDescent="0.25">
      <c r="A371" s="21">
        <v>32509</v>
      </c>
      <c r="B371" s="22"/>
      <c r="C371" s="22">
        <v>17.420000000000002</v>
      </c>
      <c r="D371" s="22">
        <v>14.98</v>
      </c>
      <c r="E371" s="22"/>
      <c r="F371" s="22"/>
      <c r="G371" s="22"/>
      <c r="H371" s="3"/>
    </row>
    <row r="372" spans="1:8" x14ac:dyDescent="0.25">
      <c r="A372" s="21">
        <v>32540</v>
      </c>
      <c r="B372" s="22"/>
      <c r="C372" s="22">
        <v>18.55</v>
      </c>
      <c r="D372" s="22">
        <v>15.5</v>
      </c>
      <c r="E372" s="22"/>
      <c r="F372" s="22"/>
      <c r="G372" s="22"/>
      <c r="H372" s="3"/>
    </row>
    <row r="373" spans="1:8" x14ac:dyDescent="0.25">
      <c r="A373" s="21">
        <v>32568</v>
      </c>
      <c r="B373" s="22"/>
      <c r="C373" s="22">
        <v>19.11</v>
      </c>
      <c r="D373" s="22">
        <v>16</v>
      </c>
      <c r="E373" s="22"/>
      <c r="F373" s="22"/>
      <c r="G373" s="22"/>
      <c r="H373" s="3"/>
    </row>
    <row r="374" spans="1:8" x14ac:dyDescent="0.25">
      <c r="A374" s="21">
        <v>32599</v>
      </c>
      <c r="B374" s="22"/>
      <c r="C374" s="22">
        <v>19.3</v>
      </c>
      <c r="D374" s="22">
        <v>16</v>
      </c>
      <c r="E374" s="22"/>
      <c r="F374" s="22"/>
      <c r="G374" s="22"/>
      <c r="H374" s="3"/>
    </row>
    <row r="375" spans="1:8" x14ac:dyDescent="0.25">
      <c r="A375" s="21">
        <v>32629</v>
      </c>
      <c r="B375" s="22"/>
      <c r="C375" s="22">
        <v>19.920000000000002</v>
      </c>
      <c r="D375" s="22">
        <v>16</v>
      </c>
      <c r="E375" s="22"/>
      <c r="F375" s="22"/>
      <c r="G375" s="22"/>
      <c r="H375" s="3"/>
    </row>
    <row r="376" spans="1:8" x14ac:dyDescent="0.25">
      <c r="A376" s="21">
        <v>32660</v>
      </c>
      <c r="B376" s="22"/>
      <c r="C376" s="22">
        <v>20.3</v>
      </c>
      <c r="D376" s="22">
        <v>17</v>
      </c>
      <c r="E376" s="22"/>
      <c r="F376" s="22"/>
      <c r="G376" s="22"/>
      <c r="H376" s="3"/>
    </row>
    <row r="377" spans="1:8" x14ac:dyDescent="0.25">
      <c r="A377" s="21">
        <v>32690</v>
      </c>
      <c r="B377" s="22"/>
      <c r="C377" s="22">
        <v>20.67</v>
      </c>
      <c r="D377" s="22">
        <v>17</v>
      </c>
      <c r="E377" s="22"/>
      <c r="F377" s="22"/>
      <c r="G377" s="22"/>
      <c r="H377" s="3"/>
    </row>
    <row r="378" spans="1:8" x14ac:dyDescent="0.25">
      <c r="A378" s="21">
        <v>32721</v>
      </c>
      <c r="B378" s="22"/>
      <c r="C378" s="22">
        <v>20.67</v>
      </c>
      <c r="D378" s="22">
        <v>17</v>
      </c>
      <c r="E378" s="22"/>
      <c r="F378" s="22"/>
      <c r="G378" s="22"/>
      <c r="H378" s="3"/>
    </row>
    <row r="379" spans="1:8" x14ac:dyDescent="0.25">
      <c r="A379" s="21">
        <v>32752</v>
      </c>
      <c r="B379" s="22"/>
      <c r="C379" s="22">
        <v>20.98</v>
      </c>
      <c r="D379" s="22">
        <v>17</v>
      </c>
      <c r="E379" s="22"/>
      <c r="F379" s="22"/>
      <c r="G379" s="22"/>
      <c r="H379" s="3"/>
    </row>
    <row r="380" spans="1:8" x14ac:dyDescent="0.25">
      <c r="A380" s="21">
        <v>32782</v>
      </c>
      <c r="B380" s="22"/>
      <c r="C380" s="22">
        <v>21.05</v>
      </c>
      <c r="D380" s="22">
        <v>17</v>
      </c>
      <c r="E380" s="22"/>
      <c r="F380" s="22"/>
      <c r="G380" s="22"/>
      <c r="H380" s="3"/>
    </row>
    <row r="381" spans="1:8" x14ac:dyDescent="0.25">
      <c r="A381" s="21">
        <v>32813</v>
      </c>
      <c r="B381" s="22"/>
      <c r="C381" s="22">
        <v>21.05</v>
      </c>
      <c r="D381" s="22">
        <v>17</v>
      </c>
      <c r="E381" s="22"/>
      <c r="F381" s="22"/>
      <c r="G381" s="22"/>
      <c r="H381" s="3"/>
    </row>
    <row r="382" spans="1:8" x14ac:dyDescent="0.25">
      <c r="A382" s="21">
        <v>32843</v>
      </c>
      <c r="B382" s="22"/>
      <c r="C382" s="22">
        <v>21.05</v>
      </c>
      <c r="D382" s="22">
        <v>17</v>
      </c>
      <c r="E382" s="22"/>
      <c r="F382" s="22"/>
      <c r="G382" s="22"/>
      <c r="H382" s="3"/>
    </row>
    <row r="383" spans="1:8" x14ac:dyDescent="0.25">
      <c r="A383" s="21">
        <v>32874</v>
      </c>
      <c r="B383" s="22"/>
      <c r="C383" s="22">
        <v>20.92</v>
      </c>
      <c r="D383" s="22">
        <v>17</v>
      </c>
      <c r="E383" s="22"/>
      <c r="F383" s="22"/>
      <c r="G383" s="22"/>
      <c r="H383" s="3"/>
    </row>
    <row r="384" spans="1:8" x14ac:dyDescent="0.25">
      <c r="A384" s="21">
        <v>32905</v>
      </c>
      <c r="B384" s="22"/>
      <c r="C384" s="22">
        <v>20.36</v>
      </c>
      <c r="D384" s="22">
        <v>17</v>
      </c>
      <c r="E384" s="22"/>
      <c r="F384" s="22"/>
      <c r="G384" s="22"/>
      <c r="H384" s="3"/>
    </row>
    <row r="385" spans="1:8" x14ac:dyDescent="0.25">
      <c r="A385" s="21">
        <v>32933</v>
      </c>
      <c r="B385" s="22"/>
      <c r="C385" s="22">
        <v>20.3</v>
      </c>
      <c r="D385" s="22">
        <v>17</v>
      </c>
      <c r="E385" s="22"/>
      <c r="F385" s="22"/>
      <c r="G385" s="22"/>
      <c r="H385" s="3"/>
    </row>
    <row r="386" spans="1:8" x14ac:dyDescent="0.25">
      <c r="A386" s="21">
        <v>32964</v>
      </c>
      <c r="B386" s="22"/>
      <c r="C386" s="22">
        <v>19.3</v>
      </c>
      <c r="D386" s="22">
        <v>16.690000000000001</v>
      </c>
      <c r="E386" s="22"/>
      <c r="F386" s="22"/>
      <c r="G386" s="22"/>
      <c r="H386" s="3"/>
    </row>
    <row r="387" spans="1:8" x14ac:dyDescent="0.25">
      <c r="A387" s="21">
        <v>32994</v>
      </c>
      <c r="B387" s="22"/>
      <c r="C387" s="22">
        <v>18.920000000000002</v>
      </c>
      <c r="D387" s="22">
        <v>16.440000000000001</v>
      </c>
      <c r="E387" s="22"/>
      <c r="F387" s="22"/>
      <c r="G387" s="22"/>
      <c r="H387" s="3"/>
    </row>
    <row r="388" spans="1:8" x14ac:dyDescent="0.25">
      <c r="A388" s="21">
        <v>33025</v>
      </c>
      <c r="B388" s="22"/>
      <c r="C388" s="22">
        <v>18.920000000000002</v>
      </c>
      <c r="D388" s="22">
        <v>16.440000000000001</v>
      </c>
      <c r="E388" s="22"/>
      <c r="F388" s="22"/>
      <c r="G388" s="22"/>
      <c r="H388" s="3"/>
    </row>
    <row r="389" spans="1:8" x14ac:dyDescent="0.25">
      <c r="A389" s="21">
        <v>33055</v>
      </c>
      <c r="B389" s="22"/>
      <c r="C389" s="22">
        <v>18.670000000000002</v>
      </c>
      <c r="D389" s="22">
        <v>16.440000000000001</v>
      </c>
      <c r="E389" s="22"/>
      <c r="F389" s="22"/>
      <c r="G389" s="22"/>
      <c r="H389" s="3"/>
    </row>
    <row r="390" spans="1:8" x14ac:dyDescent="0.25">
      <c r="A390" s="21">
        <v>33086</v>
      </c>
      <c r="B390" s="22"/>
      <c r="C390" s="22">
        <v>17.86</v>
      </c>
      <c r="D390" s="22">
        <v>16.38</v>
      </c>
      <c r="E390" s="22"/>
      <c r="F390" s="22"/>
      <c r="G390" s="22"/>
      <c r="H390" s="3"/>
    </row>
    <row r="391" spans="1:8" x14ac:dyDescent="0.25">
      <c r="A391" s="21">
        <v>33117</v>
      </c>
      <c r="B391" s="22"/>
      <c r="C391" s="22">
        <v>17.23</v>
      </c>
      <c r="D391" s="22">
        <v>16.190000000000001</v>
      </c>
      <c r="E391" s="22"/>
      <c r="F391" s="22"/>
      <c r="G391" s="22">
        <v>15.5</v>
      </c>
      <c r="H391" s="3"/>
    </row>
    <row r="392" spans="1:8" x14ac:dyDescent="0.25">
      <c r="A392" s="21">
        <v>33147</v>
      </c>
      <c r="B392" s="22"/>
      <c r="C392" s="22">
        <v>16.36</v>
      </c>
      <c r="D392" s="22">
        <v>16</v>
      </c>
      <c r="E392" s="22"/>
      <c r="F392" s="22"/>
      <c r="G392" s="22">
        <v>15.13</v>
      </c>
      <c r="H392" s="3"/>
    </row>
    <row r="393" spans="1:8" x14ac:dyDescent="0.25">
      <c r="A393" s="21">
        <v>33178</v>
      </c>
      <c r="B393" s="22"/>
      <c r="C393" s="22">
        <v>16.11</v>
      </c>
      <c r="D393" s="22">
        <v>15.5</v>
      </c>
      <c r="E393" s="22"/>
      <c r="F393" s="22"/>
      <c r="G393" s="22">
        <v>14.58</v>
      </c>
      <c r="H393" s="3"/>
    </row>
    <row r="394" spans="1:8" x14ac:dyDescent="0.25">
      <c r="A394" s="21">
        <v>33208</v>
      </c>
      <c r="B394" s="22"/>
      <c r="C394" s="22">
        <v>16.11</v>
      </c>
      <c r="D394" s="22">
        <v>15.13</v>
      </c>
      <c r="E394" s="22"/>
      <c r="F394" s="22"/>
      <c r="G394" s="22">
        <v>14.52</v>
      </c>
      <c r="H394" s="3"/>
    </row>
    <row r="395" spans="1:8" x14ac:dyDescent="0.25">
      <c r="A395" s="21">
        <v>33239</v>
      </c>
      <c r="B395" s="22"/>
      <c r="C395" s="22">
        <v>15.8</v>
      </c>
      <c r="D395" s="22">
        <v>14.5</v>
      </c>
      <c r="E395" s="22"/>
      <c r="F395" s="22"/>
      <c r="G395" s="22">
        <v>14.25</v>
      </c>
      <c r="H395" s="3"/>
    </row>
    <row r="396" spans="1:8" x14ac:dyDescent="0.25">
      <c r="A396" s="21">
        <v>33270</v>
      </c>
      <c r="B396" s="22"/>
      <c r="C396" s="22">
        <v>15.61</v>
      </c>
      <c r="D396" s="22">
        <v>14.5</v>
      </c>
      <c r="E396" s="22"/>
      <c r="F396" s="22"/>
      <c r="G396" s="22">
        <v>14.33</v>
      </c>
      <c r="H396" s="3"/>
    </row>
    <row r="397" spans="1:8" x14ac:dyDescent="0.25">
      <c r="A397" s="21">
        <v>33298</v>
      </c>
      <c r="B397" s="22"/>
      <c r="C397" s="22">
        <v>15.61</v>
      </c>
      <c r="D397" s="22">
        <v>14.5</v>
      </c>
      <c r="E397" s="22"/>
      <c r="F397" s="22"/>
      <c r="G397" s="22">
        <v>14.33</v>
      </c>
      <c r="H397" s="3"/>
    </row>
    <row r="398" spans="1:8" x14ac:dyDescent="0.25">
      <c r="A398" s="21">
        <v>33329</v>
      </c>
      <c r="B398" s="22"/>
      <c r="C398" s="22">
        <v>15.3</v>
      </c>
      <c r="D398" s="22">
        <v>14.38</v>
      </c>
      <c r="E398" s="22"/>
      <c r="F398" s="22"/>
      <c r="G398" s="22">
        <v>14.17</v>
      </c>
      <c r="H398" s="3"/>
    </row>
    <row r="399" spans="1:8" x14ac:dyDescent="0.25">
      <c r="A399" s="21">
        <v>33359</v>
      </c>
      <c r="B399" s="22"/>
      <c r="C399" s="22">
        <v>14.86</v>
      </c>
      <c r="D399" s="22">
        <v>13.88</v>
      </c>
      <c r="E399" s="22"/>
      <c r="F399" s="22"/>
      <c r="G399" s="22">
        <v>14.08</v>
      </c>
      <c r="H399" s="3"/>
    </row>
    <row r="400" spans="1:8" x14ac:dyDescent="0.25">
      <c r="A400" s="21">
        <v>33390</v>
      </c>
      <c r="B400" s="22"/>
      <c r="C400" s="22">
        <v>14.61</v>
      </c>
      <c r="D400" s="22">
        <v>13.19</v>
      </c>
      <c r="E400" s="22"/>
      <c r="F400" s="22"/>
      <c r="G400" s="22">
        <v>13.67</v>
      </c>
      <c r="H400" s="3"/>
    </row>
    <row r="401" spans="1:8" x14ac:dyDescent="0.25">
      <c r="A401" s="21">
        <v>33420</v>
      </c>
      <c r="B401" s="22"/>
      <c r="C401" s="22">
        <v>14.61</v>
      </c>
      <c r="D401" s="22">
        <v>13</v>
      </c>
      <c r="E401" s="22"/>
      <c r="F401" s="22"/>
      <c r="G401" s="22">
        <v>13.5</v>
      </c>
      <c r="H401" s="3"/>
    </row>
    <row r="402" spans="1:8" x14ac:dyDescent="0.25">
      <c r="A402" s="21">
        <v>33451</v>
      </c>
      <c r="B402" s="22"/>
      <c r="C402" s="22">
        <v>14.61</v>
      </c>
      <c r="D402" s="22">
        <v>13</v>
      </c>
      <c r="E402" s="22"/>
      <c r="F402" s="22"/>
      <c r="G402" s="22">
        <v>13.5</v>
      </c>
      <c r="H402" s="3"/>
    </row>
    <row r="403" spans="1:8" x14ac:dyDescent="0.25">
      <c r="A403" s="21">
        <v>33482</v>
      </c>
      <c r="B403" s="22"/>
      <c r="C403" s="22">
        <v>13.67</v>
      </c>
      <c r="D403" s="22">
        <v>13</v>
      </c>
      <c r="E403" s="22"/>
      <c r="F403" s="22"/>
      <c r="G403" s="22">
        <v>13.5</v>
      </c>
      <c r="H403" s="3"/>
    </row>
    <row r="404" spans="1:8" x14ac:dyDescent="0.25">
      <c r="A404" s="21">
        <v>33512</v>
      </c>
      <c r="B404" s="22"/>
      <c r="C404" s="22">
        <v>13.67</v>
      </c>
      <c r="D404" s="22">
        <v>12.5</v>
      </c>
      <c r="E404" s="22"/>
      <c r="F404" s="22"/>
      <c r="G404" s="22">
        <v>13.08</v>
      </c>
      <c r="H404" s="3"/>
    </row>
    <row r="405" spans="1:8" x14ac:dyDescent="0.25">
      <c r="A405" s="21">
        <v>33543</v>
      </c>
      <c r="B405" s="22"/>
      <c r="C405" s="22">
        <v>12.92</v>
      </c>
      <c r="D405" s="22">
        <v>12.5</v>
      </c>
      <c r="E405" s="22"/>
      <c r="F405" s="22"/>
      <c r="G405" s="22">
        <v>13.08</v>
      </c>
      <c r="H405" s="3"/>
    </row>
    <row r="406" spans="1:8" x14ac:dyDescent="0.25">
      <c r="A406" s="21">
        <v>33573</v>
      </c>
      <c r="B406" s="22"/>
      <c r="C406" s="22">
        <v>12.8</v>
      </c>
      <c r="D406" s="22">
        <v>12</v>
      </c>
      <c r="E406" s="22"/>
      <c r="F406" s="22"/>
      <c r="G406" s="22">
        <v>12.75</v>
      </c>
      <c r="H406" s="3"/>
    </row>
    <row r="407" spans="1:8" x14ac:dyDescent="0.25">
      <c r="A407" s="21">
        <v>33604</v>
      </c>
      <c r="B407" s="22"/>
      <c r="C407" s="22">
        <v>12.42</v>
      </c>
      <c r="D407" s="22">
        <v>11.75</v>
      </c>
      <c r="E407" s="22"/>
      <c r="F407" s="22"/>
      <c r="G407" s="22">
        <v>12.33</v>
      </c>
      <c r="H407" s="3"/>
    </row>
    <row r="408" spans="1:8" x14ac:dyDescent="0.25">
      <c r="A408" s="21">
        <v>33635</v>
      </c>
      <c r="B408" s="22"/>
      <c r="C408" s="22">
        <v>11.98</v>
      </c>
      <c r="D408" s="22">
        <v>11</v>
      </c>
      <c r="E408" s="22"/>
      <c r="F408" s="22"/>
      <c r="G408" s="22">
        <v>12.33</v>
      </c>
      <c r="H408" s="3"/>
    </row>
    <row r="409" spans="1:8" x14ac:dyDescent="0.25">
      <c r="A409" s="21">
        <v>33664</v>
      </c>
      <c r="B409" s="22"/>
      <c r="C409" s="22">
        <v>12.17</v>
      </c>
      <c r="D409" s="22">
        <v>11</v>
      </c>
      <c r="E409" s="22"/>
      <c r="F409" s="22"/>
      <c r="G409" s="22">
        <v>12.17</v>
      </c>
      <c r="H409" s="3"/>
    </row>
    <row r="410" spans="1:8" x14ac:dyDescent="0.25">
      <c r="A410" s="21">
        <v>33695</v>
      </c>
      <c r="B410" s="22"/>
      <c r="C410" s="22">
        <v>12.17</v>
      </c>
      <c r="D410" s="22">
        <v>11</v>
      </c>
      <c r="E410" s="22"/>
      <c r="F410" s="22"/>
      <c r="G410" s="22">
        <v>12.17</v>
      </c>
      <c r="H410" s="3"/>
    </row>
    <row r="411" spans="1:8" x14ac:dyDescent="0.25">
      <c r="A411" s="21">
        <v>33725</v>
      </c>
      <c r="B411" s="22"/>
      <c r="C411" s="22">
        <v>11.86</v>
      </c>
      <c r="D411" s="22">
        <v>11</v>
      </c>
      <c r="E411" s="22"/>
      <c r="F411" s="22"/>
      <c r="G411" s="22">
        <v>11.58</v>
      </c>
      <c r="H411" s="3"/>
    </row>
    <row r="412" spans="1:8" x14ac:dyDescent="0.25">
      <c r="A412" s="21">
        <v>33756</v>
      </c>
      <c r="B412" s="22"/>
      <c r="C412" s="22">
        <v>11.17</v>
      </c>
      <c r="D412" s="22">
        <v>10.38</v>
      </c>
      <c r="E412" s="22"/>
      <c r="F412" s="22"/>
      <c r="G412" s="22">
        <v>11.58</v>
      </c>
      <c r="H412" s="3"/>
    </row>
    <row r="413" spans="1:8" x14ac:dyDescent="0.25">
      <c r="A413" s="21">
        <v>33786</v>
      </c>
      <c r="B413" s="22"/>
      <c r="C413" s="22">
        <v>11.17</v>
      </c>
      <c r="D413" s="22">
        <v>10.3</v>
      </c>
      <c r="E413" s="22"/>
      <c r="F413" s="22"/>
      <c r="G413" s="22">
        <v>10.45</v>
      </c>
      <c r="H413" s="3"/>
    </row>
    <row r="414" spans="1:8" x14ac:dyDescent="0.25">
      <c r="A414" s="21">
        <v>33817</v>
      </c>
      <c r="B414" s="22"/>
      <c r="C414" s="22">
        <v>10.48</v>
      </c>
      <c r="D414" s="22">
        <v>9.98</v>
      </c>
      <c r="E414" s="22"/>
      <c r="F414" s="22"/>
      <c r="G414" s="22">
        <v>10.38</v>
      </c>
      <c r="H414" s="3"/>
    </row>
    <row r="415" spans="1:8" x14ac:dyDescent="0.25">
      <c r="A415" s="21">
        <v>33848</v>
      </c>
      <c r="B415" s="22"/>
      <c r="C415" s="22">
        <v>10.53</v>
      </c>
      <c r="D415" s="22">
        <v>9.92</v>
      </c>
      <c r="E415" s="22"/>
      <c r="F415" s="22"/>
      <c r="G415" s="22">
        <v>10.5</v>
      </c>
      <c r="H415" s="3"/>
    </row>
    <row r="416" spans="1:8" x14ac:dyDescent="0.25">
      <c r="A416" s="21">
        <v>33878</v>
      </c>
      <c r="B416" s="22"/>
      <c r="C416" s="22">
        <v>10.53</v>
      </c>
      <c r="D416" s="22">
        <v>9.92</v>
      </c>
      <c r="E416" s="22"/>
      <c r="F416" s="22"/>
      <c r="G416" s="22">
        <v>10.5</v>
      </c>
      <c r="H416" s="3"/>
    </row>
    <row r="417" spans="1:8" x14ac:dyDescent="0.25">
      <c r="A417" s="21">
        <v>33909</v>
      </c>
      <c r="B417" s="22"/>
      <c r="C417" s="22">
        <v>10.53</v>
      </c>
      <c r="D417" s="22">
        <v>9.92</v>
      </c>
      <c r="E417" s="22"/>
      <c r="F417" s="22"/>
      <c r="G417" s="22">
        <v>10.5</v>
      </c>
      <c r="H417" s="3"/>
    </row>
    <row r="418" spans="1:8" x14ac:dyDescent="0.25">
      <c r="A418" s="21">
        <v>33939</v>
      </c>
      <c r="B418" s="22"/>
      <c r="C418" s="22">
        <v>10.53</v>
      </c>
      <c r="D418" s="22">
        <v>9.92</v>
      </c>
      <c r="E418" s="22"/>
      <c r="F418" s="22"/>
      <c r="G418" s="22">
        <v>10.5</v>
      </c>
      <c r="H418" s="3"/>
    </row>
    <row r="419" spans="1:8" x14ac:dyDescent="0.25">
      <c r="A419" s="21">
        <v>33970</v>
      </c>
      <c r="B419" s="22"/>
      <c r="C419" s="22">
        <v>10.53</v>
      </c>
      <c r="D419" s="22">
        <v>9.92</v>
      </c>
      <c r="E419" s="22"/>
      <c r="F419" s="22"/>
      <c r="G419" s="22">
        <v>10.5</v>
      </c>
      <c r="H419" s="3"/>
    </row>
    <row r="420" spans="1:8" x14ac:dyDescent="0.25">
      <c r="A420" s="21">
        <v>34001</v>
      </c>
      <c r="B420" s="22"/>
      <c r="C420" s="22">
        <v>10.53</v>
      </c>
      <c r="D420" s="22">
        <v>9.92</v>
      </c>
      <c r="E420" s="22"/>
      <c r="F420" s="22"/>
      <c r="G420" s="22">
        <v>10.49</v>
      </c>
      <c r="H420" s="3"/>
    </row>
    <row r="421" spans="1:8" x14ac:dyDescent="0.25">
      <c r="A421" s="21">
        <v>34029</v>
      </c>
      <c r="B421" s="22"/>
      <c r="C421" s="22">
        <v>10.53</v>
      </c>
      <c r="D421" s="22">
        <v>9.92</v>
      </c>
      <c r="E421" s="22"/>
      <c r="F421" s="22"/>
      <c r="G421" s="22">
        <v>10.53</v>
      </c>
      <c r="H421" s="3"/>
    </row>
    <row r="422" spans="1:8" x14ac:dyDescent="0.25">
      <c r="A422" s="21">
        <v>34060</v>
      </c>
      <c r="B422" s="22"/>
      <c r="C422" s="22">
        <v>10.16</v>
      </c>
      <c r="D422" s="22">
        <v>9.7200000000000006</v>
      </c>
      <c r="E422" s="22"/>
      <c r="F422" s="22"/>
      <c r="G422" s="22">
        <v>10.220000000000001</v>
      </c>
      <c r="H422" s="3"/>
    </row>
    <row r="423" spans="1:8" x14ac:dyDescent="0.25">
      <c r="A423" s="21">
        <v>34090</v>
      </c>
      <c r="B423" s="22"/>
      <c r="C423" s="22">
        <v>10.029999999999999</v>
      </c>
      <c r="D423" s="22">
        <v>9.5</v>
      </c>
      <c r="E423" s="22"/>
      <c r="F423" s="22"/>
      <c r="G423" s="22">
        <v>9.84</v>
      </c>
      <c r="H423" s="3"/>
    </row>
    <row r="424" spans="1:8" x14ac:dyDescent="0.25">
      <c r="A424" s="21">
        <v>34121</v>
      </c>
      <c r="B424" s="22"/>
      <c r="C424" s="22">
        <v>10.01</v>
      </c>
      <c r="D424" s="22">
        <v>9.5</v>
      </c>
      <c r="E424" s="22"/>
      <c r="F424" s="22"/>
      <c r="G424" s="22">
        <v>9.7100000000000009</v>
      </c>
      <c r="H424" s="3"/>
    </row>
    <row r="425" spans="1:8" x14ac:dyDescent="0.25">
      <c r="A425" s="21">
        <v>34151</v>
      </c>
      <c r="B425" s="22"/>
      <c r="C425" s="22">
        <v>10.01</v>
      </c>
      <c r="D425" s="22">
        <v>9.5</v>
      </c>
      <c r="E425" s="22"/>
      <c r="F425" s="22"/>
      <c r="G425" s="22">
        <v>9.51</v>
      </c>
      <c r="H425" s="3"/>
    </row>
    <row r="426" spans="1:8" x14ac:dyDescent="0.25">
      <c r="A426" s="21">
        <v>34182</v>
      </c>
      <c r="B426" s="22"/>
      <c r="C426" s="22">
        <v>9.5299999999999994</v>
      </c>
      <c r="D426" s="22">
        <v>9.5</v>
      </c>
      <c r="E426" s="22"/>
      <c r="F426" s="22"/>
      <c r="G426" s="22">
        <v>9.1</v>
      </c>
      <c r="H426" s="3"/>
    </row>
    <row r="427" spans="1:8" x14ac:dyDescent="0.25">
      <c r="A427" s="21">
        <v>34213</v>
      </c>
      <c r="B427" s="22"/>
      <c r="C427" s="22">
        <v>9.5299999999999994</v>
      </c>
      <c r="D427" s="22">
        <v>8.9</v>
      </c>
      <c r="E427" s="22"/>
      <c r="F427" s="22"/>
      <c r="G427" s="22">
        <v>8.94</v>
      </c>
      <c r="H427" s="3"/>
    </row>
    <row r="428" spans="1:8" x14ac:dyDescent="0.25">
      <c r="A428" s="21">
        <v>34243</v>
      </c>
      <c r="B428" s="22"/>
      <c r="C428" s="22">
        <v>9.5299999999999994</v>
      </c>
      <c r="D428" s="22">
        <v>8.75</v>
      </c>
      <c r="E428" s="22"/>
      <c r="F428" s="22"/>
      <c r="G428" s="22">
        <v>8.92</v>
      </c>
      <c r="H428" s="3"/>
    </row>
    <row r="429" spans="1:8" x14ac:dyDescent="0.25">
      <c r="A429" s="21">
        <v>34274</v>
      </c>
      <c r="B429" s="22"/>
      <c r="C429" s="22">
        <v>9.5299999999999994</v>
      </c>
      <c r="D429" s="22">
        <v>8.75</v>
      </c>
      <c r="E429" s="22"/>
      <c r="F429" s="22"/>
      <c r="G429" s="22">
        <v>8.91</v>
      </c>
      <c r="H429" s="3"/>
    </row>
    <row r="430" spans="1:8" x14ac:dyDescent="0.25">
      <c r="A430" s="21">
        <v>34304</v>
      </c>
      <c r="B430" s="22"/>
      <c r="C430" s="22">
        <v>9.5299999999999994</v>
      </c>
      <c r="D430" s="22">
        <v>8.75</v>
      </c>
      <c r="E430" s="22"/>
      <c r="F430" s="22"/>
      <c r="G430" s="22">
        <v>8.9</v>
      </c>
      <c r="H430" s="3"/>
    </row>
    <row r="431" spans="1:8" x14ac:dyDescent="0.25">
      <c r="A431" s="21">
        <v>34335</v>
      </c>
      <c r="B431" s="22"/>
      <c r="C431" s="22">
        <v>9.5299999999999994</v>
      </c>
      <c r="D431" s="22">
        <v>8.75</v>
      </c>
      <c r="E431" s="22"/>
      <c r="F431" s="22"/>
      <c r="G431" s="22">
        <v>8.82</v>
      </c>
      <c r="H431" s="3"/>
    </row>
    <row r="432" spans="1:8" x14ac:dyDescent="0.25">
      <c r="A432" s="21">
        <v>34366</v>
      </c>
      <c r="B432" s="22"/>
      <c r="C432" s="22">
        <v>9.5299999999999994</v>
      </c>
      <c r="D432" s="22">
        <v>8.75</v>
      </c>
      <c r="E432" s="22"/>
      <c r="F432" s="22"/>
      <c r="G432" s="22">
        <v>8.75</v>
      </c>
      <c r="H432" s="3"/>
    </row>
    <row r="433" spans="1:8" x14ac:dyDescent="0.25">
      <c r="A433" s="21">
        <v>34394</v>
      </c>
      <c r="B433" s="22"/>
      <c r="C433" s="22">
        <v>9.5299999999999994</v>
      </c>
      <c r="D433" s="22">
        <v>8.75</v>
      </c>
      <c r="E433" s="22"/>
      <c r="F433" s="22"/>
      <c r="G433" s="22">
        <v>8.74</v>
      </c>
      <c r="H433" s="3"/>
    </row>
    <row r="434" spans="1:8" x14ac:dyDescent="0.25">
      <c r="A434" s="21">
        <v>34425</v>
      </c>
      <c r="B434" s="22"/>
      <c r="C434" s="22">
        <v>9.5299999999999994</v>
      </c>
      <c r="D434" s="22">
        <v>8.75</v>
      </c>
      <c r="E434" s="22"/>
      <c r="F434" s="22"/>
      <c r="G434" s="22">
        <v>9.1300000000000008</v>
      </c>
      <c r="H434" s="3"/>
    </row>
    <row r="435" spans="1:8" x14ac:dyDescent="0.25">
      <c r="A435" s="21">
        <v>34455</v>
      </c>
      <c r="B435" s="22"/>
      <c r="C435" s="22">
        <v>9.5299999999999994</v>
      </c>
      <c r="D435" s="22">
        <v>8.75</v>
      </c>
      <c r="E435" s="22"/>
      <c r="F435" s="22"/>
      <c r="G435" s="22">
        <v>9.26</v>
      </c>
      <c r="H435" s="3"/>
    </row>
    <row r="436" spans="1:8" x14ac:dyDescent="0.25">
      <c r="A436" s="21">
        <v>34486</v>
      </c>
      <c r="B436" s="22"/>
      <c r="C436" s="22">
        <v>9.5299999999999994</v>
      </c>
      <c r="D436" s="22">
        <v>8.75</v>
      </c>
      <c r="E436" s="22"/>
      <c r="F436" s="22"/>
      <c r="G436" s="22">
        <v>9.52</v>
      </c>
      <c r="H436" s="3"/>
    </row>
    <row r="437" spans="1:8" x14ac:dyDescent="0.25">
      <c r="A437" s="21">
        <v>34516</v>
      </c>
      <c r="B437" s="22"/>
      <c r="C437" s="22">
        <v>9.5299999999999994</v>
      </c>
      <c r="D437" s="22">
        <v>8.75</v>
      </c>
      <c r="E437" s="22"/>
      <c r="F437" s="22"/>
      <c r="G437" s="22">
        <v>10.17</v>
      </c>
      <c r="H437" s="3"/>
    </row>
    <row r="438" spans="1:8" x14ac:dyDescent="0.25">
      <c r="A438" s="21">
        <v>34547</v>
      </c>
      <c r="B438" s="22"/>
      <c r="C438" s="22">
        <v>9.5299999999999994</v>
      </c>
      <c r="D438" s="22">
        <v>8.75</v>
      </c>
      <c r="E438" s="22"/>
      <c r="F438" s="22"/>
      <c r="G438" s="22">
        <v>10.24</v>
      </c>
      <c r="H438" s="3"/>
    </row>
    <row r="439" spans="1:8" x14ac:dyDescent="0.25">
      <c r="A439" s="21">
        <v>34578</v>
      </c>
      <c r="B439" s="22"/>
      <c r="C439" s="22">
        <v>9.85</v>
      </c>
      <c r="D439" s="22">
        <v>9.0500000000000007</v>
      </c>
      <c r="E439" s="22"/>
      <c r="F439" s="22"/>
      <c r="G439" s="22">
        <v>10.46</v>
      </c>
      <c r="H439" s="3"/>
    </row>
    <row r="440" spans="1:8" x14ac:dyDescent="0.25">
      <c r="A440" s="21">
        <v>34608</v>
      </c>
      <c r="B440" s="22"/>
      <c r="C440" s="22">
        <v>10.02</v>
      </c>
      <c r="D440" s="22">
        <v>9.36</v>
      </c>
      <c r="E440" s="22"/>
      <c r="F440" s="22"/>
      <c r="G440" s="22">
        <v>10.53</v>
      </c>
      <c r="H440" s="3"/>
    </row>
    <row r="441" spans="1:8" x14ac:dyDescent="0.25">
      <c r="A441" s="21">
        <v>34639</v>
      </c>
      <c r="B441" s="22"/>
      <c r="C441" s="22">
        <v>10.41</v>
      </c>
      <c r="D441" s="22">
        <v>9.57</v>
      </c>
      <c r="E441" s="22"/>
      <c r="F441" s="22"/>
      <c r="G441" s="22">
        <v>10.71</v>
      </c>
      <c r="H441" s="3"/>
    </row>
    <row r="442" spans="1:8" x14ac:dyDescent="0.25">
      <c r="A442" s="21">
        <v>34669</v>
      </c>
      <c r="B442" s="22"/>
      <c r="C442" s="22">
        <v>10.91</v>
      </c>
      <c r="D442" s="22">
        <v>9.9700000000000006</v>
      </c>
      <c r="E442" s="22"/>
      <c r="F442" s="22"/>
      <c r="G442" s="22">
        <v>11.47</v>
      </c>
      <c r="H442" s="3"/>
    </row>
    <row r="443" spans="1:8" x14ac:dyDescent="0.25">
      <c r="A443" s="21">
        <v>34700</v>
      </c>
      <c r="B443" s="22"/>
      <c r="C443" s="22">
        <v>11.4</v>
      </c>
      <c r="D443" s="22">
        <v>10.56</v>
      </c>
      <c r="E443" s="22"/>
      <c r="F443" s="22"/>
      <c r="G443" s="22">
        <v>11.69</v>
      </c>
      <c r="H443" s="3"/>
    </row>
    <row r="444" spans="1:8" x14ac:dyDescent="0.25">
      <c r="A444" s="21">
        <v>34731</v>
      </c>
      <c r="B444" s="22"/>
      <c r="C444" s="22">
        <v>11.4</v>
      </c>
      <c r="D444" s="22">
        <v>10.56</v>
      </c>
      <c r="E444" s="22"/>
      <c r="F444" s="22"/>
      <c r="G444" s="22">
        <v>11.54</v>
      </c>
      <c r="H444" s="3"/>
    </row>
    <row r="445" spans="1:8" x14ac:dyDescent="0.25">
      <c r="A445" s="21">
        <v>34759</v>
      </c>
      <c r="B445" s="22"/>
      <c r="C445" s="22">
        <v>11.33</v>
      </c>
      <c r="D445" s="22">
        <v>10.56</v>
      </c>
      <c r="E445" s="22"/>
      <c r="F445" s="22"/>
      <c r="G445" s="22">
        <v>11.31</v>
      </c>
      <c r="H445" s="3"/>
    </row>
    <row r="446" spans="1:8" x14ac:dyDescent="0.25">
      <c r="A446" s="21">
        <v>34790</v>
      </c>
      <c r="B446" s="22"/>
      <c r="C446" s="22">
        <v>11.33</v>
      </c>
      <c r="D446" s="22">
        <v>10.56</v>
      </c>
      <c r="E446" s="22"/>
      <c r="F446" s="22"/>
      <c r="G446" s="22">
        <v>11</v>
      </c>
      <c r="H446" s="3"/>
    </row>
    <row r="447" spans="1:8" x14ac:dyDescent="0.25">
      <c r="A447" s="21">
        <v>34820</v>
      </c>
      <c r="B447" s="22"/>
      <c r="C447" s="22">
        <v>11.33</v>
      </c>
      <c r="D447" s="22">
        <v>10.56</v>
      </c>
      <c r="E447" s="22"/>
      <c r="F447" s="22"/>
      <c r="G447" s="22">
        <v>10.23</v>
      </c>
      <c r="H447" s="3"/>
    </row>
    <row r="448" spans="1:8" x14ac:dyDescent="0.25">
      <c r="A448" s="21">
        <v>34851</v>
      </c>
      <c r="B448" s="22"/>
      <c r="C448" s="22">
        <v>11.33</v>
      </c>
      <c r="D448" s="22">
        <v>10.49</v>
      </c>
      <c r="E448" s="22"/>
      <c r="F448" s="22"/>
      <c r="G448" s="22">
        <v>9.74</v>
      </c>
      <c r="H448" s="3"/>
    </row>
    <row r="449" spans="1:8" x14ac:dyDescent="0.25">
      <c r="A449" s="21">
        <v>34881</v>
      </c>
      <c r="B449" s="22"/>
      <c r="C449" s="22">
        <v>11.33</v>
      </c>
      <c r="D449" s="22">
        <v>10.49</v>
      </c>
      <c r="E449" s="22"/>
      <c r="F449" s="22"/>
      <c r="G449" s="22">
        <v>9.7899999999999991</v>
      </c>
      <c r="H449" s="3"/>
    </row>
    <row r="450" spans="1:8" x14ac:dyDescent="0.25">
      <c r="A450" s="21">
        <v>34912</v>
      </c>
      <c r="B450" s="22"/>
      <c r="C450" s="22">
        <v>11.33</v>
      </c>
      <c r="D450" s="22">
        <v>10.49</v>
      </c>
      <c r="E450" s="22"/>
      <c r="F450" s="22"/>
      <c r="G450" s="22">
        <v>9.82</v>
      </c>
      <c r="H450" s="3"/>
    </row>
    <row r="451" spans="1:8" x14ac:dyDescent="0.25">
      <c r="A451" s="21">
        <v>34943</v>
      </c>
      <c r="B451" s="22"/>
      <c r="C451" s="22">
        <v>11.33</v>
      </c>
      <c r="D451" s="22">
        <v>10.49</v>
      </c>
      <c r="E451" s="22"/>
      <c r="F451" s="22"/>
      <c r="G451" s="22">
        <v>9.56</v>
      </c>
      <c r="H451" s="3"/>
    </row>
    <row r="452" spans="1:8" x14ac:dyDescent="0.25">
      <c r="A452" s="21">
        <v>34973</v>
      </c>
      <c r="B452" s="22"/>
      <c r="C452" s="22">
        <v>11.33</v>
      </c>
      <c r="D452" s="22">
        <v>10.49</v>
      </c>
      <c r="E452" s="22"/>
      <c r="F452" s="22"/>
      <c r="G452" s="22">
        <v>9.43</v>
      </c>
      <c r="H452" s="3"/>
    </row>
    <row r="453" spans="1:8" x14ac:dyDescent="0.25">
      <c r="A453" s="21">
        <v>35004</v>
      </c>
      <c r="B453" s="22"/>
      <c r="C453" s="22">
        <v>11.33</v>
      </c>
      <c r="D453" s="22">
        <v>10.48</v>
      </c>
      <c r="E453" s="22"/>
      <c r="F453" s="22"/>
      <c r="G453" s="22">
        <v>9.56</v>
      </c>
      <c r="H453" s="3"/>
    </row>
    <row r="454" spans="1:8" x14ac:dyDescent="0.25">
      <c r="A454" s="21">
        <v>35034</v>
      </c>
      <c r="B454" s="22"/>
      <c r="C454" s="22">
        <v>11.4</v>
      </c>
      <c r="D454" s="22">
        <v>10.48</v>
      </c>
      <c r="E454" s="22"/>
      <c r="F454" s="22"/>
      <c r="G454" s="22">
        <v>9.5</v>
      </c>
      <c r="H454" s="3"/>
    </row>
    <row r="455" spans="1:8" x14ac:dyDescent="0.25">
      <c r="A455" s="21">
        <v>35065</v>
      </c>
      <c r="B455" s="22"/>
      <c r="C455" s="22">
        <v>11.43</v>
      </c>
      <c r="D455" s="22">
        <v>10.48</v>
      </c>
      <c r="E455" s="22"/>
      <c r="F455" s="22"/>
      <c r="G455" s="22">
        <v>9.5</v>
      </c>
      <c r="H455" s="3"/>
    </row>
    <row r="456" spans="1:8" x14ac:dyDescent="0.25">
      <c r="A456" s="21">
        <v>35096</v>
      </c>
      <c r="B456" s="22"/>
      <c r="C456" s="22">
        <v>11.48</v>
      </c>
      <c r="D456" s="22">
        <v>10.48</v>
      </c>
      <c r="E456" s="22"/>
      <c r="F456" s="22"/>
      <c r="G456" s="22">
        <v>9.3800000000000008</v>
      </c>
      <c r="H456" s="3"/>
    </row>
    <row r="457" spans="1:8" x14ac:dyDescent="0.25">
      <c r="A457" s="21">
        <v>35125</v>
      </c>
      <c r="B457" s="22"/>
      <c r="C457" s="22">
        <v>11.48</v>
      </c>
      <c r="D457" s="22">
        <v>10.48</v>
      </c>
      <c r="E457" s="22"/>
      <c r="F457" s="22"/>
      <c r="G457" s="22">
        <v>9.39</v>
      </c>
      <c r="H457" s="3"/>
    </row>
    <row r="458" spans="1:8" x14ac:dyDescent="0.25">
      <c r="A458" s="21">
        <v>35156</v>
      </c>
      <c r="B458" s="22">
        <v>10.5</v>
      </c>
      <c r="C458" s="22">
        <v>11.48</v>
      </c>
      <c r="D458" s="22">
        <v>10.48</v>
      </c>
      <c r="E458" s="22"/>
      <c r="F458" s="22"/>
      <c r="G458" s="22">
        <v>9.57</v>
      </c>
      <c r="H458" s="3"/>
    </row>
    <row r="459" spans="1:8" x14ac:dyDescent="0.25">
      <c r="A459" s="21">
        <v>35186</v>
      </c>
      <c r="B459" s="22">
        <v>10.5</v>
      </c>
      <c r="C459" s="22">
        <v>11.48</v>
      </c>
      <c r="D459" s="22">
        <v>10.48</v>
      </c>
      <c r="E459" s="22"/>
      <c r="F459" s="22"/>
      <c r="G459" s="22">
        <v>9.56</v>
      </c>
      <c r="H459" s="3"/>
    </row>
    <row r="460" spans="1:8" x14ac:dyDescent="0.25">
      <c r="A460" s="21">
        <v>35217</v>
      </c>
      <c r="B460" s="22">
        <v>10.5</v>
      </c>
      <c r="C460" s="22">
        <v>11.48</v>
      </c>
      <c r="D460" s="22">
        <v>9.91</v>
      </c>
      <c r="E460" s="22"/>
      <c r="F460" s="22"/>
      <c r="G460" s="22">
        <v>9.59</v>
      </c>
      <c r="H460" s="3"/>
    </row>
    <row r="461" spans="1:8" x14ac:dyDescent="0.25">
      <c r="A461" s="21">
        <v>35247</v>
      </c>
      <c r="B461" s="22">
        <v>10.5</v>
      </c>
      <c r="C461" s="22">
        <v>11.48</v>
      </c>
      <c r="D461" s="22">
        <v>9.91</v>
      </c>
      <c r="E461" s="22"/>
      <c r="F461" s="22"/>
      <c r="G461" s="22">
        <v>9.59</v>
      </c>
      <c r="H461" s="3"/>
    </row>
    <row r="462" spans="1:8" x14ac:dyDescent="0.25">
      <c r="A462" s="21">
        <v>35278</v>
      </c>
      <c r="B462" s="22">
        <v>9.4</v>
      </c>
      <c r="C462" s="22">
        <v>11.11</v>
      </c>
      <c r="D462" s="22">
        <v>9.61</v>
      </c>
      <c r="E462" s="22"/>
      <c r="F462" s="22"/>
      <c r="G462" s="22">
        <v>9.11</v>
      </c>
      <c r="H462" s="3"/>
    </row>
    <row r="463" spans="1:8" x14ac:dyDescent="0.25">
      <c r="A463" s="21">
        <v>35309</v>
      </c>
      <c r="B463" s="22">
        <v>9.4</v>
      </c>
      <c r="C463" s="22">
        <v>10.98</v>
      </c>
      <c r="D463" s="22">
        <v>9.2899999999999991</v>
      </c>
      <c r="E463" s="22"/>
      <c r="F463" s="22"/>
      <c r="G463" s="22">
        <v>8.76</v>
      </c>
      <c r="H463" s="3"/>
    </row>
    <row r="464" spans="1:8" x14ac:dyDescent="0.25">
      <c r="A464" s="21">
        <v>35339</v>
      </c>
      <c r="B464" s="22">
        <v>9.4</v>
      </c>
      <c r="C464" s="22">
        <v>10.98</v>
      </c>
      <c r="D464" s="22">
        <v>9.2899999999999991</v>
      </c>
      <c r="E464" s="22"/>
      <c r="F464" s="22"/>
      <c r="G464" s="22">
        <v>8.6199999999999992</v>
      </c>
      <c r="H464" s="3"/>
    </row>
    <row r="465" spans="1:8" x14ac:dyDescent="0.25">
      <c r="A465" s="21">
        <v>35370</v>
      </c>
      <c r="B465" s="22">
        <v>9.4</v>
      </c>
      <c r="C465" s="22">
        <v>10.98</v>
      </c>
      <c r="D465" s="22">
        <v>8.8800000000000008</v>
      </c>
      <c r="E465" s="22"/>
      <c r="F465" s="22"/>
      <c r="G465" s="22">
        <v>8.4700000000000006</v>
      </c>
      <c r="H465" s="3"/>
    </row>
    <row r="466" spans="1:8" x14ac:dyDescent="0.25">
      <c r="A466" s="21">
        <v>35400</v>
      </c>
      <c r="B466" s="22">
        <v>8.9499999999999993</v>
      </c>
      <c r="C466" s="22">
        <v>10.48</v>
      </c>
      <c r="D466" s="22">
        <v>8.48</v>
      </c>
      <c r="E466" s="22"/>
      <c r="F466" s="22"/>
      <c r="G466" s="22">
        <v>8.4</v>
      </c>
      <c r="H466" s="3"/>
    </row>
    <row r="467" spans="1:8" x14ac:dyDescent="0.25">
      <c r="A467" s="21">
        <v>35431</v>
      </c>
      <c r="B467" s="22">
        <v>8.4499999999999993</v>
      </c>
      <c r="C467" s="22">
        <v>9.98</v>
      </c>
      <c r="D467" s="22">
        <v>8.25</v>
      </c>
      <c r="E467" s="22"/>
      <c r="F467" s="22"/>
      <c r="G467" s="22">
        <v>8.24</v>
      </c>
      <c r="H467" s="3"/>
    </row>
    <row r="468" spans="1:8" x14ac:dyDescent="0.25">
      <c r="A468" s="21">
        <v>35462</v>
      </c>
      <c r="B468" s="22">
        <v>7.95</v>
      </c>
      <c r="C468" s="22">
        <v>9.5</v>
      </c>
      <c r="D468" s="22">
        <v>7.55</v>
      </c>
      <c r="E468" s="22"/>
      <c r="F468" s="22"/>
      <c r="G468" s="22">
        <v>8.14</v>
      </c>
      <c r="H468" s="3"/>
    </row>
    <row r="469" spans="1:8" x14ac:dyDescent="0.25">
      <c r="A469" s="21">
        <v>35490</v>
      </c>
      <c r="B469" s="22">
        <v>7.9</v>
      </c>
      <c r="C469" s="22">
        <v>9.5</v>
      </c>
      <c r="D469" s="22">
        <v>7.55</v>
      </c>
      <c r="E469" s="22"/>
      <c r="F469" s="22"/>
      <c r="G469" s="22">
        <v>8.2100000000000009</v>
      </c>
      <c r="H469" s="3"/>
    </row>
    <row r="470" spans="1:8" x14ac:dyDescent="0.25">
      <c r="A470" s="21">
        <v>35521</v>
      </c>
      <c r="B470" s="22">
        <v>7.8</v>
      </c>
      <c r="C470" s="22">
        <v>9.5</v>
      </c>
      <c r="D470" s="22">
        <v>7.55</v>
      </c>
      <c r="E470" s="22"/>
      <c r="F470" s="22"/>
      <c r="G470" s="22">
        <v>8.2899999999999991</v>
      </c>
      <c r="H470" s="3"/>
    </row>
    <row r="471" spans="1:8" x14ac:dyDescent="0.25">
      <c r="A471" s="21">
        <v>35551</v>
      </c>
      <c r="B471" s="22">
        <v>7.55</v>
      </c>
      <c r="C471" s="22">
        <v>9.36</v>
      </c>
      <c r="D471" s="22">
        <v>7.13</v>
      </c>
      <c r="E471" s="22"/>
      <c r="F471" s="22"/>
      <c r="G471" s="22">
        <v>8.31</v>
      </c>
      <c r="H471" s="3"/>
    </row>
    <row r="472" spans="1:8" x14ac:dyDescent="0.25">
      <c r="A472" s="21">
        <v>35582</v>
      </c>
      <c r="B472" s="22">
        <v>7.5</v>
      </c>
      <c r="C472" s="22">
        <v>9.23</v>
      </c>
      <c r="D472" s="22">
        <v>7.13</v>
      </c>
      <c r="E472" s="22"/>
      <c r="F472" s="22"/>
      <c r="G472" s="22">
        <v>7.68</v>
      </c>
      <c r="H472" s="3"/>
    </row>
    <row r="473" spans="1:8" x14ac:dyDescent="0.25">
      <c r="A473" s="21">
        <v>35612</v>
      </c>
      <c r="B473" s="22">
        <v>7.4</v>
      </c>
      <c r="C473" s="22">
        <v>9.0299999999999994</v>
      </c>
      <c r="D473" s="22">
        <v>7.05</v>
      </c>
      <c r="E473" s="22"/>
      <c r="F473" s="22"/>
      <c r="G473" s="22">
        <v>7.31</v>
      </c>
      <c r="H473" s="3"/>
    </row>
    <row r="474" spans="1:8" x14ac:dyDescent="0.25">
      <c r="A474" s="21">
        <v>35643</v>
      </c>
      <c r="B474" s="22">
        <v>7.3</v>
      </c>
      <c r="C474" s="22">
        <v>8.91</v>
      </c>
      <c r="D474" s="22">
        <v>6.74</v>
      </c>
      <c r="E474" s="22"/>
      <c r="F474" s="22"/>
      <c r="G474" s="22">
        <v>7.22</v>
      </c>
      <c r="H474" s="3"/>
    </row>
    <row r="475" spans="1:8" x14ac:dyDescent="0.25">
      <c r="A475" s="21">
        <v>35674</v>
      </c>
      <c r="B475" s="22">
        <v>7</v>
      </c>
      <c r="C475" s="22">
        <v>8.58</v>
      </c>
      <c r="D475" s="22">
        <v>6.74</v>
      </c>
      <c r="E475" s="22"/>
      <c r="F475" s="22"/>
      <c r="G475" s="22">
        <v>7.07</v>
      </c>
      <c r="H475" s="3"/>
    </row>
    <row r="476" spans="1:8" x14ac:dyDescent="0.25">
      <c r="A476" s="21">
        <v>35704</v>
      </c>
      <c r="B476" s="22">
        <v>7</v>
      </c>
      <c r="C476" s="22">
        <v>8.58</v>
      </c>
      <c r="D476" s="22">
        <v>6.74</v>
      </c>
      <c r="E476" s="22"/>
      <c r="F476" s="22"/>
      <c r="G476" s="22">
        <v>6.98</v>
      </c>
      <c r="H476" s="3"/>
    </row>
    <row r="477" spans="1:8" x14ac:dyDescent="0.25">
      <c r="A477" s="21">
        <v>35735</v>
      </c>
      <c r="B477" s="22">
        <v>7</v>
      </c>
      <c r="C477" s="22">
        <v>8.58</v>
      </c>
      <c r="D477" s="22">
        <v>6.74</v>
      </c>
      <c r="E477" s="22"/>
      <c r="F477" s="22"/>
      <c r="G477" s="22">
        <v>6.98</v>
      </c>
      <c r="H477" s="3"/>
    </row>
    <row r="478" spans="1:8" x14ac:dyDescent="0.25">
      <c r="A478" s="21">
        <v>35765</v>
      </c>
      <c r="B478" s="22">
        <v>7</v>
      </c>
      <c r="C478" s="22">
        <v>8.58</v>
      </c>
      <c r="D478" s="22">
        <v>6.74</v>
      </c>
      <c r="E478" s="22"/>
      <c r="F478" s="22"/>
      <c r="G478" s="22">
        <v>6.98</v>
      </c>
      <c r="H478" s="3"/>
    </row>
    <row r="479" spans="1:8" x14ac:dyDescent="0.25">
      <c r="A479" s="21">
        <v>35796</v>
      </c>
      <c r="B479" s="22">
        <v>7</v>
      </c>
      <c r="C479" s="22">
        <v>8.58</v>
      </c>
      <c r="D479" s="22">
        <v>6.74</v>
      </c>
      <c r="E479" s="22"/>
      <c r="F479" s="22"/>
      <c r="G479" s="22">
        <v>6.66</v>
      </c>
      <c r="H479" s="3"/>
    </row>
    <row r="480" spans="1:8" x14ac:dyDescent="0.25">
      <c r="A480" s="21">
        <v>35827</v>
      </c>
      <c r="B480" s="22">
        <v>7</v>
      </c>
      <c r="C480" s="22">
        <v>8.58</v>
      </c>
      <c r="D480" s="22">
        <v>6.74</v>
      </c>
      <c r="E480" s="22"/>
      <c r="F480" s="22"/>
      <c r="G480" s="22">
        <v>6.78</v>
      </c>
      <c r="H480" s="3"/>
    </row>
    <row r="481" spans="1:8" x14ac:dyDescent="0.25">
      <c r="A481" s="21">
        <v>35855</v>
      </c>
      <c r="B481" s="22">
        <v>7</v>
      </c>
      <c r="C481" s="22">
        <v>8.1999999999999993</v>
      </c>
      <c r="D481" s="22">
        <v>6.74</v>
      </c>
      <c r="E481" s="22"/>
      <c r="F481" s="22"/>
      <c r="G481" s="22">
        <v>6.81</v>
      </c>
      <c r="H481" s="3"/>
    </row>
    <row r="482" spans="1:8" x14ac:dyDescent="0.25">
      <c r="A482" s="21">
        <v>35886</v>
      </c>
      <c r="B482" s="22">
        <v>7</v>
      </c>
      <c r="C482" s="22">
        <v>7.95</v>
      </c>
      <c r="D482" s="22">
        <v>6.74</v>
      </c>
      <c r="E482" s="22"/>
      <c r="F482" s="22"/>
      <c r="G482" s="22">
        <v>6.77</v>
      </c>
      <c r="H482" s="3"/>
    </row>
    <row r="483" spans="1:8" x14ac:dyDescent="0.25">
      <c r="A483" s="21">
        <v>35916</v>
      </c>
      <c r="B483" s="22">
        <v>6.89</v>
      </c>
      <c r="C483" s="22">
        <v>7.95</v>
      </c>
      <c r="D483" s="22">
        <v>6.74</v>
      </c>
      <c r="E483" s="22"/>
      <c r="F483" s="22"/>
      <c r="G483" s="22">
        <v>6.73</v>
      </c>
      <c r="H483" s="3"/>
    </row>
    <row r="484" spans="1:8" x14ac:dyDescent="0.25">
      <c r="A484" s="21">
        <v>35947</v>
      </c>
      <c r="B484" s="22">
        <v>6.89</v>
      </c>
      <c r="C484" s="22">
        <v>7.95</v>
      </c>
      <c r="D484" s="22">
        <v>6.74</v>
      </c>
      <c r="E484" s="22"/>
      <c r="F484" s="22"/>
      <c r="G484" s="22">
        <v>6.85</v>
      </c>
      <c r="H484" s="3"/>
    </row>
    <row r="485" spans="1:8" x14ac:dyDescent="0.25">
      <c r="A485" s="21">
        <v>35977</v>
      </c>
      <c r="B485" s="22">
        <v>6.89</v>
      </c>
      <c r="C485" s="22">
        <v>7.95</v>
      </c>
      <c r="D485" s="22">
        <v>6.74</v>
      </c>
      <c r="E485" s="22"/>
      <c r="F485" s="22"/>
      <c r="G485" s="22">
        <v>6.85</v>
      </c>
      <c r="H485" s="3"/>
    </row>
    <row r="486" spans="1:8" x14ac:dyDescent="0.25">
      <c r="A486" s="21">
        <v>36008</v>
      </c>
      <c r="B486" s="22">
        <v>6.89</v>
      </c>
      <c r="C486" s="22">
        <v>7.95</v>
      </c>
      <c r="D486" s="22">
        <v>6.74</v>
      </c>
      <c r="E486" s="22"/>
      <c r="F486" s="22"/>
      <c r="G486" s="22">
        <v>6.83</v>
      </c>
      <c r="H486" s="3"/>
    </row>
    <row r="487" spans="1:8" x14ac:dyDescent="0.25">
      <c r="A487" s="21">
        <v>36039</v>
      </c>
      <c r="B487" s="22">
        <v>6.89</v>
      </c>
      <c r="C487" s="22">
        <v>7.95</v>
      </c>
      <c r="D487" s="22">
        <v>6.74</v>
      </c>
      <c r="E487" s="22"/>
      <c r="F487" s="22"/>
      <c r="G487" s="22">
        <v>6.64</v>
      </c>
      <c r="H487" s="3"/>
    </row>
    <row r="488" spans="1:8" x14ac:dyDescent="0.25">
      <c r="A488" s="21">
        <v>36069</v>
      </c>
      <c r="B488" s="22">
        <v>6.89</v>
      </c>
      <c r="C488" s="22">
        <v>7.95</v>
      </c>
      <c r="D488" s="22">
        <v>6.74</v>
      </c>
      <c r="E488" s="22"/>
      <c r="F488" s="22"/>
      <c r="G488" s="22">
        <v>6.48</v>
      </c>
      <c r="H488" s="3"/>
    </row>
    <row r="489" spans="1:8" x14ac:dyDescent="0.25">
      <c r="A489" s="21">
        <v>36100</v>
      </c>
      <c r="B489" s="22">
        <v>6.89</v>
      </c>
      <c r="C489" s="22">
        <v>7.95</v>
      </c>
      <c r="D489" s="22">
        <v>6.74</v>
      </c>
      <c r="E489" s="22"/>
      <c r="F489" s="22"/>
      <c r="G489" s="22">
        <v>6.48</v>
      </c>
      <c r="H489" s="3"/>
    </row>
    <row r="490" spans="1:8" x14ac:dyDescent="0.25">
      <c r="A490" s="21">
        <v>36130</v>
      </c>
      <c r="B490" s="22">
        <v>6.71</v>
      </c>
      <c r="C490" s="22">
        <v>7.77</v>
      </c>
      <c r="D490" s="22">
        <v>6.52</v>
      </c>
      <c r="E490" s="22"/>
      <c r="F490" s="22"/>
      <c r="G490" s="22">
        <v>6.44</v>
      </c>
      <c r="H490" s="3"/>
    </row>
    <row r="491" spans="1:8" x14ac:dyDescent="0.25">
      <c r="A491" s="21">
        <v>36161</v>
      </c>
      <c r="B491" s="22">
        <v>6.63</v>
      </c>
      <c r="C491" s="22">
        <v>7.77</v>
      </c>
      <c r="D491" s="22">
        <v>6.52</v>
      </c>
      <c r="E491" s="22"/>
      <c r="F491" s="22"/>
      <c r="G491" s="22">
        <v>6.44</v>
      </c>
      <c r="H491" s="3"/>
    </row>
    <row r="492" spans="1:8" x14ac:dyDescent="0.25">
      <c r="A492" s="21">
        <v>36192</v>
      </c>
      <c r="B492" s="22">
        <v>6.63</v>
      </c>
      <c r="C492" s="22">
        <v>7.77</v>
      </c>
      <c r="D492" s="22">
        <v>6.52</v>
      </c>
      <c r="E492" s="22"/>
      <c r="F492" s="22"/>
      <c r="G492" s="22">
        <v>6.4</v>
      </c>
      <c r="H492" s="3"/>
    </row>
    <row r="493" spans="1:8" x14ac:dyDescent="0.25">
      <c r="A493" s="21">
        <v>36220</v>
      </c>
      <c r="B493" s="22">
        <v>6.63</v>
      </c>
      <c r="C493" s="22">
        <v>7.77</v>
      </c>
      <c r="D493" s="22">
        <v>6.52</v>
      </c>
      <c r="E493" s="22"/>
      <c r="F493" s="22"/>
      <c r="G493" s="22">
        <v>6.63</v>
      </c>
      <c r="H493" s="3"/>
    </row>
    <row r="494" spans="1:8" x14ac:dyDescent="0.25">
      <c r="A494" s="21">
        <v>36251</v>
      </c>
      <c r="B494" s="22">
        <v>6.63</v>
      </c>
      <c r="C494" s="22">
        <v>7.7</v>
      </c>
      <c r="D494" s="22">
        <v>6.52</v>
      </c>
      <c r="E494" s="22"/>
      <c r="F494" s="22"/>
      <c r="G494" s="22">
        <v>6.64</v>
      </c>
      <c r="H494" s="3"/>
    </row>
    <row r="495" spans="1:8" x14ac:dyDescent="0.25">
      <c r="A495" s="21">
        <v>36281</v>
      </c>
      <c r="B495" s="22">
        <v>6.63</v>
      </c>
      <c r="C495" s="22">
        <v>7.7</v>
      </c>
      <c r="D495" s="22">
        <v>6.52</v>
      </c>
      <c r="E495" s="22"/>
      <c r="F495" s="22"/>
      <c r="G495" s="22">
        <v>6.76</v>
      </c>
      <c r="H495" s="3"/>
    </row>
    <row r="496" spans="1:8" x14ac:dyDescent="0.25">
      <c r="A496" s="21">
        <v>36312</v>
      </c>
      <c r="B496" s="22">
        <v>6.63</v>
      </c>
      <c r="C496" s="22">
        <v>7.7</v>
      </c>
      <c r="D496" s="22">
        <v>6.52</v>
      </c>
      <c r="E496" s="22"/>
      <c r="F496" s="22"/>
      <c r="G496" s="22">
        <v>6.98</v>
      </c>
      <c r="H496" s="3"/>
    </row>
    <row r="497" spans="1:8" x14ac:dyDescent="0.25">
      <c r="A497" s="21">
        <v>36342</v>
      </c>
      <c r="B497" s="22">
        <v>6.63</v>
      </c>
      <c r="C497" s="22">
        <v>7.7</v>
      </c>
      <c r="D497" s="22">
        <v>6.55</v>
      </c>
      <c r="E497" s="22"/>
      <c r="F497" s="22"/>
      <c r="G497" s="22">
        <v>6.94</v>
      </c>
      <c r="H497" s="3"/>
    </row>
    <row r="498" spans="1:8" x14ac:dyDescent="0.25">
      <c r="A498" s="21">
        <v>36373</v>
      </c>
      <c r="B498" s="22">
        <v>6.63</v>
      </c>
      <c r="C498" s="22">
        <v>7.7</v>
      </c>
      <c r="D498" s="22">
        <v>6.55</v>
      </c>
      <c r="E498" s="22"/>
      <c r="F498" s="22"/>
      <c r="G498" s="22">
        <v>7.15</v>
      </c>
      <c r="H498" s="3"/>
    </row>
    <row r="499" spans="1:8" x14ac:dyDescent="0.25">
      <c r="A499" s="21">
        <v>36404</v>
      </c>
      <c r="B499" s="22">
        <v>6.63</v>
      </c>
      <c r="C499" s="22">
        <v>7.7</v>
      </c>
      <c r="D499" s="22">
        <v>6.55</v>
      </c>
      <c r="E499" s="22"/>
      <c r="F499" s="22"/>
      <c r="G499" s="22">
        <v>7.3</v>
      </c>
      <c r="H499" s="3"/>
    </row>
    <row r="500" spans="1:8" x14ac:dyDescent="0.25">
      <c r="A500" s="21">
        <v>36434</v>
      </c>
      <c r="B500" s="22">
        <v>6.63</v>
      </c>
      <c r="C500" s="22">
        <v>7.7</v>
      </c>
      <c r="D500" s="22">
        <v>6.55</v>
      </c>
      <c r="E500" s="22"/>
      <c r="F500" s="22"/>
      <c r="G500" s="22">
        <v>7.5</v>
      </c>
      <c r="H500" s="3"/>
    </row>
    <row r="501" spans="1:8" x14ac:dyDescent="0.25">
      <c r="A501" s="21">
        <v>36465</v>
      </c>
      <c r="B501" s="22">
        <v>6.81</v>
      </c>
      <c r="C501" s="22">
        <v>7.89</v>
      </c>
      <c r="D501" s="22">
        <v>6.75</v>
      </c>
      <c r="E501" s="22"/>
      <c r="F501" s="22"/>
      <c r="G501" s="22">
        <v>7.53</v>
      </c>
      <c r="H501" s="3"/>
    </row>
    <row r="502" spans="1:8" x14ac:dyDescent="0.25">
      <c r="A502" s="21">
        <v>36495</v>
      </c>
      <c r="B502" s="22">
        <v>6.87</v>
      </c>
      <c r="C502" s="22">
        <v>7.95</v>
      </c>
      <c r="D502" s="22">
        <v>6.8</v>
      </c>
      <c r="E502" s="22"/>
      <c r="F502" s="22"/>
      <c r="G502" s="22">
        <v>7.44</v>
      </c>
      <c r="H502" s="3"/>
    </row>
    <row r="503" spans="1:8" x14ac:dyDescent="0.25">
      <c r="A503" s="21">
        <v>36526</v>
      </c>
      <c r="B503" s="22">
        <v>6.87</v>
      </c>
      <c r="C503" s="22">
        <v>8.01</v>
      </c>
      <c r="D503" s="22">
        <v>6.8</v>
      </c>
      <c r="E503" s="22"/>
      <c r="F503" s="22"/>
      <c r="G503" s="22">
        <v>7.72</v>
      </c>
      <c r="H503" s="3"/>
    </row>
    <row r="504" spans="1:8" x14ac:dyDescent="0.25">
      <c r="A504" s="21">
        <v>36557</v>
      </c>
      <c r="B504" s="22">
        <v>7.38</v>
      </c>
      <c r="C504" s="22">
        <v>8.51</v>
      </c>
      <c r="D504" s="22">
        <v>7.3</v>
      </c>
      <c r="E504" s="22"/>
      <c r="F504" s="22"/>
      <c r="G504" s="22">
        <v>7.96</v>
      </c>
      <c r="H504" s="3"/>
    </row>
    <row r="505" spans="1:8" x14ac:dyDescent="0.25">
      <c r="A505" s="21">
        <v>36586</v>
      </c>
      <c r="B505" s="22">
        <v>7.4</v>
      </c>
      <c r="C505" s="22">
        <v>8.5299999999999994</v>
      </c>
      <c r="D505" s="22">
        <v>7.3</v>
      </c>
      <c r="E505" s="22"/>
      <c r="F505" s="22"/>
      <c r="G505" s="22">
        <v>7.88</v>
      </c>
      <c r="H505" s="3"/>
    </row>
    <row r="506" spans="1:8" x14ac:dyDescent="0.25">
      <c r="A506" s="21">
        <v>36617</v>
      </c>
      <c r="B506" s="22">
        <v>7.65</v>
      </c>
      <c r="C506" s="22">
        <v>8.7799999999999994</v>
      </c>
      <c r="D506" s="22">
        <v>7.55</v>
      </c>
      <c r="E506" s="22"/>
      <c r="F506" s="22"/>
      <c r="G506" s="22">
        <v>7.86</v>
      </c>
      <c r="H506" s="3"/>
    </row>
    <row r="507" spans="1:8" x14ac:dyDescent="0.25">
      <c r="A507" s="21">
        <v>36647</v>
      </c>
      <c r="B507" s="22">
        <v>7.9</v>
      </c>
      <c r="C507" s="22">
        <v>9.09</v>
      </c>
      <c r="D507" s="22">
        <v>7.8</v>
      </c>
      <c r="E507" s="22"/>
      <c r="F507" s="22"/>
      <c r="G507" s="22">
        <v>7.9</v>
      </c>
      <c r="H507" s="3"/>
    </row>
    <row r="508" spans="1:8" x14ac:dyDescent="0.25">
      <c r="A508" s="21">
        <v>36678</v>
      </c>
      <c r="B508" s="22">
        <v>7.9</v>
      </c>
      <c r="C508" s="22">
        <v>9.09</v>
      </c>
      <c r="D508" s="22">
        <v>7.8</v>
      </c>
      <c r="E508" s="22"/>
      <c r="F508" s="22"/>
      <c r="G508" s="22">
        <v>7.75</v>
      </c>
      <c r="H508" s="3"/>
    </row>
    <row r="509" spans="1:8" x14ac:dyDescent="0.25">
      <c r="A509" s="21">
        <v>36708</v>
      </c>
      <c r="B509" s="22">
        <v>7.93</v>
      </c>
      <c r="C509" s="22">
        <v>9.14</v>
      </c>
      <c r="D509" s="22">
        <v>7.81</v>
      </c>
      <c r="E509" s="22"/>
      <c r="F509" s="22"/>
      <c r="G509" s="22">
        <v>7.62</v>
      </c>
      <c r="H509" s="3"/>
    </row>
    <row r="510" spans="1:8" x14ac:dyDescent="0.25">
      <c r="A510" s="21">
        <v>36739</v>
      </c>
      <c r="B510" s="22">
        <v>8.1999999999999993</v>
      </c>
      <c r="C510" s="22">
        <v>9.41</v>
      </c>
      <c r="D510" s="22">
        <v>8.07</v>
      </c>
      <c r="E510" s="22"/>
      <c r="F510" s="22"/>
      <c r="G510" s="22">
        <v>7.71</v>
      </c>
      <c r="H510" s="3"/>
    </row>
    <row r="511" spans="1:8" x14ac:dyDescent="0.25">
      <c r="A511" s="21">
        <v>36770</v>
      </c>
      <c r="B511" s="22">
        <v>8.1999999999999993</v>
      </c>
      <c r="C511" s="22">
        <v>9.43</v>
      </c>
      <c r="D511" s="22">
        <v>8.07</v>
      </c>
      <c r="E511" s="22"/>
      <c r="F511" s="22"/>
      <c r="G511" s="22">
        <v>7.72</v>
      </c>
      <c r="H511" s="3"/>
    </row>
    <row r="512" spans="1:8" x14ac:dyDescent="0.25">
      <c r="A512" s="21">
        <v>36800</v>
      </c>
      <c r="B512" s="22">
        <v>8.1999999999999993</v>
      </c>
      <c r="C512" s="22">
        <v>9.43</v>
      </c>
      <c r="D512" s="22">
        <v>8.07</v>
      </c>
      <c r="E512" s="22"/>
      <c r="F512" s="22"/>
      <c r="G512" s="22">
        <v>7.7</v>
      </c>
      <c r="H512" s="3"/>
    </row>
    <row r="513" spans="1:8" x14ac:dyDescent="0.25">
      <c r="A513" s="21">
        <v>36831</v>
      </c>
      <c r="B513" s="22">
        <v>8.1999999999999993</v>
      </c>
      <c r="C513" s="22">
        <v>9.43</v>
      </c>
      <c r="D513" s="22">
        <v>8.07</v>
      </c>
      <c r="E513" s="22"/>
      <c r="F513" s="22"/>
      <c r="G513" s="22">
        <v>7.65</v>
      </c>
      <c r="H513" s="3"/>
    </row>
    <row r="514" spans="1:8" x14ac:dyDescent="0.25">
      <c r="A514" s="21">
        <v>36861</v>
      </c>
      <c r="B514" s="22">
        <v>8.1999999999999993</v>
      </c>
      <c r="C514" s="22">
        <v>9.43</v>
      </c>
      <c r="D514" s="22">
        <v>8.07</v>
      </c>
      <c r="E514" s="22"/>
      <c r="F514" s="22"/>
      <c r="G514" s="22">
        <v>7.25</v>
      </c>
      <c r="H514" s="3"/>
    </row>
    <row r="515" spans="1:8" x14ac:dyDescent="0.25">
      <c r="A515" s="21">
        <v>36892</v>
      </c>
      <c r="B515" s="22">
        <v>8.1999999999999993</v>
      </c>
      <c r="C515" s="22">
        <v>9.43</v>
      </c>
      <c r="D515" s="22">
        <v>8.07</v>
      </c>
      <c r="E515" s="22"/>
      <c r="F515" s="22"/>
      <c r="G515" s="22">
        <v>6.93</v>
      </c>
      <c r="H515" s="3"/>
    </row>
    <row r="516" spans="1:8" x14ac:dyDescent="0.25">
      <c r="A516" s="21">
        <v>36923</v>
      </c>
      <c r="B516" s="22">
        <v>7.85</v>
      </c>
      <c r="C516" s="22">
        <v>9.18</v>
      </c>
      <c r="D516" s="22">
        <v>7.57</v>
      </c>
      <c r="E516" s="22"/>
      <c r="F516" s="22"/>
      <c r="G516" s="22">
        <v>6.7</v>
      </c>
      <c r="H516" s="3"/>
    </row>
    <row r="517" spans="1:8" x14ac:dyDescent="0.25">
      <c r="A517" s="21">
        <v>36951</v>
      </c>
      <c r="B517" s="22">
        <v>7.51</v>
      </c>
      <c r="C517" s="22">
        <v>8.7200000000000006</v>
      </c>
      <c r="D517" s="22">
        <v>7.32</v>
      </c>
      <c r="E517" s="22"/>
      <c r="F517" s="22"/>
      <c r="G517" s="22">
        <v>6.39</v>
      </c>
      <c r="H517" s="3"/>
    </row>
    <row r="518" spans="1:8" x14ac:dyDescent="0.25">
      <c r="A518" s="21">
        <v>36982</v>
      </c>
      <c r="B518" s="22">
        <v>7.14</v>
      </c>
      <c r="C518" s="22">
        <v>8.4700000000000006</v>
      </c>
      <c r="D518" s="22">
        <v>6.82</v>
      </c>
      <c r="E518" s="22"/>
      <c r="F518" s="22"/>
      <c r="G518" s="22">
        <v>6.37</v>
      </c>
      <c r="H518" s="3"/>
    </row>
    <row r="519" spans="1:8" x14ac:dyDescent="0.25">
      <c r="A519" s="21">
        <v>37012</v>
      </c>
      <c r="B519" s="22">
        <v>7.01</v>
      </c>
      <c r="C519" s="22">
        <v>8.2200000000000006</v>
      </c>
      <c r="D519" s="22">
        <v>6.82</v>
      </c>
      <c r="E519" s="22"/>
      <c r="F519" s="22"/>
      <c r="G519" s="22">
        <v>6.49</v>
      </c>
      <c r="H519" s="3"/>
    </row>
    <row r="520" spans="1:8" x14ac:dyDescent="0.25">
      <c r="A520" s="21">
        <v>37043</v>
      </c>
      <c r="B520" s="22">
        <v>7.01</v>
      </c>
      <c r="C520" s="22">
        <v>8.2200000000000006</v>
      </c>
      <c r="D520" s="22">
        <v>6.82</v>
      </c>
      <c r="E520" s="22"/>
      <c r="F520" s="22"/>
      <c r="G520" s="22">
        <v>6.57</v>
      </c>
      <c r="H520" s="3"/>
    </row>
    <row r="521" spans="1:8" x14ac:dyDescent="0.25">
      <c r="A521" s="21">
        <v>37073</v>
      </c>
      <c r="B521" s="22">
        <v>7.01</v>
      </c>
      <c r="C521" s="22">
        <v>8.2200000000000006</v>
      </c>
      <c r="D521" s="22">
        <v>6.82</v>
      </c>
      <c r="E521" s="22"/>
      <c r="F521" s="22"/>
      <c r="G521" s="22">
        <v>6.8</v>
      </c>
      <c r="H521" s="3"/>
    </row>
    <row r="522" spans="1:8" x14ac:dyDescent="0.25">
      <c r="A522" s="21">
        <v>37104</v>
      </c>
      <c r="B522" s="22">
        <v>7.01</v>
      </c>
      <c r="C522" s="22">
        <v>8.2200000000000006</v>
      </c>
      <c r="D522" s="22">
        <v>6.82</v>
      </c>
      <c r="E522" s="22"/>
      <c r="F522" s="22"/>
      <c r="G522" s="22">
        <v>6.78</v>
      </c>
      <c r="H522" s="3"/>
    </row>
    <row r="523" spans="1:8" x14ac:dyDescent="0.25">
      <c r="A523" s="21">
        <v>37135</v>
      </c>
      <c r="B523" s="22">
        <v>6.72</v>
      </c>
      <c r="C523" s="22">
        <v>8.0299999999999994</v>
      </c>
      <c r="D523" s="22">
        <v>6.57</v>
      </c>
      <c r="E523" s="22"/>
      <c r="F523" s="22"/>
      <c r="G523" s="22">
        <v>6.65</v>
      </c>
      <c r="H523" s="3"/>
    </row>
    <row r="524" spans="1:8" x14ac:dyDescent="0.25">
      <c r="A524" s="21">
        <v>37165</v>
      </c>
      <c r="B524" s="22">
        <v>6.47</v>
      </c>
      <c r="C524" s="22">
        <v>7.91</v>
      </c>
      <c r="D524" s="22">
        <v>6.32</v>
      </c>
      <c r="E524" s="22"/>
      <c r="F524" s="22"/>
      <c r="G524" s="22">
        <v>6.31</v>
      </c>
      <c r="H524" s="3"/>
    </row>
    <row r="525" spans="1:8" x14ac:dyDescent="0.25">
      <c r="A525" s="21">
        <v>37196</v>
      </c>
      <c r="B525" s="22">
        <v>6.47</v>
      </c>
      <c r="C525" s="22">
        <v>7.84</v>
      </c>
      <c r="D525" s="22">
        <v>6.32</v>
      </c>
      <c r="E525" s="22"/>
      <c r="F525" s="22"/>
      <c r="G525" s="22">
        <v>5.94</v>
      </c>
      <c r="H525" s="3"/>
    </row>
    <row r="526" spans="1:8" x14ac:dyDescent="0.25">
      <c r="A526" s="21">
        <v>37226</v>
      </c>
      <c r="B526" s="22">
        <v>6.29</v>
      </c>
      <c r="C526" s="22">
        <v>7.78</v>
      </c>
      <c r="D526" s="22">
        <v>6.07</v>
      </c>
      <c r="E526" s="22"/>
      <c r="F526" s="22"/>
      <c r="G526" s="22">
        <v>5.98</v>
      </c>
      <c r="H526" s="3"/>
    </row>
    <row r="527" spans="1:8" x14ac:dyDescent="0.25">
      <c r="A527" s="21">
        <v>37257</v>
      </c>
      <c r="B527" s="22">
        <v>6.29</v>
      </c>
      <c r="C527" s="22">
        <v>7.72</v>
      </c>
      <c r="D527" s="22">
        <v>6.07</v>
      </c>
      <c r="E527" s="22"/>
      <c r="F527" s="22"/>
      <c r="G527" s="22">
        <v>6.31</v>
      </c>
      <c r="H527" s="3"/>
    </row>
    <row r="528" spans="1:8" x14ac:dyDescent="0.25">
      <c r="A528" s="21">
        <v>37288</v>
      </c>
      <c r="B528" s="22">
        <v>6.24</v>
      </c>
      <c r="C528" s="22">
        <v>7.72</v>
      </c>
      <c r="D528" s="22">
        <v>6.07</v>
      </c>
      <c r="E528" s="22"/>
      <c r="F528" s="22"/>
      <c r="G528" s="22">
        <v>6.38</v>
      </c>
      <c r="H528" s="3"/>
    </row>
    <row r="529" spans="1:8" x14ac:dyDescent="0.25">
      <c r="A529" s="21">
        <v>37316</v>
      </c>
      <c r="B529" s="22">
        <v>6.24</v>
      </c>
      <c r="C529" s="22">
        <v>7.72</v>
      </c>
      <c r="D529" s="22">
        <v>6.07</v>
      </c>
      <c r="E529" s="22"/>
      <c r="F529" s="22"/>
      <c r="G529" s="22">
        <v>6.62</v>
      </c>
      <c r="H529" s="3"/>
    </row>
    <row r="530" spans="1:8" x14ac:dyDescent="0.25">
      <c r="A530" s="21">
        <v>37347</v>
      </c>
      <c r="B530" s="22">
        <v>6.24</v>
      </c>
      <c r="C530" s="22">
        <v>7.72</v>
      </c>
      <c r="D530" s="22">
        <v>6.07</v>
      </c>
      <c r="E530" s="22"/>
      <c r="F530" s="22"/>
      <c r="G530" s="22">
        <v>6.85</v>
      </c>
      <c r="H530" s="3"/>
    </row>
    <row r="531" spans="1:8" x14ac:dyDescent="0.25">
      <c r="A531" s="21">
        <v>37377</v>
      </c>
      <c r="B531" s="22">
        <v>6.49</v>
      </c>
      <c r="C531" s="22">
        <v>7.97</v>
      </c>
      <c r="D531" s="22">
        <v>6.32</v>
      </c>
      <c r="E531" s="22"/>
      <c r="F531" s="22"/>
      <c r="G531" s="22">
        <v>6.79</v>
      </c>
      <c r="H531" s="3"/>
    </row>
    <row r="532" spans="1:8" x14ac:dyDescent="0.25">
      <c r="A532" s="21">
        <v>37408</v>
      </c>
      <c r="B532" s="22">
        <v>6.74</v>
      </c>
      <c r="C532" s="22">
        <v>8.2200000000000006</v>
      </c>
      <c r="D532" s="22">
        <v>6.57</v>
      </c>
      <c r="E532" s="22"/>
      <c r="F532" s="22"/>
      <c r="G532" s="22">
        <v>6.91</v>
      </c>
      <c r="H532" s="3"/>
    </row>
    <row r="533" spans="1:8" x14ac:dyDescent="0.25">
      <c r="A533" s="21">
        <v>37438</v>
      </c>
      <c r="B533" s="22">
        <v>6.74</v>
      </c>
      <c r="C533" s="22">
        <v>8.2200000000000006</v>
      </c>
      <c r="D533" s="22">
        <v>6.57</v>
      </c>
      <c r="E533" s="22"/>
      <c r="F533" s="22"/>
      <c r="G533" s="22">
        <v>6.75</v>
      </c>
      <c r="H533" s="3"/>
    </row>
    <row r="534" spans="1:8" x14ac:dyDescent="0.25">
      <c r="A534" s="21">
        <v>37469</v>
      </c>
      <c r="B534" s="22">
        <v>6.74</v>
      </c>
      <c r="C534" s="22">
        <v>8.2200000000000006</v>
      </c>
      <c r="D534" s="22">
        <v>6.57</v>
      </c>
      <c r="E534" s="22"/>
      <c r="F534" s="22"/>
      <c r="G534" s="22">
        <v>6.57</v>
      </c>
      <c r="H534" s="3"/>
    </row>
    <row r="535" spans="1:8" x14ac:dyDescent="0.25">
      <c r="A535" s="21">
        <v>37500</v>
      </c>
      <c r="B535" s="22">
        <v>6.74</v>
      </c>
      <c r="C535" s="22">
        <v>8.2200000000000006</v>
      </c>
      <c r="D535" s="22">
        <v>6.57</v>
      </c>
      <c r="E535" s="22"/>
      <c r="F535" s="22"/>
      <c r="G535" s="22">
        <v>6.41</v>
      </c>
      <c r="H535" s="3"/>
    </row>
    <row r="536" spans="1:8" x14ac:dyDescent="0.25">
      <c r="A536" s="21">
        <v>37530</v>
      </c>
      <c r="B536" s="22">
        <v>6.74</v>
      </c>
      <c r="C536" s="22">
        <v>8.2200000000000006</v>
      </c>
      <c r="D536" s="22">
        <v>6.57</v>
      </c>
      <c r="E536" s="22"/>
      <c r="F536" s="22"/>
      <c r="G536" s="22">
        <v>6.39</v>
      </c>
      <c r="H536" s="3"/>
    </row>
    <row r="537" spans="1:8" x14ac:dyDescent="0.25">
      <c r="A537" s="21">
        <v>37561</v>
      </c>
      <c r="B537" s="22">
        <v>6.74</v>
      </c>
      <c r="C537" s="22">
        <v>8.2200000000000006</v>
      </c>
      <c r="D537" s="22">
        <v>6.57</v>
      </c>
      <c r="E537" s="22"/>
      <c r="F537" s="22"/>
      <c r="G537" s="22">
        <v>6.39</v>
      </c>
      <c r="H537" s="3"/>
    </row>
    <row r="538" spans="1:8" x14ac:dyDescent="0.25">
      <c r="A538" s="21">
        <v>37591</v>
      </c>
      <c r="B538" s="22">
        <v>6.74</v>
      </c>
      <c r="C538" s="22">
        <v>8.2200000000000006</v>
      </c>
      <c r="D538" s="22">
        <v>6.57</v>
      </c>
      <c r="E538" s="22"/>
      <c r="F538" s="22"/>
      <c r="G538" s="22">
        <v>6.39</v>
      </c>
      <c r="H538" s="3"/>
    </row>
    <row r="539" spans="1:8" x14ac:dyDescent="0.25">
      <c r="A539" s="21">
        <v>37622</v>
      </c>
      <c r="B539" s="22">
        <v>6.74</v>
      </c>
      <c r="C539" s="22">
        <v>8.2200000000000006</v>
      </c>
      <c r="D539" s="22">
        <v>6.57</v>
      </c>
      <c r="E539" s="22"/>
      <c r="F539" s="22"/>
      <c r="G539" s="22">
        <v>6.37</v>
      </c>
      <c r="H539" s="3"/>
    </row>
    <row r="540" spans="1:8" x14ac:dyDescent="0.25">
      <c r="A540" s="21">
        <v>37653</v>
      </c>
      <c r="B540" s="22">
        <v>6.74</v>
      </c>
      <c r="C540" s="22">
        <v>8.2200000000000006</v>
      </c>
      <c r="D540" s="22">
        <v>6.57</v>
      </c>
      <c r="E540" s="22"/>
      <c r="F540" s="22"/>
      <c r="G540" s="22">
        <v>6.17</v>
      </c>
      <c r="H540" s="3"/>
    </row>
    <row r="541" spans="1:8" x14ac:dyDescent="0.25">
      <c r="A541" s="21">
        <v>37681</v>
      </c>
      <c r="B541" s="22">
        <v>6.74</v>
      </c>
      <c r="C541" s="22">
        <v>8.2200000000000006</v>
      </c>
      <c r="D541" s="22">
        <v>6.57</v>
      </c>
      <c r="E541" s="22"/>
      <c r="F541" s="22"/>
      <c r="G541" s="22">
        <v>6.09</v>
      </c>
      <c r="H541" s="3"/>
    </row>
    <row r="542" spans="1:8" x14ac:dyDescent="0.25">
      <c r="A542" s="21">
        <v>37712</v>
      </c>
      <c r="B542" s="22">
        <v>6.74</v>
      </c>
      <c r="C542" s="22">
        <v>8.2200000000000006</v>
      </c>
      <c r="D542" s="22">
        <v>6.57</v>
      </c>
      <c r="E542" s="22"/>
      <c r="F542" s="22"/>
      <c r="G542" s="22">
        <v>6.09</v>
      </c>
      <c r="H542" s="3"/>
    </row>
    <row r="543" spans="1:8" x14ac:dyDescent="0.25">
      <c r="A543" s="21">
        <v>37742</v>
      </c>
      <c r="B543" s="22">
        <v>6.77</v>
      </c>
      <c r="C543" s="22">
        <v>8.2200000000000006</v>
      </c>
      <c r="D543" s="22">
        <v>6.57</v>
      </c>
      <c r="E543" s="22"/>
      <c r="F543" s="22"/>
      <c r="G543" s="22">
        <v>6.09</v>
      </c>
      <c r="H543" s="3"/>
    </row>
    <row r="544" spans="1:8" x14ac:dyDescent="0.25">
      <c r="A544" s="21">
        <v>37773</v>
      </c>
      <c r="B544" s="22">
        <v>6.77</v>
      </c>
      <c r="C544" s="22">
        <v>8.2200000000000006</v>
      </c>
      <c r="D544" s="22">
        <v>6.57</v>
      </c>
      <c r="E544" s="22"/>
      <c r="F544" s="22"/>
      <c r="G544" s="22">
        <v>5.9</v>
      </c>
      <c r="H544" s="3"/>
    </row>
    <row r="545" spans="1:8" x14ac:dyDescent="0.25">
      <c r="A545" s="21">
        <v>37803</v>
      </c>
      <c r="B545" s="22">
        <v>6.77</v>
      </c>
      <c r="C545" s="22">
        <v>8.2200000000000006</v>
      </c>
      <c r="D545" s="22">
        <v>6.57</v>
      </c>
      <c r="E545" s="22"/>
      <c r="F545" s="22"/>
      <c r="G545" s="22">
        <v>5.94</v>
      </c>
      <c r="H545" s="3"/>
    </row>
    <row r="546" spans="1:8" x14ac:dyDescent="0.25">
      <c r="A546" s="21">
        <v>37834</v>
      </c>
      <c r="B546" s="22">
        <v>6.77</v>
      </c>
      <c r="C546" s="22">
        <v>8.2200000000000006</v>
      </c>
      <c r="D546" s="22">
        <v>6.57</v>
      </c>
      <c r="E546" s="22"/>
      <c r="F546" s="22"/>
      <c r="G546" s="22">
        <v>6.15</v>
      </c>
      <c r="H546" s="3"/>
    </row>
    <row r="547" spans="1:8" x14ac:dyDescent="0.25">
      <c r="A547" s="21">
        <v>37865</v>
      </c>
      <c r="B547" s="22">
        <v>6.77</v>
      </c>
      <c r="C547" s="22">
        <v>8.2200000000000006</v>
      </c>
      <c r="D547" s="22">
        <v>6.57</v>
      </c>
      <c r="E547" s="22"/>
      <c r="F547" s="22"/>
      <c r="G547" s="22">
        <v>6.39</v>
      </c>
      <c r="H547" s="3"/>
    </row>
    <row r="548" spans="1:8" x14ac:dyDescent="0.25">
      <c r="A548" s="21">
        <v>37895</v>
      </c>
      <c r="B548" s="22">
        <v>6.77</v>
      </c>
      <c r="C548" s="22">
        <v>8.2200000000000006</v>
      </c>
      <c r="D548" s="22">
        <v>6.57</v>
      </c>
      <c r="E548" s="22"/>
      <c r="F548" s="22"/>
      <c r="G548" s="22">
        <v>6.55</v>
      </c>
      <c r="H548" s="3"/>
    </row>
    <row r="549" spans="1:8" x14ac:dyDescent="0.25">
      <c r="A549" s="21">
        <v>37926</v>
      </c>
      <c r="B549" s="22">
        <v>7.02</v>
      </c>
      <c r="C549" s="22">
        <v>8.41</v>
      </c>
      <c r="D549" s="22">
        <v>6.82</v>
      </c>
      <c r="E549" s="22"/>
      <c r="F549" s="22"/>
      <c r="G549" s="22">
        <v>6.98</v>
      </c>
      <c r="H549" s="3"/>
    </row>
    <row r="550" spans="1:8" x14ac:dyDescent="0.25">
      <c r="A550" s="21">
        <v>37956</v>
      </c>
      <c r="B550" s="22">
        <v>7.27</v>
      </c>
      <c r="C550" s="22">
        <v>8.7200000000000006</v>
      </c>
      <c r="D550" s="22">
        <v>7.07</v>
      </c>
      <c r="E550" s="22"/>
      <c r="F550" s="22"/>
      <c r="G550" s="22">
        <v>7.15</v>
      </c>
      <c r="H550" s="3"/>
    </row>
    <row r="551" spans="1:8" x14ac:dyDescent="0.25">
      <c r="A551" s="21">
        <v>37987</v>
      </c>
      <c r="B551" s="22">
        <v>7.27</v>
      </c>
      <c r="C551" s="22">
        <v>8.7200000000000006</v>
      </c>
      <c r="D551" s="22">
        <v>7.07</v>
      </c>
      <c r="E551" s="22"/>
      <c r="F551" s="22"/>
      <c r="G551" s="22">
        <v>7.06</v>
      </c>
      <c r="H551" s="3"/>
    </row>
    <row r="552" spans="1:8" x14ac:dyDescent="0.25">
      <c r="A552" s="21">
        <v>38018</v>
      </c>
      <c r="B552" s="22">
        <v>7.27</v>
      </c>
      <c r="C552" s="22">
        <v>8.7200000000000006</v>
      </c>
      <c r="D552" s="22">
        <v>7.07</v>
      </c>
      <c r="E552" s="22"/>
      <c r="F552" s="22"/>
      <c r="G552" s="22">
        <v>6.98</v>
      </c>
      <c r="H552" s="3"/>
    </row>
    <row r="553" spans="1:8" x14ac:dyDescent="0.25">
      <c r="A553" s="21">
        <v>38047</v>
      </c>
      <c r="B553" s="22">
        <v>7.27</v>
      </c>
      <c r="C553" s="22">
        <v>8.7200000000000006</v>
      </c>
      <c r="D553" s="22">
        <v>7.07</v>
      </c>
      <c r="E553" s="22"/>
      <c r="F553" s="22"/>
      <c r="G553" s="22">
        <v>6.97</v>
      </c>
      <c r="H553" s="3"/>
    </row>
    <row r="554" spans="1:8" x14ac:dyDescent="0.25">
      <c r="A554" s="21">
        <v>38078</v>
      </c>
      <c r="B554" s="22">
        <v>7.27</v>
      </c>
      <c r="C554" s="22">
        <v>8.7200000000000006</v>
      </c>
      <c r="D554" s="22">
        <v>7.07</v>
      </c>
      <c r="E554" s="22"/>
      <c r="F554" s="22"/>
      <c r="G554" s="22">
        <v>6.97</v>
      </c>
      <c r="H554" s="3"/>
    </row>
    <row r="555" spans="1:8" x14ac:dyDescent="0.25">
      <c r="A555" s="21">
        <v>38108</v>
      </c>
      <c r="B555" s="22">
        <v>7.27</v>
      </c>
      <c r="C555" s="22">
        <v>8.7200000000000006</v>
      </c>
      <c r="D555" s="22">
        <v>7.07</v>
      </c>
      <c r="E555" s="22"/>
      <c r="F555" s="22"/>
      <c r="G555" s="22">
        <v>6.97</v>
      </c>
      <c r="H555" s="3"/>
    </row>
    <row r="556" spans="1:8" x14ac:dyDescent="0.25">
      <c r="A556" s="21">
        <v>38139</v>
      </c>
      <c r="B556" s="22">
        <v>7.27</v>
      </c>
      <c r="C556" s="22">
        <v>8.7200000000000006</v>
      </c>
      <c r="D556" s="22">
        <v>7.07</v>
      </c>
      <c r="E556" s="22">
        <v>6.59</v>
      </c>
      <c r="F556" s="22"/>
      <c r="G556" s="22">
        <v>6.95</v>
      </c>
      <c r="H556" s="3"/>
    </row>
    <row r="557" spans="1:8" x14ac:dyDescent="0.25">
      <c r="A557" s="21">
        <v>38169</v>
      </c>
      <c r="B557" s="22">
        <v>7.27</v>
      </c>
      <c r="C557" s="22">
        <v>8.7200000000000006</v>
      </c>
      <c r="D557" s="22">
        <v>7.07</v>
      </c>
      <c r="E557" s="22">
        <v>6.59</v>
      </c>
      <c r="F557" s="22"/>
      <c r="G557" s="22">
        <v>6.95</v>
      </c>
      <c r="H557" s="3"/>
    </row>
    <row r="558" spans="1:8" x14ac:dyDescent="0.25">
      <c r="A558" s="21">
        <v>38200</v>
      </c>
      <c r="B558" s="22">
        <v>7.27</v>
      </c>
      <c r="C558" s="22">
        <v>8.7200000000000006</v>
      </c>
      <c r="D558" s="22">
        <v>7.07</v>
      </c>
      <c r="E558" s="22">
        <v>6.59</v>
      </c>
      <c r="F558" s="22"/>
      <c r="G558" s="22">
        <v>6.95</v>
      </c>
      <c r="H558" s="3"/>
    </row>
    <row r="559" spans="1:8" x14ac:dyDescent="0.25">
      <c r="A559" s="21">
        <v>38231</v>
      </c>
      <c r="B559" s="22">
        <v>7.27</v>
      </c>
      <c r="C559" s="22">
        <v>8.7200000000000006</v>
      </c>
      <c r="D559" s="22">
        <v>7.07</v>
      </c>
      <c r="E559" s="22">
        <v>6.59</v>
      </c>
      <c r="F559" s="22"/>
      <c r="G559" s="22">
        <v>6.84</v>
      </c>
      <c r="H559" s="3"/>
    </row>
    <row r="560" spans="1:8" x14ac:dyDescent="0.25">
      <c r="A560" s="21">
        <v>38261</v>
      </c>
      <c r="B560" s="22">
        <v>7.27</v>
      </c>
      <c r="C560" s="22">
        <v>8.7200000000000006</v>
      </c>
      <c r="D560" s="22">
        <v>7.07</v>
      </c>
      <c r="E560" s="22">
        <v>6.59</v>
      </c>
      <c r="F560" s="22"/>
      <c r="G560" s="22">
        <v>6.68</v>
      </c>
      <c r="H560" s="3"/>
    </row>
    <row r="561" spans="1:8" x14ac:dyDescent="0.25">
      <c r="A561" s="21">
        <v>38292</v>
      </c>
      <c r="B561" s="22">
        <v>7.27</v>
      </c>
      <c r="C561" s="22">
        <v>8.7200000000000006</v>
      </c>
      <c r="D561" s="22">
        <v>7.07</v>
      </c>
      <c r="E561" s="22">
        <v>6.59</v>
      </c>
      <c r="F561" s="22"/>
      <c r="G561" s="22">
        <v>6.66</v>
      </c>
      <c r="H561" s="3"/>
    </row>
    <row r="562" spans="1:8" x14ac:dyDescent="0.25">
      <c r="A562" s="21">
        <v>38322</v>
      </c>
      <c r="B562" s="22">
        <v>7.27</v>
      </c>
      <c r="C562" s="22">
        <v>8.7200000000000006</v>
      </c>
      <c r="D562" s="22">
        <v>7.07</v>
      </c>
      <c r="E562" s="22">
        <v>6.59</v>
      </c>
      <c r="F562" s="22"/>
      <c r="G562" s="22">
        <v>6.6</v>
      </c>
      <c r="H562" s="3"/>
    </row>
    <row r="563" spans="1:8" x14ac:dyDescent="0.25">
      <c r="A563" s="21">
        <v>38353</v>
      </c>
      <c r="B563" s="22">
        <v>7.27</v>
      </c>
      <c r="C563" s="22">
        <v>8.7200000000000006</v>
      </c>
      <c r="D563" s="22">
        <v>7.07</v>
      </c>
      <c r="E563" s="22">
        <v>6.59</v>
      </c>
      <c r="F563" s="22"/>
      <c r="G563" s="22">
        <v>6.6</v>
      </c>
      <c r="H563" s="3"/>
    </row>
    <row r="564" spans="1:8" x14ac:dyDescent="0.25">
      <c r="A564" s="21">
        <v>38384</v>
      </c>
      <c r="B564" s="22">
        <v>7.27</v>
      </c>
      <c r="C564" s="22">
        <v>8.7200000000000006</v>
      </c>
      <c r="D564" s="22">
        <v>7.07</v>
      </c>
      <c r="E564" s="22">
        <v>6.59</v>
      </c>
      <c r="F564" s="22"/>
      <c r="G564" s="22">
        <v>6.75</v>
      </c>
      <c r="H564" s="3"/>
    </row>
    <row r="565" spans="1:8" x14ac:dyDescent="0.25">
      <c r="A565" s="21">
        <v>38412</v>
      </c>
      <c r="B565" s="22">
        <v>7.52</v>
      </c>
      <c r="C565" s="22">
        <v>8.9700000000000006</v>
      </c>
      <c r="D565" s="22">
        <v>7.32</v>
      </c>
      <c r="E565" s="22">
        <v>6.82</v>
      </c>
      <c r="F565" s="22"/>
      <c r="G565" s="22">
        <v>6.92</v>
      </c>
      <c r="H565" s="3"/>
    </row>
    <row r="566" spans="1:8" x14ac:dyDescent="0.25">
      <c r="A566" s="21">
        <v>38443</v>
      </c>
      <c r="B566" s="22">
        <v>7.52</v>
      </c>
      <c r="C566" s="22">
        <v>8.9700000000000006</v>
      </c>
      <c r="D566" s="22">
        <v>7.32</v>
      </c>
      <c r="E566" s="22">
        <v>6.82</v>
      </c>
      <c r="F566" s="22"/>
      <c r="G566" s="22">
        <v>6.92</v>
      </c>
      <c r="H566" s="3"/>
    </row>
    <row r="567" spans="1:8" x14ac:dyDescent="0.25">
      <c r="A567" s="21">
        <v>38473</v>
      </c>
      <c r="B567" s="22">
        <v>7.52</v>
      </c>
      <c r="C567" s="22">
        <v>8.9700000000000006</v>
      </c>
      <c r="D567" s="22">
        <v>7.32</v>
      </c>
      <c r="E567" s="22">
        <v>6.78</v>
      </c>
      <c r="F567" s="22"/>
      <c r="G567" s="22">
        <v>6.86</v>
      </c>
      <c r="H567" s="3"/>
    </row>
    <row r="568" spans="1:8" x14ac:dyDescent="0.25">
      <c r="A568" s="21">
        <v>38504</v>
      </c>
      <c r="B568" s="22">
        <v>7.52</v>
      </c>
      <c r="C568" s="22">
        <v>8.9700000000000006</v>
      </c>
      <c r="D568" s="22">
        <v>7.32</v>
      </c>
      <c r="E568" s="22">
        <v>6.78</v>
      </c>
      <c r="F568" s="22"/>
      <c r="G568" s="22">
        <v>6.86</v>
      </c>
      <c r="H568" s="3"/>
    </row>
    <row r="569" spans="1:8" x14ac:dyDescent="0.25">
      <c r="A569" s="21">
        <v>38534</v>
      </c>
      <c r="B569" s="22">
        <v>7.52</v>
      </c>
      <c r="C569" s="22">
        <v>8.9700000000000006</v>
      </c>
      <c r="D569" s="22">
        <v>7.32</v>
      </c>
      <c r="E569" s="22">
        <v>6.7</v>
      </c>
      <c r="F569" s="22"/>
      <c r="G569" s="22">
        <v>6.86</v>
      </c>
      <c r="H569" s="3"/>
    </row>
    <row r="570" spans="1:8" x14ac:dyDescent="0.25">
      <c r="A570" s="21">
        <v>38565</v>
      </c>
      <c r="B570" s="22">
        <v>7.52</v>
      </c>
      <c r="C570" s="22">
        <v>8.9700000000000006</v>
      </c>
      <c r="D570" s="22">
        <v>7.32</v>
      </c>
      <c r="E570" s="22">
        <v>6.7</v>
      </c>
      <c r="F570" s="22"/>
      <c r="G570" s="22">
        <v>6.86</v>
      </c>
      <c r="H570" s="3"/>
    </row>
    <row r="571" spans="1:8" x14ac:dyDescent="0.25">
      <c r="A571" s="21">
        <v>38596</v>
      </c>
      <c r="B571" s="22">
        <v>7.52</v>
      </c>
      <c r="C571" s="22">
        <v>8.9700000000000006</v>
      </c>
      <c r="D571" s="22">
        <v>7.32</v>
      </c>
      <c r="E571" s="22">
        <v>6.68</v>
      </c>
      <c r="F571" s="22"/>
      <c r="G571" s="22">
        <v>6.56</v>
      </c>
      <c r="H571" s="3"/>
    </row>
    <row r="572" spans="1:8" x14ac:dyDescent="0.25">
      <c r="A572" s="21">
        <v>38626</v>
      </c>
      <c r="B572" s="22">
        <v>7.52</v>
      </c>
      <c r="C572" s="22">
        <v>8.9700000000000006</v>
      </c>
      <c r="D572" s="22">
        <v>7.32</v>
      </c>
      <c r="E572" s="22">
        <v>6.72</v>
      </c>
      <c r="F572" s="22"/>
      <c r="G572" s="22">
        <v>6.56</v>
      </c>
      <c r="H572" s="3"/>
    </row>
    <row r="573" spans="1:8" x14ac:dyDescent="0.25">
      <c r="A573" s="21">
        <v>38657</v>
      </c>
      <c r="B573" s="22">
        <v>7.52</v>
      </c>
      <c r="C573" s="22">
        <v>8.9700000000000006</v>
      </c>
      <c r="D573" s="22">
        <v>7.32</v>
      </c>
      <c r="E573" s="22">
        <v>6.72</v>
      </c>
      <c r="F573" s="22"/>
      <c r="G573" s="22">
        <v>6.66</v>
      </c>
      <c r="H573" s="3"/>
    </row>
    <row r="574" spans="1:8" x14ac:dyDescent="0.25">
      <c r="A574" s="21">
        <v>38687</v>
      </c>
      <c r="B574" s="22">
        <v>7.52</v>
      </c>
      <c r="C574" s="22">
        <v>8.9700000000000006</v>
      </c>
      <c r="D574" s="22">
        <v>7.32</v>
      </c>
      <c r="E574" s="22">
        <v>6.72</v>
      </c>
      <c r="F574" s="22"/>
      <c r="G574" s="22">
        <v>6.72</v>
      </c>
      <c r="H574" s="3"/>
    </row>
    <row r="575" spans="1:8" x14ac:dyDescent="0.25">
      <c r="A575" s="21">
        <v>38718</v>
      </c>
      <c r="B575" s="22">
        <v>7.55</v>
      </c>
      <c r="C575" s="22">
        <v>8.9700000000000006</v>
      </c>
      <c r="D575" s="22">
        <v>7.32</v>
      </c>
      <c r="E575" s="22">
        <v>6.72</v>
      </c>
      <c r="F575" s="22"/>
      <c r="G575" s="22">
        <v>6.69</v>
      </c>
      <c r="H575" s="3"/>
    </row>
    <row r="576" spans="1:8" x14ac:dyDescent="0.25">
      <c r="A576" s="21">
        <v>38749</v>
      </c>
      <c r="B576" s="22">
        <v>7.55</v>
      </c>
      <c r="C576" s="22">
        <v>8.9700000000000006</v>
      </c>
      <c r="D576" s="22">
        <v>7.32</v>
      </c>
      <c r="E576" s="22">
        <v>6.64</v>
      </c>
      <c r="F576" s="22"/>
      <c r="G576" s="22">
        <v>6.69</v>
      </c>
      <c r="H576" s="3"/>
    </row>
    <row r="577" spans="1:8" x14ac:dyDescent="0.25">
      <c r="A577" s="21">
        <v>38777</v>
      </c>
      <c r="B577" s="22">
        <v>7.55</v>
      </c>
      <c r="C577" s="22">
        <v>8.9700000000000006</v>
      </c>
      <c r="D577" s="22">
        <v>7.32</v>
      </c>
      <c r="E577" s="22">
        <v>6.64</v>
      </c>
      <c r="F577" s="22"/>
      <c r="G577" s="22">
        <v>6.65</v>
      </c>
      <c r="H577" s="3"/>
    </row>
    <row r="578" spans="1:8" x14ac:dyDescent="0.25">
      <c r="A578" s="21">
        <v>38808</v>
      </c>
      <c r="B578" s="22">
        <v>7.55</v>
      </c>
      <c r="C578" s="22">
        <v>8.9700000000000006</v>
      </c>
      <c r="D578" s="22">
        <v>7.32</v>
      </c>
      <c r="E578" s="22">
        <v>6.68</v>
      </c>
      <c r="F578" s="22"/>
      <c r="G578" s="22">
        <v>6.83</v>
      </c>
      <c r="H578" s="3"/>
    </row>
    <row r="579" spans="1:8" x14ac:dyDescent="0.25">
      <c r="A579" s="21">
        <v>38838</v>
      </c>
      <c r="B579" s="22">
        <v>7.8</v>
      </c>
      <c r="C579" s="22">
        <v>9.2200000000000006</v>
      </c>
      <c r="D579" s="22">
        <v>7.57</v>
      </c>
      <c r="E579" s="22">
        <v>6.93</v>
      </c>
      <c r="F579" s="22"/>
      <c r="G579" s="22">
        <v>7.01</v>
      </c>
      <c r="H579" s="3"/>
    </row>
    <row r="580" spans="1:8" x14ac:dyDescent="0.25">
      <c r="A580" s="21">
        <v>38869</v>
      </c>
      <c r="B580" s="22">
        <v>7.8</v>
      </c>
      <c r="C580" s="22">
        <v>9.2200000000000006</v>
      </c>
      <c r="D580" s="22">
        <v>7.57</v>
      </c>
      <c r="E580" s="22">
        <v>6.93</v>
      </c>
      <c r="F580" s="22"/>
      <c r="G580" s="22">
        <v>7.05</v>
      </c>
      <c r="H580" s="3"/>
    </row>
    <row r="581" spans="1:8" x14ac:dyDescent="0.25">
      <c r="A581" s="21">
        <v>38899</v>
      </c>
      <c r="B581" s="22">
        <v>7.8</v>
      </c>
      <c r="C581" s="22">
        <v>9.2200000000000006</v>
      </c>
      <c r="D581" s="22">
        <v>7.57</v>
      </c>
      <c r="E581" s="22">
        <v>6.97</v>
      </c>
      <c r="F581" s="22"/>
      <c r="G581" s="22">
        <v>7.2</v>
      </c>
      <c r="H581" s="3"/>
    </row>
    <row r="582" spans="1:8" x14ac:dyDescent="0.25">
      <c r="A582" s="21">
        <v>38930</v>
      </c>
      <c r="B582" s="22">
        <v>8.0500000000000007</v>
      </c>
      <c r="C582" s="22">
        <v>9.4700000000000006</v>
      </c>
      <c r="D582" s="22">
        <v>7.82</v>
      </c>
      <c r="E582" s="22">
        <v>7.22</v>
      </c>
      <c r="F582" s="22"/>
      <c r="G582" s="22">
        <v>7.32</v>
      </c>
      <c r="H582" s="3"/>
    </row>
    <row r="583" spans="1:8" x14ac:dyDescent="0.25">
      <c r="A583" s="21">
        <v>38961</v>
      </c>
      <c r="B583" s="22">
        <v>8.0500000000000007</v>
      </c>
      <c r="C583" s="22">
        <v>9.4700000000000006</v>
      </c>
      <c r="D583" s="22">
        <v>7.82</v>
      </c>
      <c r="E583" s="22">
        <v>7.22</v>
      </c>
      <c r="F583" s="22"/>
      <c r="G583" s="22">
        <v>7.27</v>
      </c>
      <c r="H583" s="3"/>
    </row>
    <row r="584" spans="1:8" x14ac:dyDescent="0.25">
      <c r="A584" s="21">
        <v>38991</v>
      </c>
      <c r="B584" s="22">
        <v>8.0500000000000007</v>
      </c>
      <c r="C584" s="22">
        <v>9.4700000000000006</v>
      </c>
      <c r="D584" s="22">
        <v>7.82</v>
      </c>
      <c r="E584" s="22">
        <v>7.22</v>
      </c>
      <c r="F584" s="22"/>
      <c r="G584" s="22">
        <v>7.24</v>
      </c>
      <c r="H584" s="3"/>
    </row>
    <row r="585" spans="1:8" x14ac:dyDescent="0.25">
      <c r="A585" s="21">
        <v>39022</v>
      </c>
      <c r="B585" s="22">
        <v>8.3000000000000007</v>
      </c>
      <c r="C585" s="22">
        <v>9.7200000000000006</v>
      </c>
      <c r="D585" s="22">
        <v>8.07</v>
      </c>
      <c r="E585" s="22">
        <v>7.43</v>
      </c>
      <c r="F585" s="22"/>
      <c r="G585" s="22">
        <v>7.23</v>
      </c>
      <c r="H585" s="3"/>
    </row>
    <row r="586" spans="1:8" x14ac:dyDescent="0.25">
      <c r="A586" s="21">
        <v>39052</v>
      </c>
      <c r="B586" s="22">
        <v>8.3000000000000007</v>
      </c>
      <c r="C586" s="22">
        <v>9.7200000000000006</v>
      </c>
      <c r="D586" s="22">
        <v>8.07</v>
      </c>
      <c r="E586" s="22">
        <v>7.47</v>
      </c>
      <c r="F586" s="22"/>
      <c r="G586" s="22">
        <v>7.26</v>
      </c>
      <c r="H586" s="3"/>
    </row>
    <row r="587" spans="1:8" x14ac:dyDescent="0.25">
      <c r="A587" s="21">
        <v>39083</v>
      </c>
      <c r="B587" s="22">
        <v>8.3000000000000007</v>
      </c>
      <c r="C587" s="22">
        <v>9.7200000000000006</v>
      </c>
      <c r="D587" s="22">
        <v>8.07</v>
      </c>
      <c r="E587" s="22">
        <v>7.47</v>
      </c>
      <c r="F587" s="22"/>
      <c r="G587" s="22">
        <v>7.3</v>
      </c>
      <c r="H587" s="3"/>
    </row>
    <row r="588" spans="1:8" x14ac:dyDescent="0.25">
      <c r="A588" s="21">
        <v>39114</v>
      </c>
      <c r="B588" s="22">
        <v>8.3000000000000007</v>
      </c>
      <c r="C588" s="22">
        <v>9.7200000000000006</v>
      </c>
      <c r="D588" s="22">
        <v>8.07</v>
      </c>
      <c r="E588" s="22">
        <v>7.47</v>
      </c>
      <c r="F588" s="22"/>
      <c r="G588" s="22">
        <v>7.3</v>
      </c>
      <c r="H588" s="3"/>
    </row>
    <row r="589" spans="1:8" x14ac:dyDescent="0.25">
      <c r="A589" s="21">
        <v>39142</v>
      </c>
      <c r="B589" s="22">
        <v>8.3000000000000007</v>
      </c>
      <c r="C589" s="22">
        <v>9.7200000000000006</v>
      </c>
      <c r="D589" s="22">
        <v>8.07</v>
      </c>
      <c r="E589" s="22">
        <v>7.47</v>
      </c>
      <c r="F589" s="22"/>
      <c r="G589" s="22">
        <v>7.3</v>
      </c>
      <c r="H589" s="3"/>
    </row>
    <row r="590" spans="1:8" x14ac:dyDescent="0.25">
      <c r="A590" s="21">
        <v>39173</v>
      </c>
      <c r="B590" s="22">
        <v>8.3000000000000007</v>
      </c>
      <c r="C590" s="22">
        <v>9.7200000000000006</v>
      </c>
      <c r="D590" s="22">
        <v>8.07</v>
      </c>
      <c r="E590" s="22">
        <v>7.47</v>
      </c>
      <c r="F590" s="22"/>
      <c r="G590" s="22">
        <v>7.45</v>
      </c>
      <c r="H590" s="3"/>
    </row>
    <row r="591" spans="1:8" x14ac:dyDescent="0.25">
      <c r="A591" s="21">
        <v>39203</v>
      </c>
      <c r="B591" s="22">
        <v>8.3000000000000007</v>
      </c>
      <c r="C591" s="22">
        <v>9.7200000000000006</v>
      </c>
      <c r="D591" s="22">
        <v>8.07</v>
      </c>
      <c r="E591" s="22">
        <v>7.47</v>
      </c>
      <c r="F591" s="22"/>
      <c r="G591" s="22">
        <v>7.44</v>
      </c>
      <c r="H591" s="3"/>
    </row>
    <row r="592" spans="1:8" x14ac:dyDescent="0.25">
      <c r="A592" s="21">
        <v>39234</v>
      </c>
      <c r="B592" s="22">
        <v>8.3000000000000007</v>
      </c>
      <c r="C592" s="22">
        <v>9.7200000000000006</v>
      </c>
      <c r="D592" s="22">
        <v>8.07</v>
      </c>
      <c r="E592" s="22">
        <v>7.47</v>
      </c>
      <c r="F592" s="22"/>
      <c r="G592" s="22">
        <v>7.51</v>
      </c>
      <c r="H592" s="3"/>
    </row>
    <row r="593" spans="1:8" x14ac:dyDescent="0.25">
      <c r="A593" s="21">
        <v>39264</v>
      </c>
      <c r="B593" s="22">
        <v>8.3000000000000007</v>
      </c>
      <c r="C593" s="22">
        <v>9.7200000000000006</v>
      </c>
      <c r="D593" s="22">
        <v>8.07</v>
      </c>
      <c r="E593" s="22">
        <v>7.47</v>
      </c>
      <c r="F593" s="22"/>
      <c r="G593" s="22">
        <v>7.69</v>
      </c>
      <c r="H593" s="3"/>
    </row>
    <row r="594" spans="1:8" x14ac:dyDescent="0.25">
      <c r="A594" s="21">
        <v>39295</v>
      </c>
      <c r="B594" s="22">
        <v>8.5500000000000007</v>
      </c>
      <c r="C594" s="22">
        <v>9.9700000000000006</v>
      </c>
      <c r="D594" s="22">
        <v>8.32</v>
      </c>
      <c r="E594" s="22">
        <v>7.72</v>
      </c>
      <c r="F594" s="22"/>
      <c r="G594" s="22">
        <v>7.81</v>
      </c>
      <c r="H594" s="3"/>
    </row>
    <row r="595" spans="1:8" x14ac:dyDescent="0.25">
      <c r="A595" s="21">
        <v>39326</v>
      </c>
      <c r="B595" s="22">
        <v>8.5500000000000007</v>
      </c>
      <c r="C595" s="22">
        <v>9.9700000000000006</v>
      </c>
      <c r="D595" s="22">
        <v>8.32</v>
      </c>
      <c r="E595" s="22">
        <v>7.72</v>
      </c>
      <c r="F595" s="22"/>
      <c r="G595" s="22">
        <v>7.76</v>
      </c>
      <c r="H595" s="3"/>
    </row>
    <row r="596" spans="1:8" x14ac:dyDescent="0.25">
      <c r="A596" s="21">
        <v>39356</v>
      </c>
      <c r="B596" s="22">
        <v>8.57</v>
      </c>
      <c r="C596" s="22">
        <v>9.99</v>
      </c>
      <c r="D596" s="22">
        <v>8.32</v>
      </c>
      <c r="E596" s="22">
        <v>7.72</v>
      </c>
      <c r="F596" s="22"/>
      <c r="G596" s="22">
        <v>7.83</v>
      </c>
      <c r="H596" s="3"/>
    </row>
    <row r="597" spans="1:8" x14ac:dyDescent="0.25">
      <c r="A597" s="21">
        <v>39387</v>
      </c>
      <c r="B597" s="22">
        <v>8.82</v>
      </c>
      <c r="C597" s="22">
        <v>10.28</v>
      </c>
      <c r="D597" s="22">
        <v>8.57</v>
      </c>
      <c r="E597" s="22">
        <v>7.97</v>
      </c>
      <c r="F597" s="22"/>
      <c r="G597" s="22">
        <v>8.19</v>
      </c>
      <c r="H597" s="3"/>
    </row>
    <row r="598" spans="1:8" x14ac:dyDescent="0.25">
      <c r="A598" s="21">
        <v>39417</v>
      </c>
      <c r="B598" s="22">
        <v>8.9700000000000006</v>
      </c>
      <c r="C598" s="22">
        <v>10.43</v>
      </c>
      <c r="D598" s="22">
        <v>8.57</v>
      </c>
      <c r="E598" s="22">
        <v>7.97</v>
      </c>
      <c r="F598" s="22"/>
      <c r="G598" s="22">
        <v>8.35</v>
      </c>
      <c r="H598" s="3"/>
    </row>
    <row r="599" spans="1:8" x14ac:dyDescent="0.25">
      <c r="A599" s="21">
        <v>39448</v>
      </c>
      <c r="B599" s="22">
        <v>9.07</v>
      </c>
      <c r="C599" s="22">
        <v>10.53</v>
      </c>
      <c r="D599" s="22">
        <v>8.7200000000000006</v>
      </c>
      <c r="E599" s="22">
        <v>8.1</v>
      </c>
      <c r="F599" s="22"/>
      <c r="G599" s="22">
        <v>8.4700000000000006</v>
      </c>
      <c r="H599" s="3"/>
    </row>
    <row r="600" spans="1:8" x14ac:dyDescent="0.25">
      <c r="A600" s="21">
        <v>39479</v>
      </c>
      <c r="B600" s="22">
        <v>9.36</v>
      </c>
      <c r="C600" s="22">
        <v>10.85</v>
      </c>
      <c r="D600" s="22">
        <v>8.99</v>
      </c>
      <c r="E600" s="22">
        <v>8.33</v>
      </c>
      <c r="F600" s="22"/>
      <c r="G600" s="22">
        <v>8.7200000000000006</v>
      </c>
      <c r="H600" s="3"/>
    </row>
    <row r="601" spans="1:8" x14ac:dyDescent="0.25">
      <c r="A601" s="21">
        <v>39508</v>
      </c>
      <c r="B601" s="22">
        <v>9.7200000000000006</v>
      </c>
      <c r="C601" s="22">
        <v>11.21</v>
      </c>
      <c r="D601" s="22">
        <v>9.34</v>
      </c>
      <c r="E601" s="22">
        <v>8.6999999999999993</v>
      </c>
      <c r="F601" s="22"/>
      <c r="G601" s="22">
        <v>8.9499999999999993</v>
      </c>
      <c r="H601" s="3"/>
    </row>
    <row r="602" spans="1:8" x14ac:dyDescent="0.25">
      <c r="A602" s="21">
        <v>39539</v>
      </c>
      <c r="B602" s="22">
        <v>9.86</v>
      </c>
      <c r="C602" s="22">
        <v>11.35</v>
      </c>
      <c r="D602" s="22">
        <v>9.44</v>
      </c>
      <c r="E602" s="22">
        <v>8.82</v>
      </c>
      <c r="F602" s="22"/>
      <c r="G602" s="22">
        <v>8.9700000000000006</v>
      </c>
      <c r="H602" s="3"/>
    </row>
    <row r="603" spans="1:8" x14ac:dyDescent="0.25">
      <c r="A603" s="21">
        <v>39569</v>
      </c>
      <c r="B603" s="22">
        <v>9.89</v>
      </c>
      <c r="C603" s="22">
        <v>11.37</v>
      </c>
      <c r="D603" s="22">
        <v>9.4600000000000009</v>
      </c>
      <c r="E603" s="22">
        <v>8.84</v>
      </c>
      <c r="F603" s="22"/>
      <c r="G603" s="22">
        <v>8.9700000000000006</v>
      </c>
      <c r="H603" s="3"/>
    </row>
    <row r="604" spans="1:8" x14ac:dyDescent="0.25">
      <c r="A604" s="21">
        <v>39600</v>
      </c>
      <c r="B604" s="22">
        <v>9.99</v>
      </c>
      <c r="C604" s="22">
        <v>11.47</v>
      </c>
      <c r="D604" s="22">
        <v>9.4600000000000009</v>
      </c>
      <c r="E604" s="22">
        <v>8.84</v>
      </c>
      <c r="F604" s="22"/>
      <c r="G604" s="22">
        <v>9.3000000000000007</v>
      </c>
      <c r="H604" s="3"/>
    </row>
    <row r="605" spans="1:8" x14ac:dyDescent="0.25">
      <c r="A605" s="21">
        <v>39630</v>
      </c>
      <c r="B605" s="22">
        <v>10.1</v>
      </c>
      <c r="C605" s="22">
        <v>11.58</v>
      </c>
      <c r="D605" s="22">
        <v>9.6199999999999992</v>
      </c>
      <c r="E605" s="22">
        <v>8.9600000000000009</v>
      </c>
      <c r="F605" s="22"/>
      <c r="G605" s="22">
        <v>9.42</v>
      </c>
      <c r="H605" s="3"/>
    </row>
    <row r="606" spans="1:8" x14ac:dyDescent="0.25">
      <c r="A606" s="21">
        <v>39661</v>
      </c>
      <c r="B606" s="22">
        <v>10.1</v>
      </c>
      <c r="C606" s="22">
        <v>11.58</v>
      </c>
      <c r="D606" s="22">
        <v>9.6199999999999992</v>
      </c>
      <c r="E606" s="22">
        <v>8.9600000000000009</v>
      </c>
      <c r="F606" s="22"/>
      <c r="G606" s="22">
        <v>8.89</v>
      </c>
      <c r="H606" s="3"/>
    </row>
    <row r="607" spans="1:8" x14ac:dyDescent="0.25">
      <c r="A607" s="21">
        <v>39692</v>
      </c>
      <c r="B607" s="22">
        <v>9.9700000000000006</v>
      </c>
      <c r="C607" s="22">
        <v>11.46</v>
      </c>
      <c r="D607" s="22">
        <v>9.36</v>
      </c>
      <c r="E607" s="22">
        <v>8.76</v>
      </c>
      <c r="F607" s="22"/>
      <c r="G607" s="22">
        <v>8.48</v>
      </c>
      <c r="H607" s="3"/>
    </row>
    <row r="608" spans="1:8" x14ac:dyDescent="0.25">
      <c r="A608" s="21">
        <v>39722</v>
      </c>
      <c r="B608" s="22">
        <v>9.41</v>
      </c>
      <c r="C608" s="22">
        <v>10.93</v>
      </c>
      <c r="D608" s="22">
        <v>8.34</v>
      </c>
      <c r="E608" s="22">
        <v>7.7</v>
      </c>
      <c r="F608" s="22"/>
      <c r="G608" s="22">
        <v>7.29</v>
      </c>
      <c r="H608" s="3"/>
    </row>
    <row r="609" spans="1:8" x14ac:dyDescent="0.25">
      <c r="A609" s="21">
        <v>39753</v>
      </c>
      <c r="B609" s="22">
        <v>9.2100000000000009</v>
      </c>
      <c r="C609" s="22">
        <v>10.73</v>
      </c>
      <c r="D609" s="22">
        <v>7.73</v>
      </c>
      <c r="E609" s="22">
        <v>7.09</v>
      </c>
      <c r="F609" s="22"/>
      <c r="G609" s="22">
        <v>6.91</v>
      </c>
      <c r="H609" s="3"/>
    </row>
    <row r="610" spans="1:8" x14ac:dyDescent="0.25">
      <c r="A610" s="21">
        <v>39783</v>
      </c>
      <c r="B610" s="22">
        <v>8.35</v>
      </c>
      <c r="C610" s="22">
        <v>9.93</v>
      </c>
      <c r="D610" s="22">
        <v>6.84</v>
      </c>
      <c r="E610" s="22">
        <v>6.2</v>
      </c>
      <c r="F610" s="22"/>
      <c r="G610" s="22">
        <v>6.25</v>
      </c>
      <c r="H610" s="3"/>
    </row>
    <row r="611" spans="1:8" x14ac:dyDescent="0.25">
      <c r="A611" s="21">
        <v>39814</v>
      </c>
      <c r="B611" s="22">
        <v>8.2799999999999994</v>
      </c>
      <c r="C611" s="22">
        <v>9.93</v>
      </c>
      <c r="D611" s="22">
        <v>6.84</v>
      </c>
      <c r="E611" s="22">
        <v>6.2</v>
      </c>
      <c r="F611" s="22"/>
      <c r="G611" s="22">
        <v>5.83</v>
      </c>
      <c r="H611" s="3"/>
    </row>
    <row r="612" spans="1:8" x14ac:dyDescent="0.25">
      <c r="A612" s="21">
        <v>39845</v>
      </c>
      <c r="B612" s="22">
        <v>7.28</v>
      </c>
      <c r="C612" s="22">
        <v>8.93</v>
      </c>
      <c r="D612" s="22">
        <v>5.84</v>
      </c>
      <c r="E612" s="22">
        <v>5.18</v>
      </c>
      <c r="F612" s="22"/>
      <c r="G612" s="22">
        <v>5.67</v>
      </c>
      <c r="H612" s="3"/>
    </row>
    <row r="613" spans="1:8" x14ac:dyDescent="0.25">
      <c r="A613" s="21">
        <v>39873</v>
      </c>
      <c r="B613" s="22">
        <v>7.22</v>
      </c>
      <c r="C613" s="22">
        <v>8.93</v>
      </c>
      <c r="D613" s="22">
        <v>5.84</v>
      </c>
      <c r="E613" s="22">
        <v>5.18</v>
      </c>
      <c r="F613" s="22"/>
      <c r="G613" s="22">
        <v>5.59</v>
      </c>
      <c r="H613" s="3"/>
    </row>
    <row r="614" spans="1:8" x14ac:dyDescent="0.25">
      <c r="A614" s="21">
        <v>39904</v>
      </c>
      <c r="B614" s="22">
        <v>7.08</v>
      </c>
      <c r="C614" s="22">
        <v>8.81</v>
      </c>
      <c r="D614" s="22">
        <v>5.76</v>
      </c>
      <c r="E614" s="22">
        <v>5.12</v>
      </c>
      <c r="F614" s="22"/>
      <c r="G614" s="22">
        <v>5.87</v>
      </c>
      <c r="H614" s="3"/>
    </row>
    <row r="615" spans="1:8" x14ac:dyDescent="0.25">
      <c r="A615" s="21">
        <v>39934</v>
      </c>
      <c r="B615" s="22">
        <v>7.08</v>
      </c>
      <c r="C615" s="22">
        <v>8.81</v>
      </c>
      <c r="D615" s="22">
        <v>5.76</v>
      </c>
      <c r="E615" s="22">
        <v>5.12</v>
      </c>
      <c r="F615" s="22"/>
      <c r="G615" s="22">
        <v>6.06</v>
      </c>
      <c r="H615" s="3"/>
    </row>
    <row r="616" spans="1:8" x14ac:dyDescent="0.25">
      <c r="A616" s="21">
        <v>39965</v>
      </c>
      <c r="B616" s="22">
        <v>7.11</v>
      </c>
      <c r="C616" s="22">
        <v>8.81</v>
      </c>
      <c r="D616" s="22">
        <v>5.78</v>
      </c>
      <c r="E616" s="22">
        <v>5.14</v>
      </c>
      <c r="F616" s="22"/>
      <c r="G616" s="22">
        <v>6.52</v>
      </c>
      <c r="H616" s="3"/>
    </row>
    <row r="617" spans="1:8" x14ac:dyDescent="0.25">
      <c r="A617" s="21">
        <v>39995</v>
      </c>
      <c r="B617" s="22">
        <v>7.11</v>
      </c>
      <c r="C617" s="22">
        <v>8.81</v>
      </c>
      <c r="D617" s="22">
        <v>5.78</v>
      </c>
      <c r="E617" s="22">
        <v>5.14</v>
      </c>
      <c r="F617" s="22"/>
      <c r="G617" s="22">
        <v>6.52</v>
      </c>
      <c r="H617" s="3"/>
    </row>
    <row r="618" spans="1:8" x14ac:dyDescent="0.25">
      <c r="A618" s="21">
        <v>40026</v>
      </c>
      <c r="B618" s="22">
        <v>7.11</v>
      </c>
      <c r="C618" s="22">
        <v>8.81</v>
      </c>
      <c r="D618" s="22">
        <v>5.78</v>
      </c>
      <c r="E618" s="22">
        <v>5.14</v>
      </c>
      <c r="F618" s="22"/>
      <c r="G618" s="22">
        <v>7.01</v>
      </c>
      <c r="H618" s="3"/>
    </row>
    <row r="619" spans="1:8" x14ac:dyDescent="0.25">
      <c r="A619" s="21">
        <v>40057</v>
      </c>
      <c r="B619" s="22">
        <v>7.11</v>
      </c>
      <c r="C619" s="22">
        <v>8.81</v>
      </c>
      <c r="D619" s="22">
        <v>5.78</v>
      </c>
      <c r="E619" s="22">
        <v>5.14</v>
      </c>
      <c r="F619" s="22"/>
      <c r="G619" s="22">
        <v>7.14</v>
      </c>
      <c r="H619" s="3"/>
    </row>
    <row r="620" spans="1:8" x14ac:dyDescent="0.25">
      <c r="A620" s="21">
        <v>40087</v>
      </c>
      <c r="B620" s="22">
        <v>7.36</v>
      </c>
      <c r="C620" s="22">
        <v>9.06</v>
      </c>
      <c r="D620" s="22">
        <v>6.03</v>
      </c>
      <c r="E620" s="22">
        <v>5.39</v>
      </c>
      <c r="F620" s="22"/>
      <c r="G620" s="22">
        <v>7.62</v>
      </c>
      <c r="H620" s="3"/>
    </row>
    <row r="621" spans="1:8" x14ac:dyDescent="0.25">
      <c r="A621" s="21">
        <v>40118</v>
      </c>
      <c r="B621" s="22">
        <v>7.55</v>
      </c>
      <c r="C621" s="22">
        <v>9.25</v>
      </c>
      <c r="D621" s="22">
        <v>6.28</v>
      </c>
      <c r="E621" s="22">
        <v>5.64</v>
      </c>
      <c r="F621" s="22"/>
      <c r="G621" s="22">
        <v>7.62</v>
      </c>
      <c r="H621" s="3"/>
    </row>
    <row r="622" spans="1:8" x14ac:dyDescent="0.25">
      <c r="A622" s="21">
        <v>40148</v>
      </c>
      <c r="B622" s="22">
        <v>7.84</v>
      </c>
      <c r="C622" s="22">
        <v>9.56</v>
      </c>
      <c r="D622" s="22">
        <v>6.64</v>
      </c>
      <c r="E622" s="22">
        <v>6</v>
      </c>
      <c r="F622" s="22"/>
      <c r="G622" s="22">
        <v>7.62</v>
      </c>
      <c r="H622" s="3"/>
    </row>
    <row r="623" spans="1:8" x14ac:dyDescent="0.25">
      <c r="A623" s="21">
        <v>40179</v>
      </c>
      <c r="B623" s="22">
        <v>7.84</v>
      </c>
      <c r="C623" s="22">
        <v>9.56</v>
      </c>
      <c r="D623" s="22">
        <v>6.64</v>
      </c>
      <c r="E623" s="22">
        <v>6</v>
      </c>
      <c r="F623" s="22"/>
      <c r="G623" s="22">
        <v>7.7</v>
      </c>
      <c r="H623" s="3"/>
    </row>
    <row r="624" spans="1:8" x14ac:dyDescent="0.25">
      <c r="A624" s="21">
        <v>40210</v>
      </c>
      <c r="B624" s="22">
        <v>7.84</v>
      </c>
      <c r="C624" s="22">
        <v>9.56</v>
      </c>
      <c r="D624" s="22">
        <v>6.64</v>
      </c>
      <c r="E624" s="22">
        <v>6</v>
      </c>
      <c r="F624" s="22"/>
      <c r="G624" s="22">
        <v>7.7</v>
      </c>
      <c r="H624" s="3"/>
    </row>
    <row r="625" spans="1:8" x14ac:dyDescent="0.25">
      <c r="A625" s="21">
        <v>40238</v>
      </c>
      <c r="B625" s="22">
        <v>8.09</v>
      </c>
      <c r="C625" s="22">
        <v>9.81</v>
      </c>
      <c r="D625" s="22">
        <v>6.89</v>
      </c>
      <c r="E625" s="22">
        <v>6.25</v>
      </c>
      <c r="F625" s="22"/>
      <c r="G625" s="22">
        <v>7.73</v>
      </c>
      <c r="H625" s="3"/>
    </row>
    <row r="626" spans="1:8" x14ac:dyDescent="0.25">
      <c r="A626" s="21">
        <v>40269</v>
      </c>
      <c r="B626" s="22">
        <v>8.34</v>
      </c>
      <c r="C626" s="22">
        <v>10.06</v>
      </c>
      <c r="D626" s="22">
        <v>7.14</v>
      </c>
      <c r="E626" s="22">
        <v>6.5</v>
      </c>
      <c r="F626" s="22"/>
      <c r="G626" s="22">
        <v>7.78</v>
      </c>
      <c r="H626" s="3"/>
    </row>
    <row r="627" spans="1:8" x14ac:dyDescent="0.25">
      <c r="A627" s="21">
        <v>40299</v>
      </c>
      <c r="B627" s="22">
        <v>8.59</v>
      </c>
      <c r="C627" s="22">
        <v>10.31</v>
      </c>
      <c r="D627" s="22">
        <v>7.39</v>
      </c>
      <c r="E627" s="22">
        <v>6.75</v>
      </c>
      <c r="F627" s="22"/>
      <c r="G627" s="22">
        <v>7.77</v>
      </c>
      <c r="H627" s="3"/>
    </row>
    <row r="628" spans="1:8" x14ac:dyDescent="0.25">
      <c r="A628" s="21">
        <v>40330</v>
      </c>
      <c r="B628" s="22">
        <v>8.59</v>
      </c>
      <c r="C628" s="22">
        <v>10.31</v>
      </c>
      <c r="D628" s="22">
        <v>7.39</v>
      </c>
      <c r="E628" s="22">
        <v>6.75</v>
      </c>
      <c r="F628" s="22"/>
      <c r="G628" s="22">
        <v>7.54</v>
      </c>
      <c r="H628" s="3"/>
    </row>
    <row r="629" spans="1:8" x14ac:dyDescent="0.25">
      <c r="A629" s="21">
        <v>40360</v>
      </c>
      <c r="B629" s="22">
        <v>8.59</v>
      </c>
      <c r="C629" s="22">
        <v>10.31</v>
      </c>
      <c r="D629" s="22">
        <v>7.39</v>
      </c>
      <c r="E629" s="22">
        <v>6.75</v>
      </c>
      <c r="F629" s="22"/>
      <c r="G629" s="22">
        <v>7.48</v>
      </c>
      <c r="H629" s="3"/>
    </row>
    <row r="630" spans="1:8" x14ac:dyDescent="0.25">
      <c r="A630" s="21">
        <v>40391</v>
      </c>
      <c r="B630" s="22">
        <v>8.59</v>
      </c>
      <c r="C630" s="22">
        <v>10.31</v>
      </c>
      <c r="D630" s="22">
        <v>7.39</v>
      </c>
      <c r="E630" s="22">
        <v>6.75</v>
      </c>
      <c r="F630" s="22"/>
      <c r="G630" s="22">
        <v>7.14</v>
      </c>
      <c r="H630" s="3"/>
    </row>
    <row r="631" spans="1:8" x14ac:dyDescent="0.25">
      <c r="A631" s="21">
        <v>40422</v>
      </c>
      <c r="B631" s="22">
        <v>8.59</v>
      </c>
      <c r="C631" s="22">
        <v>10.31</v>
      </c>
      <c r="D631" s="22">
        <v>7.39</v>
      </c>
      <c r="E631" s="22">
        <v>6.75</v>
      </c>
      <c r="F631" s="22"/>
      <c r="G631" s="22">
        <v>7.47</v>
      </c>
      <c r="H631" s="3"/>
    </row>
    <row r="632" spans="1:8" x14ac:dyDescent="0.25">
      <c r="A632" s="21">
        <v>40452</v>
      </c>
      <c r="B632" s="22">
        <v>8.59</v>
      </c>
      <c r="C632" s="22">
        <v>10.31</v>
      </c>
      <c r="D632" s="22">
        <v>7.39</v>
      </c>
      <c r="E632" s="22">
        <v>6.75</v>
      </c>
      <c r="F632" s="22"/>
      <c r="G632" s="22">
        <v>7.44</v>
      </c>
      <c r="H632" s="3"/>
    </row>
    <row r="633" spans="1:8" x14ac:dyDescent="0.25">
      <c r="A633" s="21">
        <v>40483</v>
      </c>
      <c r="B633" s="22">
        <v>8.99</v>
      </c>
      <c r="C633" s="22">
        <v>10.67</v>
      </c>
      <c r="D633" s="22">
        <v>7.79</v>
      </c>
      <c r="E633" s="22">
        <v>7.15</v>
      </c>
      <c r="F633" s="22"/>
      <c r="G633" s="22">
        <v>7.34</v>
      </c>
      <c r="H633" s="3"/>
    </row>
    <row r="634" spans="1:8" x14ac:dyDescent="0.25">
      <c r="A634" s="21">
        <v>40513</v>
      </c>
      <c r="B634" s="22">
        <v>8.99</v>
      </c>
      <c r="C634" s="22">
        <v>10.67</v>
      </c>
      <c r="D634" s="22">
        <v>7.79</v>
      </c>
      <c r="E634" s="22">
        <v>7.15</v>
      </c>
      <c r="F634" s="22"/>
      <c r="G634" s="22">
        <v>7.34</v>
      </c>
      <c r="H634" s="3"/>
    </row>
    <row r="635" spans="1:8" x14ac:dyDescent="0.25">
      <c r="A635" s="21">
        <v>40544</v>
      </c>
      <c r="B635" s="22">
        <v>8.99</v>
      </c>
      <c r="C635" s="22">
        <v>10.67</v>
      </c>
      <c r="D635" s="22">
        <v>7.79</v>
      </c>
      <c r="E635" s="22">
        <v>7.15</v>
      </c>
      <c r="F635" s="22"/>
      <c r="G635" s="22">
        <v>7.42</v>
      </c>
      <c r="H635" s="3"/>
    </row>
    <row r="636" spans="1:8" x14ac:dyDescent="0.25">
      <c r="A636" s="21">
        <v>40575</v>
      </c>
      <c r="B636" s="22">
        <v>8.99</v>
      </c>
      <c r="C636" s="22">
        <v>10.67</v>
      </c>
      <c r="D636" s="22">
        <v>7.79</v>
      </c>
      <c r="E636" s="22">
        <v>7.11</v>
      </c>
      <c r="F636" s="22"/>
      <c r="G636" s="22">
        <v>7.52</v>
      </c>
      <c r="H636" s="3"/>
    </row>
    <row r="637" spans="1:8" x14ac:dyDescent="0.25">
      <c r="A637" s="21">
        <v>40603</v>
      </c>
      <c r="B637" s="22">
        <v>8.99</v>
      </c>
      <c r="C637" s="22">
        <v>10.67</v>
      </c>
      <c r="D637" s="22">
        <v>7.79</v>
      </c>
      <c r="E637" s="22">
        <v>7.11</v>
      </c>
      <c r="F637" s="22"/>
      <c r="G637" s="22">
        <v>7.41</v>
      </c>
      <c r="H637" s="3"/>
    </row>
    <row r="638" spans="1:8" x14ac:dyDescent="0.25">
      <c r="A638" s="21">
        <v>40634</v>
      </c>
      <c r="B638" s="22">
        <v>8.99</v>
      </c>
      <c r="C638" s="22">
        <v>10.67</v>
      </c>
      <c r="D638" s="22">
        <v>7.79</v>
      </c>
      <c r="E638" s="22">
        <v>7.09</v>
      </c>
      <c r="F638" s="22"/>
      <c r="G638" s="22">
        <v>7.41</v>
      </c>
      <c r="H638" s="3"/>
    </row>
    <row r="639" spans="1:8" x14ac:dyDescent="0.25">
      <c r="A639" s="21">
        <v>40664</v>
      </c>
      <c r="B639" s="22">
        <v>8.99</v>
      </c>
      <c r="C639" s="22">
        <v>10.67</v>
      </c>
      <c r="D639" s="22">
        <v>7.79</v>
      </c>
      <c r="E639" s="22">
        <v>7.08</v>
      </c>
      <c r="F639" s="22"/>
      <c r="G639" s="22">
        <v>7.41</v>
      </c>
      <c r="H639" s="3"/>
    </row>
    <row r="640" spans="1:8" x14ac:dyDescent="0.25">
      <c r="A640" s="21">
        <v>40695</v>
      </c>
      <c r="B640" s="22">
        <v>8.99</v>
      </c>
      <c r="C640" s="22">
        <v>10.67</v>
      </c>
      <c r="D640" s="22">
        <v>7.79</v>
      </c>
      <c r="E640" s="22">
        <v>7.04</v>
      </c>
      <c r="F640" s="22"/>
      <c r="G640" s="22">
        <v>7.37</v>
      </c>
      <c r="H640" s="3"/>
    </row>
    <row r="641" spans="1:8" x14ac:dyDescent="0.25">
      <c r="A641" s="21">
        <v>40725</v>
      </c>
      <c r="B641" s="22">
        <v>8.99</v>
      </c>
      <c r="C641" s="22">
        <v>10.67</v>
      </c>
      <c r="D641" s="22">
        <v>7.79</v>
      </c>
      <c r="E641" s="22">
        <v>7.04</v>
      </c>
      <c r="F641" s="22"/>
      <c r="G641" s="22">
        <v>7.12</v>
      </c>
      <c r="H641" s="3"/>
    </row>
    <row r="642" spans="1:8" x14ac:dyDescent="0.25">
      <c r="A642" s="21">
        <v>40756</v>
      </c>
      <c r="B642" s="22">
        <v>8.99</v>
      </c>
      <c r="C642" s="22">
        <v>10.67</v>
      </c>
      <c r="D642" s="22">
        <v>7.79</v>
      </c>
      <c r="E642" s="22">
        <v>7.03</v>
      </c>
      <c r="F642" s="22"/>
      <c r="G642" s="22">
        <v>6.71</v>
      </c>
      <c r="H642" s="3"/>
    </row>
    <row r="643" spans="1:8" x14ac:dyDescent="0.25">
      <c r="A643" s="21">
        <v>40787</v>
      </c>
      <c r="B643" s="22">
        <v>8.99</v>
      </c>
      <c r="C643" s="22">
        <v>10.67</v>
      </c>
      <c r="D643" s="22">
        <v>7.79</v>
      </c>
      <c r="E643" s="22">
        <v>7.03</v>
      </c>
      <c r="F643" s="22"/>
      <c r="G643" s="22">
        <v>6.61</v>
      </c>
      <c r="H643" s="3"/>
    </row>
    <row r="644" spans="1:8" x14ac:dyDescent="0.25">
      <c r="A644" s="21">
        <v>40817</v>
      </c>
      <c r="B644" s="22">
        <v>8.99</v>
      </c>
      <c r="C644" s="22">
        <v>10.67</v>
      </c>
      <c r="D644" s="22">
        <v>7.79</v>
      </c>
      <c r="E644" s="22">
        <v>7.03</v>
      </c>
      <c r="F644" s="22"/>
      <c r="G644" s="22">
        <v>6.52</v>
      </c>
      <c r="H644" s="3"/>
    </row>
    <row r="645" spans="1:8" x14ac:dyDescent="0.25">
      <c r="A645" s="21">
        <v>40848</v>
      </c>
      <c r="B645" s="22">
        <v>8.77</v>
      </c>
      <c r="C645" s="22">
        <v>10.44</v>
      </c>
      <c r="D645" s="22">
        <v>7.55</v>
      </c>
      <c r="E645" s="22">
        <v>6.79</v>
      </c>
      <c r="F645" s="22"/>
      <c r="G645" s="22">
        <v>6.39</v>
      </c>
      <c r="H645" s="3"/>
    </row>
    <row r="646" spans="1:8" x14ac:dyDescent="0.25">
      <c r="A646" s="21">
        <v>40878</v>
      </c>
      <c r="B646" s="22">
        <v>8.52</v>
      </c>
      <c r="C646" s="22">
        <v>10.26</v>
      </c>
      <c r="D646" s="22">
        <v>7.3</v>
      </c>
      <c r="E646" s="22">
        <v>6.54</v>
      </c>
      <c r="F646" s="22"/>
      <c r="G646" s="22">
        <v>6.35</v>
      </c>
      <c r="H646" s="3"/>
    </row>
    <row r="647" spans="1:8" x14ac:dyDescent="0.25">
      <c r="A647" s="21">
        <v>40909</v>
      </c>
      <c r="B647" s="22">
        <v>8.52</v>
      </c>
      <c r="C647" s="22">
        <v>10.26</v>
      </c>
      <c r="D647" s="22">
        <v>7.3</v>
      </c>
      <c r="E647" s="22">
        <v>6.59</v>
      </c>
      <c r="F647" s="22"/>
      <c r="G647" s="22">
        <v>6.35</v>
      </c>
      <c r="H647" s="3"/>
    </row>
    <row r="648" spans="1:8" x14ac:dyDescent="0.25">
      <c r="A648" s="21">
        <v>40940</v>
      </c>
      <c r="B648" s="22">
        <v>8.61</v>
      </c>
      <c r="C648" s="22">
        <v>10.34</v>
      </c>
      <c r="D648" s="22">
        <v>7.39</v>
      </c>
      <c r="E648" s="22">
        <v>6.71</v>
      </c>
      <c r="F648" s="22"/>
      <c r="G648" s="22">
        <v>6.32</v>
      </c>
      <c r="H648" s="3"/>
    </row>
    <row r="649" spans="1:8" x14ac:dyDescent="0.25">
      <c r="A649" s="21">
        <v>40969</v>
      </c>
      <c r="B649" s="22">
        <v>8.61</v>
      </c>
      <c r="C649" s="22">
        <v>10.34</v>
      </c>
      <c r="D649" s="22">
        <v>7.39</v>
      </c>
      <c r="E649" s="22">
        <v>6.71</v>
      </c>
      <c r="F649" s="22"/>
      <c r="G649" s="22">
        <v>6.47</v>
      </c>
      <c r="H649" s="3"/>
    </row>
    <row r="650" spans="1:8" x14ac:dyDescent="0.25">
      <c r="A650" s="21">
        <v>41000</v>
      </c>
      <c r="B650" s="22">
        <v>8.6199999999999992</v>
      </c>
      <c r="C650" s="22">
        <v>10.36</v>
      </c>
      <c r="D650" s="22">
        <v>7.4</v>
      </c>
      <c r="E650" s="22">
        <v>6.72</v>
      </c>
      <c r="F650" s="22"/>
      <c r="G650" s="22">
        <v>6.41</v>
      </c>
      <c r="H650" s="3"/>
    </row>
    <row r="651" spans="1:8" x14ac:dyDescent="0.25">
      <c r="A651" s="21">
        <v>41030</v>
      </c>
      <c r="B651" s="22">
        <v>8.2200000000000006</v>
      </c>
      <c r="C651" s="22">
        <v>9.99</v>
      </c>
      <c r="D651" s="22">
        <v>7.04</v>
      </c>
      <c r="E651" s="22">
        <v>6.36</v>
      </c>
      <c r="F651" s="22"/>
      <c r="G651" s="22">
        <v>6.14</v>
      </c>
      <c r="H651" s="3"/>
    </row>
    <row r="652" spans="1:8" x14ac:dyDescent="0.25">
      <c r="A652" s="21">
        <v>41061</v>
      </c>
      <c r="B652" s="22">
        <v>7.99</v>
      </c>
      <c r="C652" s="22">
        <v>9.77</v>
      </c>
      <c r="D652" s="22">
        <v>6.83</v>
      </c>
      <c r="E652" s="22">
        <v>6.13</v>
      </c>
      <c r="F652" s="22"/>
      <c r="G652" s="22">
        <v>6.08</v>
      </c>
      <c r="H652" s="3"/>
    </row>
    <row r="653" spans="1:8" x14ac:dyDescent="0.25">
      <c r="A653" s="21">
        <v>41091</v>
      </c>
      <c r="B653" s="22">
        <v>7.99</v>
      </c>
      <c r="C653" s="22">
        <v>9.77</v>
      </c>
      <c r="D653" s="22">
        <v>6.83</v>
      </c>
      <c r="E653" s="22">
        <v>6.13</v>
      </c>
      <c r="F653" s="22"/>
      <c r="G653" s="22">
        <v>5.9</v>
      </c>
      <c r="H653" s="3"/>
    </row>
    <row r="654" spans="1:8" x14ac:dyDescent="0.25">
      <c r="A654" s="21">
        <v>41122</v>
      </c>
      <c r="B654" s="22">
        <v>7.99</v>
      </c>
      <c r="C654" s="22">
        <v>9.77</v>
      </c>
      <c r="D654" s="22">
        <v>6.83</v>
      </c>
      <c r="E654" s="22">
        <v>6.1</v>
      </c>
      <c r="F654" s="22"/>
      <c r="G654" s="22">
        <v>5.88</v>
      </c>
      <c r="H654" s="3"/>
    </row>
    <row r="655" spans="1:8" x14ac:dyDescent="0.25">
      <c r="A655" s="21">
        <v>41153</v>
      </c>
      <c r="B655" s="22">
        <v>7.99</v>
      </c>
      <c r="C655" s="22">
        <v>9.77</v>
      </c>
      <c r="D655" s="22">
        <v>6.83</v>
      </c>
      <c r="E655" s="22">
        <v>6.08</v>
      </c>
      <c r="F655" s="22"/>
      <c r="G655" s="22">
        <v>5.71</v>
      </c>
      <c r="H655" s="3"/>
    </row>
    <row r="656" spans="1:8" x14ac:dyDescent="0.25">
      <c r="A656" s="21">
        <v>41183</v>
      </c>
      <c r="B656" s="22">
        <v>7.8</v>
      </c>
      <c r="C656" s="22">
        <v>9.6199999999999992</v>
      </c>
      <c r="D656" s="22">
        <v>6.64</v>
      </c>
      <c r="E656" s="22">
        <v>5.89</v>
      </c>
      <c r="F656" s="22"/>
      <c r="G656" s="22">
        <v>5.54</v>
      </c>
      <c r="H656" s="3"/>
    </row>
    <row r="657" spans="1:8" x14ac:dyDescent="0.25">
      <c r="A657" s="21">
        <v>41214</v>
      </c>
      <c r="B657" s="22">
        <v>7.8</v>
      </c>
      <c r="C657" s="22">
        <v>9.6199999999999992</v>
      </c>
      <c r="D657" s="22">
        <v>6.64</v>
      </c>
      <c r="E657" s="22">
        <v>5.84</v>
      </c>
      <c r="F657" s="22"/>
      <c r="G657" s="22">
        <v>5.54</v>
      </c>
      <c r="H657" s="3"/>
    </row>
    <row r="658" spans="1:8" x14ac:dyDescent="0.25">
      <c r="A658" s="21">
        <v>41244</v>
      </c>
      <c r="B658" s="22">
        <v>7.6</v>
      </c>
      <c r="C658" s="22">
        <v>9.44</v>
      </c>
      <c r="D658" s="22">
        <v>6.44</v>
      </c>
      <c r="E658" s="22">
        <v>5.68</v>
      </c>
      <c r="F658" s="22"/>
      <c r="G658" s="22">
        <v>5.54</v>
      </c>
      <c r="H658" s="3"/>
    </row>
    <row r="659" spans="1:8" x14ac:dyDescent="0.25">
      <c r="A659" s="21">
        <v>41275</v>
      </c>
      <c r="B659" s="22">
        <v>7.6</v>
      </c>
      <c r="C659" s="22">
        <v>9.44</v>
      </c>
      <c r="D659" s="22">
        <v>6.44</v>
      </c>
      <c r="E659" s="22">
        <v>5.68</v>
      </c>
      <c r="F659" s="22"/>
      <c r="G659" s="22">
        <v>5.52</v>
      </c>
      <c r="H659" s="3"/>
    </row>
    <row r="660" spans="1:8" x14ac:dyDescent="0.25">
      <c r="A660" s="21">
        <v>41306</v>
      </c>
      <c r="B660" s="22">
        <v>7.6</v>
      </c>
      <c r="C660" s="22">
        <v>9.44</v>
      </c>
      <c r="D660" s="22">
        <v>6.44</v>
      </c>
      <c r="E660" s="22">
        <v>5.66</v>
      </c>
      <c r="F660" s="22"/>
      <c r="G660" s="22">
        <v>5.44</v>
      </c>
      <c r="H660" s="3"/>
    </row>
    <row r="661" spans="1:8" x14ac:dyDescent="0.25">
      <c r="A661" s="21">
        <v>41334</v>
      </c>
      <c r="B661" s="22">
        <v>7.6</v>
      </c>
      <c r="C661" s="22">
        <v>9.44</v>
      </c>
      <c r="D661" s="22">
        <v>6.44</v>
      </c>
      <c r="E661" s="22">
        <v>5.62</v>
      </c>
      <c r="F661" s="22"/>
      <c r="G661" s="22">
        <v>5.44</v>
      </c>
      <c r="H661" s="3"/>
    </row>
    <row r="662" spans="1:8" x14ac:dyDescent="0.25">
      <c r="A662" s="21">
        <v>41365</v>
      </c>
      <c r="B662" s="22">
        <v>7.6</v>
      </c>
      <c r="C662" s="22">
        <v>9.44</v>
      </c>
      <c r="D662" s="22">
        <v>6.44</v>
      </c>
      <c r="E662" s="22">
        <v>5.62</v>
      </c>
      <c r="F662" s="22"/>
      <c r="G662" s="22">
        <v>5.44</v>
      </c>
      <c r="H662" s="3"/>
    </row>
    <row r="663" spans="1:8" x14ac:dyDescent="0.25">
      <c r="A663" s="21">
        <v>41395</v>
      </c>
      <c r="B663" s="22">
        <v>7.35</v>
      </c>
      <c r="C663" s="22">
        <v>9.1999999999999993</v>
      </c>
      <c r="D663" s="22">
        <v>6.18</v>
      </c>
      <c r="E663" s="22">
        <v>5.36</v>
      </c>
      <c r="F663" s="22"/>
      <c r="G663" s="22">
        <v>5.27</v>
      </c>
      <c r="H663" s="3"/>
    </row>
    <row r="664" spans="1:8" x14ac:dyDescent="0.25">
      <c r="A664" s="21">
        <v>41426</v>
      </c>
      <c r="B664" s="22">
        <v>7.35</v>
      </c>
      <c r="C664" s="22">
        <v>9.1999999999999993</v>
      </c>
      <c r="D664" s="22">
        <v>6.18</v>
      </c>
      <c r="E664" s="22">
        <v>5.36</v>
      </c>
      <c r="F664" s="22"/>
      <c r="G664" s="22">
        <v>5.13</v>
      </c>
      <c r="H664" s="3"/>
    </row>
    <row r="665" spans="1:8" x14ac:dyDescent="0.25">
      <c r="A665" s="21">
        <v>41456</v>
      </c>
      <c r="B665" s="22">
        <v>7.35</v>
      </c>
      <c r="C665" s="22">
        <v>9.1999999999999993</v>
      </c>
      <c r="D665" s="22">
        <v>6.18</v>
      </c>
      <c r="E665" s="22">
        <v>5.35</v>
      </c>
      <c r="F665" s="22"/>
      <c r="G665" s="22">
        <v>5.17</v>
      </c>
      <c r="H665" s="3"/>
    </row>
    <row r="666" spans="1:8" x14ac:dyDescent="0.25">
      <c r="A666" s="21">
        <v>41487</v>
      </c>
      <c r="B666" s="22">
        <v>7.1</v>
      </c>
      <c r="C666" s="22">
        <v>8.9499999999999993</v>
      </c>
      <c r="D666" s="22">
        <v>5.93</v>
      </c>
      <c r="E666" s="22">
        <v>5.0999999999999996</v>
      </c>
      <c r="F666" s="22"/>
      <c r="G666" s="22">
        <v>5.1100000000000003</v>
      </c>
      <c r="H666" s="3"/>
    </row>
    <row r="667" spans="1:8" x14ac:dyDescent="0.25">
      <c r="A667" s="21">
        <v>41518</v>
      </c>
      <c r="B667" s="22">
        <v>7.1</v>
      </c>
      <c r="C667" s="22">
        <v>8.9499999999999993</v>
      </c>
      <c r="D667" s="22">
        <v>5.93</v>
      </c>
      <c r="E667" s="22">
        <v>5.08</v>
      </c>
      <c r="F667" s="22"/>
      <c r="G667" s="22">
        <v>5.12</v>
      </c>
      <c r="H667" s="3"/>
    </row>
    <row r="668" spans="1:8" x14ac:dyDescent="0.25">
      <c r="A668" s="21">
        <v>41548</v>
      </c>
      <c r="B668" s="22">
        <v>7.1</v>
      </c>
      <c r="C668" s="22">
        <v>8.9499999999999993</v>
      </c>
      <c r="D668" s="22">
        <v>5.93</v>
      </c>
      <c r="E668" s="22">
        <v>5.08</v>
      </c>
      <c r="F668" s="22"/>
      <c r="G668" s="22">
        <v>5.24</v>
      </c>
      <c r="H668" s="3"/>
    </row>
    <row r="669" spans="1:8" x14ac:dyDescent="0.25">
      <c r="A669" s="21">
        <v>41579</v>
      </c>
      <c r="B669" s="22">
        <v>7.1</v>
      </c>
      <c r="C669" s="22">
        <v>8.9499999999999993</v>
      </c>
      <c r="D669" s="22">
        <v>5.93</v>
      </c>
      <c r="E669" s="22">
        <v>5.08</v>
      </c>
      <c r="F669" s="22"/>
      <c r="G669" s="22">
        <v>5.28</v>
      </c>
      <c r="H669" s="3"/>
    </row>
    <row r="670" spans="1:8" x14ac:dyDescent="0.25">
      <c r="A670" s="21">
        <v>41609</v>
      </c>
      <c r="B670" s="22">
        <v>7.1</v>
      </c>
      <c r="C670" s="22">
        <v>8.9499999999999993</v>
      </c>
      <c r="D670" s="22">
        <v>5.93</v>
      </c>
      <c r="E670" s="22">
        <v>5.0999999999999996</v>
      </c>
      <c r="F670" s="22"/>
      <c r="G670" s="22">
        <v>5.28</v>
      </c>
      <c r="H670" s="3"/>
    </row>
    <row r="671" spans="1:8" x14ac:dyDescent="0.25">
      <c r="A671" s="21">
        <v>41640</v>
      </c>
      <c r="B671" s="22">
        <v>7.1</v>
      </c>
      <c r="C671" s="22">
        <v>8.9499999999999993</v>
      </c>
      <c r="D671" s="22">
        <v>5.93</v>
      </c>
      <c r="E671" s="22">
        <v>5.08</v>
      </c>
      <c r="F671" s="22"/>
      <c r="G671" s="22">
        <v>5.29</v>
      </c>
      <c r="H671" s="3"/>
    </row>
    <row r="672" spans="1:8" x14ac:dyDescent="0.25">
      <c r="A672" s="21">
        <v>41671</v>
      </c>
      <c r="B672" s="22">
        <v>7.1</v>
      </c>
      <c r="C672" s="22">
        <v>8.9499999999999993</v>
      </c>
      <c r="D672" s="22">
        <v>5.93</v>
      </c>
      <c r="E672" s="22">
        <v>5.08</v>
      </c>
      <c r="F672" s="22"/>
      <c r="G672" s="22">
        <v>5.26</v>
      </c>
      <c r="H672" s="3"/>
    </row>
    <row r="673" spans="1:8" x14ac:dyDescent="0.25">
      <c r="A673" s="21">
        <v>41699</v>
      </c>
      <c r="B673" s="22">
        <v>7.1</v>
      </c>
      <c r="C673" s="22">
        <v>8.9499999999999993</v>
      </c>
      <c r="D673" s="22">
        <v>5.93</v>
      </c>
      <c r="E673" s="22">
        <v>5.08</v>
      </c>
      <c r="F673" s="22"/>
      <c r="G673" s="22">
        <v>5.2</v>
      </c>
      <c r="H673" s="3"/>
    </row>
    <row r="674" spans="1:8" x14ac:dyDescent="0.25">
      <c r="A674" s="21">
        <v>41730</v>
      </c>
      <c r="B674" s="22">
        <v>7.1</v>
      </c>
      <c r="C674" s="22">
        <v>8.9499999999999993</v>
      </c>
      <c r="D674" s="22">
        <v>5.93</v>
      </c>
      <c r="E674" s="22">
        <v>5.08</v>
      </c>
      <c r="F674" s="22"/>
      <c r="G674" s="22">
        <v>5.2</v>
      </c>
      <c r="H674" s="3"/>
    </row>
    <row r="675" spans="1:8" x14ac:dyDescent="0.25">
      <c r="A675" s="21">
        <v>41760</v>
      </c>
      <c r="B675" s="22">
        <v>7.1</v>
      </c>
      <c r="C675" s="22">
        <v>8.9499999999999993</v>
      </c>
      <c r="D675" s="22">
        <v>5.93</v>
      </c>
      <c r="E675" s="22">
        <v>5.08</v>
      </c>
      <c r="F675" s="22"/>
      <c r="G675" s="22">
        <v>5.2</v>
      </c>
      <c r="H675" s="3"/>
    </row>
    <row r="676" spans="1:8" x14ac:dyDescent="0.25">
      <c r="A676" s="21">
        <v>41791</v>
      </c>
      <c r="B676" s="22">
        <v>7.1</v>
      </c>
      <c r="C676" s="22">
        <v>8.9499999999999993</v>
      </c>
      <c r="D676" s="22">
        <v>5.93</v>
      </c>
      <c r="E676" s="22">
        <v>5.08</v>
      </c>
      <c r="F676" s="22"/>
      <c r="G676" s="22">
        <v>5.2</v>
      </c>
      <c r="H676" s="3"/>
    </row>
    <row r="677" spans="1:8" x14ac:dyDescent="0.25">
      <c r="A677" s="21">
        <v>41821</v>
      </c>
      <c r="B677" s="22">
        <v>7.1</v>
      </c>
      <c r="C677" s="22">
        <v>8.9499999999999993</v>
      </c>
      <c r="D677" s="22">
        <v>5.93</v>
      </c>
      <c r="E677" s="22">
        <v>5.08</v>
      </c>
      <c r="F677" s="22"/>
      <c r="G677" s="22">
        <v>5.12</v>
      </c>
      <c r="H677" s="3"/>
    </row>
    <row r="678" spans="1:8" x14ac:dyDescent="0.25">
      <c r="A678" s="21">
        <v>41852</v>
      </c>
      <c r="B678" s="22">
        <v>7.1</v>
      </c>
      <c r="C678" s="22">
        <v>8.9499999999999993</v>
      </c>
      <c r="D678" s="22">
        <v>5.93</v>
      </c>
      <c r="E678" s="22">
        <v>5.08</v>
      </c>
      <c r="F678" s="22"/>
      <c r="G678" s="22">
        <v>5.08</v>
      </c>
      <c r="H678" s="3"/>
    </row>
    <row r="679" spans="1:8" x14ac:dyDescent="0.25">
      <c r="A679" s="21">
        <v>41883</v>
      </c>
      <c r="B679" s="22">
        <v>7.1</v>
      </c>
      <c r="C679" s="22">
        <v>8.9499999999999993</v>
      </c>
      <c r="D679" s="22">
        <v>5.93</v>
      </c>
      <c r="E679" s="22">
        <v>5.08</v>
      </c>
      <c r="F679" s="22"/>
      <c r="G679" s="22">
        <v>5.08</v>
      </c>
      <c r="H679" s="3"/>
    </row>
    <row r="680" spans="1:8" x14ac:dyDescent="0.25">
      <c r="A680" s="21">
        <v>41913</v>
      </c>
      <c r="B680" s="22">
        <v>7.1</v>
      </c>
      <c r="C680" s="22">
        <v>8.9499999999999993</v>
      </c>
      <c r="D680" s="22">
        <v>5.93</v>
      </c>
      <c r="E680" s="22">
        <v>5.08</v>
      </c>
      <c r="F680" s="22"/>
      <c r="G680" s="22">
        <v>5.08</v>
      </c>
      <c r="H680" s="3"/>
    </row>
    <row r="681" spans="1:8" x14ac:dyDescent="0.25">
      <c r="A681" s="21">
        <v>41944</v>
      </c>
      <c r="B681" s="22">
        <v>7.1</v>
      </c>
      <c r="C681" s="22">
        <v>8.9499999999999993</v>
      </c>
      <c r="D681" s="22">
        <v>5.93</v>
      </c>
      <c r="E681" s="22">
        <v>5.08</v>
      </c>
      <c r="F681" s="22"/>
      <c r="G681" s="22">
        <v>5.08</v>
      </c>
      <c r="H681" s="3"/>
    </row>
    <row r="682" spans="1:8" x14ac:dyDescent="0.25">
      <c r="A682" s="21">
        <v>41974</v>
      </c>
      <c r="B682" s="22">
        <v>7.1</v>
      </c>
      <c r="C682" s="22">
        <v>8.9499999999999993</v>
      </c>
      <c r="D682" s="22">
        <v>5.93</v>
      </c>
      <c r="E682" s="22">
        <v>5.08</v>
      </c>
      <c r="F682" s="22"/>
      <c r="G682" s="22">
        <v>5.08</v>
      </c>
      <c r="H682" s="3"/>
    </row>
    <row r="683" spans="1:8" x14ac:dyDescent="0.25">
      <c r="A683" s="21">
        <v>42005</v>
      </c>
      <c r="B683" s="22">
        <v>7.1</v>
      </c>
      <c r="C683" s="22">
        <v>8.9499999999999993</v>
      </c>
      <c r="D683" s="22">
        <v>5.93</v>
      </c>
      <c r="E683" s="22">
        <v>5.08</v>
      </c>
      <c r="F683" s="22"/>
      <c r="G683" s="22">
        <v>5.08</v>
      </c>
      <c r="H683" s="3"/>
    </row>
    <row r="684" spans="1:8" x14ac:dyDescent="0.25">
      <c r="A684" s="21">
        <v>42036</v>
      </c>
      <c r="B684" s="22">
        <v>6.85</v>
      </c>
      <c r="C684" s="22">
        <v>8.76</v>
      </c>
      <c r="D684" s="22">
        <v>5.67</v>
      </c>
      <c r="E684" s="22">
        <v>4.82</v>
      </c>
      <c r="F684" s="22"/>
      <c r="G684" s="22">
        <v>4.8</v>
      </c>
      <c r="H684" s="3"/>
    </row>
    <row r="685" spans="1:8" x14ac:dyDescent="0.25">
      <c r="A685" s="21">
        <v>42064</v>
      </c>
      <c r="B685" s="22">
        <v>6.85</v>
      </c>
      <c r="C685" s="22">
        <v>8.6999999999999993</v>
      </c>
      <c r="D685" s="22">
        <v>5.67</v>
      </c>
      <c r="E685" s="22">
        <v>4.82</v>
      </c>
      <c r="F685" s="22"/>
      <c r="G685" s="22">
        <v>4.8</v>
      </c>
      <c r="H685" s="3"/>
    </row>
    <row r="686" spans="1:8" x14ac:dyDescent="0.25">
      <c r="A686" s="21">
        <v>42095</v>
      </c>
      <c r="B686" s="22">
        <v>6.85</v>
      </c>
      <c r="C686" s="22">
        <v>8.6999999999999993</v>
      </c>
      <c r="D686" s="22">
        <v>5.67</v>
      </c>
      <c r="E686" s="22">
        <v>4.82</v>
      </c>
      <c r="F686" s="22"/>
      <c r="G686" s="22">
        <v>4.8</v>
      </c>
      <c r="H686" s="3"/>
    </row>
    <row r="687" spans="1:8" x14ac:dyDescent="0.25">
      <c r="A687" s="21">
        <v>42125</v>
      </c>
      <c r="B687" s="22">
        <v>6.6</v>
      </c>
      <c r="C687" s="22">
        <v>8.4499999999999993</v>
      </c>
      <c r="D687" s="22">
        <v>5.46</v>
      </c>
      <c r="E687" s="22">
        <v>4.6100000000000003</v>
      </c>
      <c r="F687" s="22"/>
      <c r="G687" s="22">
        <v>4.8</v>
      </c>
      <c r="H687" s="3"/>
    </row>
    <row r="688" spans="1:8" x14ac:dyDescent="0.25">
      <c r="A688" s="21">
        <v>42156</v>
      </c>
      <c r="B688" s="22">
        <v>6.6</v>
      </c>
      <c r="C688" s="22">
        <v>8.4499999999999993</v>
      </c>
      <c r="D688" s="22">
        <v>5.46</v>
      </c>
      <c r="E688" s="22">
        <v>4.67</v>
      </c>
      <c r="F688" s="22"/>
      <c r="G688" s="22">
        <v>4.8</v>
      </c>
      <c r="H688" s="3"/>
    </row>
    <row r="689" spans="1:8" x14ac:dyDescent="0.25">
      <c r="A689" s="21">
        <v>42186</v>
      </c>
      <c r="B689" s="22">
        <v>6.6</v>
      </c>
      <c r="C689" s="22">
        <v>8.4499999999999993</v>
      </c>
      <c r="D689" s="22">
        <v>5.45</v>
      </c>
      <c r="E689" s="22">
        <v>4.67</v>
      </c>
      <c r="F689" s="22"/>
      <c r="G689" s="22">
        <v>4.66</v>
      </c>
      <c r="H689" s="3"/>
    </row>
    <row r="690" spans="1:8" x14ac:dyDescent="0.25">
      <c r="A690" s="21">
        <v>42217</v>
      </c>
      <c r="B690" s="22">
        <v>6.6</v>
      </c>
      <c r="C690" s="22">
        <v>8.4499999999999993</v>
      </c>
      <c r="D690" s="22">
        <v>5.46</v>
      </c>
      <c r="E690" s="22">
        <v>4.66</v>
      </c>
      <c r="F690" s="22">
        <v>5.72</v>
      </c>
      <c r="G690" s="22">
        <v>4.5199999999999996</v>
      </c>
      <c r="H690" s="3"/>
    </row>
    <row r="691" spans="1:8" x14ac:dyDescent="0.25">
      <c r="A691" s="21">
        <v>42248</v>
      </c>
      <c r="B691" s="22">
        <v>6.6</v>
      </c>
      <c r="C691" s="22">
        <v>8.4499999999999993</v>
      </c>
      <c r="D691" s="22">
        <v>5.46</v>
      </c>
      <c r="E691" s="22">
        <v>4.66</v>
      </c>
      <c r="F691" s="22">
        <v>5.72</v>
      </c>
      <c r="G691" s="22">
        <v>4.5199999999999996</v>
      </c>
      <c r="H691" s="3"/>
    </row>
    <row r="692" spans="1:8" x14ac:dyDescent="0.25">
      <c r="A692" s="21">
        <v>42278</v>
      </c>
      <c r="B692" s="22">
        <v>6.6</v>
      </c>
      <c r="C692" s="22">
        <v>8.4499999999999993</v>
      </c>
      <c r="D692" s="22">
        <v>5.46</v>
      </c>
      <c r="E692" s="22">
        <v>4.66</v>
      </c>
      <c r="F692" s="22">
        <v>5.72</v>
      </c>
      <c r="G692" s="22">
        <v>4.5</v>
      </c>
      <c r="H692" s="3"/>
    </row>
    <row r="693" spans="1:8" x14ac:dyDescent="0.25">
      <c r="A693" s="21">
        <v>42309</v>
      </c>
      <c r="B693" s="22">
        <v>6.6</v>
      </c>
      <c r="C693" s="22">
        <v>8.4499999999999993</v>
      </c>
      <c r="D693" s="22">
        <v>5.63</v>
      </c>
      <c r="E693" s="22">
        <v>4.83</v>
      </c>
      <c r="F693" s="22">
        <v>5.89</v>
      </c>
      <c r="G693" s="22">
        <v>4.43</v>
      </c>
      <c r="H693" s="3"/>
    </row>
    <row r="694" spans="1:8" x14ac:dyDescent="0.25">
      <c r="A694" s="21">
        <v>42339</v>
      </c>
      <c r="B694" s="22">
        <v>6.6</v>
      </c>
      <c r="C694" s="22">
        <v>8.4499999999999993</v>
      </c>
      <c r="D694" s="22">
        <v>5.63</v>
      </c>
      <c r="E694" s="22">
        <v>4.83</v>
      </c>
      <c r="F694" s="22">
        <v>5.89</v>
      </c>
      <c r="G694" s="22">
        <v>4.43</v>
      </c>
      <c r="H694" s="3"/>
    </row>
    <row r="695" spans="1:8" x14ac:dyDescent="0.25">
      <c r="A695" s="21">
        <v>42370</v>
      </c>
      <c r="B695" s="22">
        <v>6.6</v>
      </c>
      <c r="C695" s="22">
        <v>8.4499999999999993</v>
      </c>
      <c r="D695" s="22">
        <v>5.63</v>
      </c>
      <c r="E695" s="22">
        <v>4.83</v>
      </c>
      <c r="F695" s="22">
        <v>5.89</v>
      </c>
      <c r="G695" s="22">
        <v>4.43</v>
      </c>
      <c r="H695" s="3"/>
    </row>
    <row r="696" spans="1:8" x14ac:dyDescent="0.25">
      <c r="A696" s="21">
        <v>42401</v>
      </c>
      <c r="B696" s="22">
        <v>6.7</v>
      </c>
      <c r="C696" s="22">
        <v>8.5500000000000007</v>
      </c>
      <c r="D696" s="22">
        <v>5.63</v>
      </c>
      <c r="E696" s="22">
        <v>4.83</v>
      </c>
      <c r="F696" s="22">
        <v>5.89</v>
      </c>
      <c r="G696" s="22">
        <v>4.43</v>
      </c>
      <c r="H696" s="3"/>
    </row>
    <row r="697" spans="1:8" x14ac:dyDescent="0.25">
      <c r="A697" s="21">
        <v>42430</v>
      </c>
      <c r="B697" s="22">
        <v>6.75</v>
      </c>
      <c r="C697" s="22">
        <v>8.6</v>
      </c>
      <c r="D697" s="22">
        <v>5.63</v>
      </c>
      <c r="E697" s="22">
        <v>4.83</v>
      </c>
      <c r="F697" s="22">
        <v>5.89</v>
      </c>
      <c r="G697" s="22">
        <v>4.43</v>
      </c>
      <c r="H697" s="3"/>
    </row>
    <row r="698" spans="1:8" x14ac:dyDescent="0.25">
      <c r="A698" s="21">
        <v>42461</v>
      </c>
      <c r="B698" s="22">
        <v>6.75</v>
      </c>
      <c r="C698" s="22">
        <v>8.6</v>
      </c>
      <c r="D698" s="22">
        <v>5.63</v>
      </c>
      <c r="E698" s="22">
        <v>4.83</v>
      </c>
      <c r="F698" s="22">
        <v>5.7</v>
      </c>
      <c r="G698" s="22">
        <v>4.43</v>
      </c>
      <c r="H698" s="3"/>
    </row>
    <row r="699" spans="1:8" x14ac:dyDescent="0.25">
      <c r="A699" s="21">
        <v>42491</v>
      </c>
      <c r="B699" s="22">
        <v>6.5</v>
      </c>
      <c r="C699" s="22">
        <v>8.35</v>
      </c>
      <c r="D699" s="22">
        <v>5.39</v>
      </c>
      <c r="E699" s="22">
        <v>4.59</v>
      </c>
      <c r="F699" s="22">
        <v>5.45</v>
      </c>
      <c r="G699" s="22">
        <v>4.38</v>
      </c>
      <c r="H699" s="3"/>
    </row>
    <row r="700" spans="1:8" x14ac:dyDescent="0.25">
      <c r="A700" s="21">
        <v>42522</v>
      </c>
      <c r="B700" s="22">
        <v>6.5</v>
      </c>
      <c r="C700" s="22">
        <v>8.35</v>
      </c>
      <c r="D700" s="22">
        <v>5.39</v>
      </c>
      <c r="E700" s="22">
        <v>4.59</v>
      </c>
      <c r="F700" s="22">
        <v>5.45</v>
      </c>
      <c r="G700" s="22">
        <v>4.38</v>
      </c>
      <c r="H700" s="3"/>
    </row>
    <row r="701" spans="1:8" x14ac:dyDescent="0.25">
      <c r="A701" s="21">
        <v>42552</v>
      </c>
      <c r="B701" s="22">
        <v>6.5</v>
      </c>
      <c r="C701" s="22">
        <v>8.35</v>
      </c>
      <c r="D701" s="22">
        <v>5.39</v>
      </c>
      <c r="E701" s="22">
        <v>4.59</v>
      </c>
      <c r="F701" s="22">
        <v>5.45</v>
      </c>
      <c r="G701" s="22">
        <v>4.2699999999999996</v>
      </c>
      <c r="H701" s="3"/>
    </row>
    <row r="702" spans="1:8" x14ac:dyDescent="0.25">
      <c r="A702" s="21">
        <v>42583</v>
      </c>
      <c r="B702" s="22">
        <v>6.39</v>
      </c>
      <c r="C702" s="22">
        <v>8.24</v>
      </c>
      <c r="D702" s="22">
        <v>5.26</v>
      </c>
      <c r="E702" s="22">
        <v>4.46</v>
      </c>
      <c r="F702" s="22">
        <v>5.34</v>
      </c>
      <c r="G702" s="22">
        <v>4.0999999999999996</v>
      </c>
      <c r="H702" s="3"/>
    </row>
    <row r="703" spans="1:8" x14ac:dyDescent="0.25">
      <c r="A703" s="21">
        <v>42614</v>
      </c>
      <c r="B703" s="22">
        <v>6.39</v>
      </c>
      <c r="C703" s="22">
        <v>8.24</v>
      </c>
      <c r="D703" s="22">
        <v>5.26</v>
      </c>
      <c r="E703" s="22">
        <v>4.51</v>
      </c>
      <c r="F703" s="22">
        <v>5.34</v>
      </c>
      <c r="G703" s="22">
        <v>4.0199999999999996</v>
      </c>
      <c r="H703" s="3"/>
    </row>
    <row r="704" spans="1:8" x14ac:dyDescent="0.25">
      <c r="A704" s="21">
        <v>42644</v>
      </c>
      <c r="B704" s="22">
        <v>6.39</v>
      </c>
      <c r="C704" s="22">
        <v>8.24</v>
      </c>
      <c r="D704" s="22">
        <v>5.26</v>
      </c>
      <c r="E704" s="22">
        <v>4.51</v>
      </c>
      <c r="F704" s="22">
        <v>5.34</v>
      </c>
      <c r="G704" s="22">
        <v>4.0199999999999996</v>
      </c>
      <c r="H704" s="3"/>
    </row>
    <row r="705" spans="1:8" x14ac:dyDescent="0.25">
      <c r="A705" s="21">
        <v>42675</v>
      </c>
      <c r="B705" s="22">
        <v>6.39</v>
      </c>
      <c r="C705" s="22">
        <v>8.24</v>
      </c>
      <c r="D705" s="22">
        <v>5.26</v>
      </c>
      <c r="E705" s="22">
        <v>4.51</v>
      </c>
      <c r="F705" s="22">
        <v>5.34</v>
      </c>
      <c r="G705" s="22">
        <v>4.1100000000000003</v>
      </c>
      <c r="H705" s="3"/>
    </row>
    <row r="706" spans="1:8" x14ac:dyDescent="0.25">
      <c r="A706" s="21">
        <v>42705</v>
      </c>
      <c r="B706" s="22">
        <v>6.39</v>
      </c>
      <c r="C706" s="22">
        <v>8.24</v>
      </c>
      <c r="D706" s="22">
        <v>5.26</v>
      </c>
      <c r="E706" s="22">
        <v>4.51</v>
      </c>
      <c r="F706" s="22">
        <v>5.38</v>
      </c>
      <c r="G706" s="22">
        <v>4.1500000000000004</v>
      </c>
      <c r="H706" s="3"/>
    </row>
    <row r="707" spans="1:8" x14ac:dyDescent="0.25">
      <c r="A707" s="21">
        <v>42736</v>
      </c>
      <c r="B707" s="22">
        <v>6.39</v>
      </c>
      <c r="C707" s="22">
        <v>8.24</v>
      </c>
      <c r="D707" s="22">
        <v>5.26</v>
      </c>
      <c r="E707" s="22">
        <v>4.51</v>
      </c>
      <c r="F707" s="22">
        <v>5.38</v>
      </c>
      <c r="G707" s="22">
        <v>4.26</v>
      </c>
      <c r="H707" s="3"/>
    </row>
    <row r="708" spans="1:8" x14ac:dyDescent="0.25">
      <c r="A708" s="21">
        <v>42767</v>
      </c>
      <c r="B708" s="22">
        <v>6.39</v>
      </c>
      <c r="C708" s="22">
        <v>8.24</v>
      </c>
      <c r="D708" s="22">
        <v>5.26</v>
      </c>
      <c r="E708" s="22">
        <v>4.51</v>
      </c>
      <c r="F708" s="22">
        <v>5.38</v>
      </c>
      <c r="G708" s="22">
        <v>4.26</v>
      </c>
      <c r="H708" s="3"/>
    </row>
    <row r="709" spans="1:8" x14ac:dyDescent="0.25">
      <c r="A709" s="21">
        <v>42795</v>
      </c>
      <c r="B709" s="22">
        <v>6.39</v>
      </c>
      <c r="C709" s="22">
        <v>8.26</v>
      </c>
      <c r="D709" s="22">
        <v>5.28</v>
      </c>
      <c r="E709" s="22">
        <v>4.53</v>
      </c>
      <c r="F709" s="22">
        <v>5.46</v>
      </c>
      <c r="G709" s="22">
        <v>4.26</v>
      </c>
      <c r="H709" s="3"/>
    </row>
    <row r="710" spans="1:8" x14ac:dyDescent="0.25">
      <c r="A710" s="21">
        <v>42826</v>
      </c>
      <c r="B710" s="22">
        <v>6.43</v>
      </c>
      <c r="C710" s="22">
        <v>8.2799999999999994</v>
      </c>
      <c r="D710" s="22">
        <v>5.28</v>
      </c>
      <c r="E710" s="22">
        <v>4.53</v>
      </c>
      <c r="F710" s="22">
        <v>5.45</v>
      </c>
      <c r="G710" s="22">
        <v>4.22</v>
      </c>
      <c r="H710" s="3"/>
    </row>
    <row r="711" spans="1:8" x14ac:dyDescent="0.25">
      <c r="A711" s="21">
        <v>42856</v>
      </c>
      <c r="B711" s="22">
        <v>6.43</v>
      </c>
      <c r="C711" s="22">
        <v>8.2799999999999994</v>
      </c>
      <c r="D711" s="22">
        <v>5.29</v>
      </c>
      <c r="E711" s="22">
        <v>4.54</v>
      </c>
      <c r="F711" s="22">
        <v>5.46</v>
      </c>
      <c r="G711" s="22">
        <v>4.22</v>
      </c>
      <c r="H711" s="3"/>
    </row>
    <row r="712" spans="1:8" x14ac:dyDescent="0.25">
      <c r="A712" s="21">
        <v>42887</v>
      </c>
      <c r="B712" s="22">
        <v>6.43</v>
      </c>
      <c r="C712" s="22">
        <v>8.2799999999999994</v>
      </c>
      <c r="D712" s="22">
        <v>5.23</v>
      </c>
      <c r="E712" s="22">
        <v>4.4800000000000004</v>
      </c>
      <c r="F712" s="22">
        <v>5.71</v>
      </c>
      <c r="G712" s="22">
        <v>4.1500000000000004</v>
      </c>
      <c r="H712" s="3"/>
    </row>
    <row r="713" spans="1:8" x14ac:dyDescent="0.25">
      <c r="A713" s="21">
        <v>42917</v>
      </c>
      <c r="B713" s="22">
        <v>6.43</v>
      </c>
      <c r="C713" s="22">
        <v>8.2799999999999994</v>
      </c>
      <c r="D713" s="22">
        <v>5.22</v>
      </c>
      <c r="E713" s="22">
        <v>4.47</v>
      </c>
      <c r="F713" s="22">
        <v>5.78</v>
      </c>
      <c r="G713" s="22">
        <v>4.1500000000000004</v>
      </c>
      <c r="H713" s="3"/>
    </row>
    <row r="714" spans="1:8" x14ac:dyDescent="0.25">
      <c r="A714" s="21">
        <v>42948</v>
      </c>
      <c r="B714" s="22">
        <v>6.43</v>
      </c>
      <c r="C714" s="22">
        <v>8.2799999999999994</v>
      </c>
      <c r="D714" s="22">
        <v>5.22</v>
      </c>
      <c r="E714" s="22">
        <v>4.47</v>
      </c>
      <c r="F714" s="22">
        <v>5.78</v>
      </c>
      <c r="G714" s="22">
        <v>4.1399999999999997</v>
      </c>
      <c r="H714" s="3"/>
    </row>
    <row r="715" spans="1:8" x14ac:dyDescent="0.25">
      <c r="A715" s="21">
        <v>42979</v>
      </c>
      <c r="B715" s="22">
        <v>6.43</v>
      </c>
      <c r="C715" s="22">
        <v>8.2799999999999994</v>
      </c>
      <c r="D715" s="22">
        <v>5.22</v>
      </c>
      <c r="E715" s="22">
        <v>4.47</v>
      </c>
      <c r="F715" s="22">
        <v>5.78</v>
      </c>
      <c r="G715" s="22">
        <v>4.12</v>
      </c>
      <c r="H715" s="3"/>
    </row>
    <row r="716" spans="1:8" x14ac:dyDescent="0.25">
      <c r="A716" s="21">
        <v>43009</v>
      </c>
      <c r="B716" s="22">
        <v>6.43</v>
      </c>
      <c r="C716" s="22">
        <v>8.2799999999999994</v>
      </c>
      <c r="D716" s="22">
        <v>5.22</v>
      </c>
      <c r="E716" s="22">
        <v>4.47</v>
      </c>
      <c r="F716" s="22">
        <v>5.78</v>
      </c>
      <c r="G716" s="22">
        <v>4.12</v>
      </c>
      <c r="H716" s="3"/>
    </row>
    <row r="717" spans="1:8" x14ac:dyDescent="0.25">
      <c r="A717" s="21">
        <v>43040</v>
      </c>
      <c r="B717" s="22">
        <v>6.43</v>
      </c>
      <c r="C717" s="22">
        <v>8.2799999999999994</v>
      </c>
      <c r="D717" s="22">
        <v>5.22</v>
      </c>
      <c r="E717" s="22">
        <v>4.47</v>
      </c>
      <c r="F717" s="22">
        <v>5.78</v>
      </c>
      <c r="G717" s="22">
        <v>4.12</v>
      </c>
      <c r="H717" s="3"/>
    </row>
    <row r="718" spans="1:8" x14ac:dyDescent="0.25">
      <c r="A718" s="21">
        <v>43070</v>
      </c>
      <c r="B718" s="22">
        <v>6.43</v>
      </c>
      <c r="C718" s="22">
        <v>8.2799999999999994</v>
      </c>
      <c r="D718" s="22">
        <v>5.22</v>
      </c>
      <c r="E718" s="22">
        <v>4.51</v>
      </c>
      <c r="F718" s="22">
        <v>5.78</v>
      </c>
      <c r="G718" s="22">
        <v>4.12</v>
      </c>
      <c r="H718" s="3"/>
    </row>
    <row r="719" spans="1:8" x14ac:dyDescent="0.25">
      <c r="A719" s="21">
        <v>43101</v>
      </c>
      <c r="B719" s="22">
        <v>6.43</v>
      </c>
      <c r="C719" s="22">
        <v>8.2799999999999994</v>
      </c>
      <c r="D719" s="22">
        <v>5.22</v>
      </c>
      <c r="E719" s="22">
        <v>4.51</v>
      </c>
      <c r="F719" s="22">
        <v>5.78</v>
      </c>
      <c r="G719" s="22">
        <v>4.1399999999999997</v>
      </c>
      <c r="H719" s="3"/>
    </row>
    <row r="720" spans="1:8" x14ac:dyDescent="0.25">
      <c r="A720" s="21">
        <v>43132</v>
      </c>
      <c r="B720" s="22">
        <v>6.43</v>
      </c>
      <c r="C720" s="22">
        <v>8.2799999999999994</v>
      </c>
      <c r="D720" s="22">
        <v>5.22</v>
      </c>
      <c r="E720" s="22">
        <v>4.51</v>
      </c>
      <c r="F720" s="22">
        <v>5.78</v>
      </c>
      <c r="G720" s="22">
        <v>4.1399999999999997</v>
      </c>
      <c r="H720" s="3"/>
    </row>
    <row r="721" spans="1:8" x14ac:dyDescent="0.25">
      <c r="A721" s="21">
        <v>43160</v>
      </c>
      <c r="B721" s="22">
        <v>6.43</v>
      </c>
      <c r="C721" s="22">
        <v>8.2799999999999994</v>
      </c>
      <c r="D721" s="22">
        <v>5.22</v>
      </c>
      <c r="E721" s="22">
        <v>4.51</v>
      </c>
      <c r="F721" s="22">
        <v>5.78</v>
      </c>
      <c r="G721" s="22">
        <v>4.13</v>
      </c>
      <c r="H721" s="3"/>
    </row>
    <row r="722" spans="1:8" x14ac:dyDescent="0.25">
      <c r="A722" s="21">
        <v>43191</v>
      </c>
      <c r="B722" s="22">
        <v>6.43</v>
      </c>
      <c r="C722" s="22">
        <v>8.2799999999999994</v>
      </c>
      <c r="D722" s="22">
        <v>5.22</v>
      </c>
      <c r="E722" s="22">
        <v>4.51</v>
      </c>
      <c r="F722" s="22">
        <v>5.78</v>
      </c>
      <c r="G722" s="22">
        <v>4.13</v>
      </c>
      <c r="H722" s="3"/>
    </row>
    <row r="723" spans="1:8" x14ac:dyDescent="0.25">
      <c r="A723" s="21">
        <v>43221</v>
      </c>
      <c r="B723" s="22">
        <v>6.43</v>
      </c>
      <c r="C723" s="22">
        <v>8.2799999999999994</v>
      </c>
      <c r="D723" s="22">
        <v>5.22</v>
      </c>
      <c r="E723" s="22">
        <v>4.51</v>
      </c>
      <c r="F723" s="22">
        <v>5.78</v>
      </c>
      <c r="G723" s="22">
        <v>4.13</v>
      </c>
      <c r="H723" s="3"/>
    </row>
    <row r="724" spans="1:8" x14ac:dyDescent="0.25">
      <c r="A724" s="21">
        <v>43252</v>
      </c>
      <c r="B724" s="22">
        <v>6.43</v>
      </c>
      <c r="C724" s="22">
        <v>8.2799999999999994</v>
      </c>
      <c r="D724" s="22">
        <v>5.22</v>
      </c>
      <c r="E724" s="22">
        <v>4.51</v>
      </c>
      <c r="F724" s="22">
        <v>5.78</v>
      </c>
      <c r="G724" s="22">
        <v>4.13</v>
      </c>
      <c r="H724" s="3"/>
    </row>
    <row r="725" spans="1:8" x14ac:dyDescent="0.25">
      <c r="A725" s="21">
        <v>43282</v>
      </c>
      <c r="B725" s="22">
        <v>6.43</v>
      </c>
      <c r="C725" s="22">
        <v>8.2799999999999994</v>
      </c>
      <c r="D725" s="22">
        <v>5.22</v>
      </c>
      <c r="E725" s="22">
        <v>4.51</v>
      </c>
      <c r="F725" s="22">
        <v>5.78</v>
      </c>
      <c r="G725" s="22">
        <v>4.1100000000000003</v>
      </c>
      <c r="H725" s="3"/>
    </row>
    <row r="726" spans="1:8" x14ac:dyDescent="0.25">
      <c r="A726" s="21">
        <v>43313</v>
      </c>
      <c r="B726" s="22">
        <v>6.43</v>
      </c>
      <c r="C726" s="22">
        <v>8.2799999999999994</v>
      </c>
      <c r="D726" s="22">
        <v>5.22</v>
      </c>
      <c r="E726" s="22">
        <v>4.51</v>
      </c>
      <c r="F726" s="22">
        <v>5.78</v>
      </c>
      <c r="G726" s="22">
        <v>4.1100000000000003</v>
      </c>
      <c r="H726" s="3"/>
    </row>
    <row r="727" spans="1:8" x14ac:dyDescent="0.25">
      <c r="A727" s="21">
        <v>43344</v>
      </c>
      <c r="B727" s="22">
        <v>6.47</v>
      </c>
      <c r="C727" s="22">
        <v>8.32</v>
      </c>
      <c r="D727" s="22">
        <v>5.31</v>
      </c>
      <c r="E727" s="22">
        <v>4.62</v>
      </c>
      <c r="F727" s="22">
        <v>5.86</v>
      </c>
      <c r="G727" s="22">
        <v>4.1100000000000003</v>
      </c>
      <c r="H727" s="3"/>
    </row>
    <row r="728" spans="1:8" x14ac:dyDescent="0.25">
      <c r="A728" s="21">
        <v>43374</v>
      </c>
      <c r="B728" s="22">
        <v>6.47</v>
      </c>
      <c r="C728" s="22">
        <v>8.32</v>
      </c>
      <c r="D728" s="22">
        <v>5.34</v>
      </c>
      <c r="E728" s="22">
        <v>4.6500000000000004</v>
      </c>
      <c r="F728" s="22">
        <v>5.89</v>
      </c>
      <c r="G728" s="22">
        <v>4.1100000000000003</v>
      </c>
      <c r="H728" s="3"/>
    </row>
    <row r="729" spans="1:8" x14ac:dyDescent="0.25">
      <c r="A729" s="21">
        <v>43405</v>
      </c>
      <c r="B729" s="22">
        <v>6.47</v>
      </c>
      <c r="C729" s="22">
        <v>8.32</v>
      </c>
      <c r="D729" s="22">
        <v>5.34</v>
      </c>
      <c r="E729" s="22">
        <v>4.6500000000000004</v>
      </c>
      <c r="F729" s="22">
        <v>5.89</v>
      </c>
      <c r="G729" s="22">
        <v>4.07</v>
      </c>
      <c r="H729" s="3"/>
    </row>
    <row r="730" spans="1:8" x14ac:dyDescent="0.25">
      <c r="A730" s="21">
        <v>43435</v>
      </c>
      <c r="B730" s="22">
        <v>6.47</v>
      </c>
      <c r="C730" s="22">
        <v>8.32</v>
      </c>
      <c r="D730" s="22">
        <v>5.34</v>
      </c>
      <c r="E730" s="22">
        <v>4.6500000000000004</v>
      </c>
      <c r="F730" s="22">
        <v>5.89</v>
      </c>
      <c r="G730" s="22">
        <v>4.07</v>
      </c>
      <c r="H730" s="3"/>
    </row>
    <row r="731" spans="1:8" x14ac:dyDescent="0.25">
      <c r="A731" s="21">
        <v>43466</v>
      </c>
      <c r="B731" s="22">
        <v>6.47</v>
      </c>
      <c r="C731" s="22">
        <v>8.32</v>
      </c>
      <c r="D731" s="22">
        <v>5.37</v>
      </c>
      <c r="E731" s="22">
        <v>4.68</v>
      </c>
      <c r="F731" s="22">
        <v>5.93</v>
      </c>
      <c r="G731" s="22">
        <v>4.07</v>
      </c>
      <c r="H731" s="3"/>
    </row>
    <row r="732" spans="1:8" x14ac:dyDescent="0.25">
      <c r="A732" s="21">
        <v>43497</v>
      </c>
      <c r="B732" s="22">
        <v>6.47</v>
      </c>
      <c r="C732" s="22">
        <v>8.32</v>
      </c>
      <c r="D732" s="22">
        <v>5.37</v>
      </c>
      <c r="E732" s="22">
        <v>4.68</v>
      </c>
      <c r="F732" s="22">
        <v>5.93</v>
      </c>
      <c r="G732" s="22">
        <v>4.07</v>
      </c>
      <c r="H732" s="3"/>
    </row>
    <row r="733" spans="1:8" x14ac:dyDescent="0.25">
      <c r="A733" s="21">
        <v>43525</v>
      </c>
      <c r="B733" s="22">
        <v>6.47</v>
      </c>
      <c r="C733" s="22">
        <v>8.32</v>
      </c>
      <c r="D733" s="22">
        <v>5.37</v>
      </c>
      <c r="E733" s="22">
        <v>4.68</v>
      </c>
      <c r="F733" s="22">
        <v>5.93</v>
      </c>
      <c r="G733" s="22">
        <v>4.05</v>
      </c>
      <c r="H733" s="3"/>
    </row>
    <row r="734" spans="1:8" x14ac:dyDescent="0.25">
      <c r="A734" s="21">
        <v>43556</v>
      </c>
      <c r="B734" s="22">
        <v>6.47</v>
      </c>
      <c r="C734" s="22">
        <v>8.32</v>
      </c>
      <c r="D734" s="22">
        <v>5.37</v>
      </c>
      <c r="E734" s="22">
        <v>4.68</v>
      </c>
      <c r="F734" s="22">
        <v>5.93</v>
      </c>
      <c r="G734" s="22">
        <v>3.99</v>
      </c>
      <c r="H734" s="3"/>
    </row>
    <row r="735" spans="1:8" x14ac:dyDescent="0.25">
      <c r="A735" s="21">
        <v>43586</v>
      </c>
      <c r="B735" s="22">
        <v>6.47</v>
      </c>
      <c r="C735" s="22">
        <v>8.32</v>
      </c>
      <c r="D735" s="22">
        <v>5.37</v>
      </c>
      <c r="E735" s="22">
        <v>4.68</v>
      </c>
      <c r="F735" s="22">
        <v>5.93</v>
      </c>
      <c r="G735" s="22">
        <v>3.89</v>
      </c>
      <c r="H735" s="3"/>
    </row>
    <row r="736" spans="1:8" x14ac:dyDescent="0.25">
      <c r="A736" s="21">
        <v>43617</v>
      </c>
      <c r="B736" s="22">
        <v>6.36</v>
      </c>
      <c r="C736" s="22">
        <v>8.2100000000000009</v>
      </c>
      <c r="D736" s="22">
        <v>5.15</v>
      </c>
      <c r="E736" s="22">
        <v>4.46</v>
      </c>
      <c r="F736" s="22">
        <v>5.71</v>
      </c>
      <c r="G736" s="22">
        <v>3.88</v>
      </c>
      <c r="H736" s="3"/>
    </row>
    <row r="737" spans="1:8" x14ac:dyDescent="0.25">
      <c r="A737" s="21">
        <v>43647</v>
      </c>
      <c r="B737" s="22">
        <v>6.2</v>
      </c>
      <c r="C737" s="22">
        <v>7.74</v>
      </c>
      <c r="D737" s="22">
        <v>4.9400000000000004</v>
      </c>
      <c r="E737" s="22">
        <v>4.25</v>
      </c>
      <c r="F737" s="22">
        <v>5.49</v>
      </c>
      <c r="G737" s="22">
        <v>3.41</v>
      </c>
      <c r="H737" s="3"/>
    </row>
    <row r="738" spans="1:8" x14ac:dyDescent="0.25">
      <c r="A738" s="21">
        <v>43678</v>
      </c>
      <c r="B738" s="22">
        <v>6.2</v>
      </c>
      <c r="C738" s="22">
        <v>7.74</v>
      </c>
      <c r="D738" s="22">
        <v>4.9400000000000004</v>
      </c>
      <c r="E738" s="22">
        <v>4.25</v>
      </c>
      <c r="F738" s="22">
        <v>5.49</v>
      </c>
      <c r="G738" s="22">
        <v>3.41</v>
      </c>
      <c r="H738" s="3"/>
    </row>
    <row r="739" spans="1:8" x14ac:dyDescent="0.25">
      <c r="A739" s="21">
        <v>43709</v>
      </c>
      <c r="B739" s="22">
        <v>6.2</v>
      </c>
      <c r="C739" s="22">
        <v>7.74</v>
      </c>
      <c r="D739" s="22">
        <v>4.9400000000000004</v>
      </c>
      <c r="E739" s="22">
        <v>4.25</v>
      </c>
      <c r="F739" s="22">
        <v>5.49</v>
      </c>
      <c r="G739" s="22">
        <v>3.36</v>
      </c>
      <c r="H739" s="3"/>
    </row>
    <row r="740" spans="1:8" x14ac:dyDescent="0.25">
      <c r="A740" s="21">
        <v>43739</v>
      </c>
      <c r="B740" s="22">
        <v>6.09</v>
      </c>
      <c r="C740" s="22">
        <v>7.63</v>
      </c>
      <c r="D740" s="22">
        <v>4.8</v>
      </c>
      <c r="E740" s="22">
        <v>4.1500000000000004</v>
      </c>
      <c r="F740" s="22">
        <v>5.35</v>
      </c>
      <c r="G740" s="22">
        <v>3.1</v>
      </c>
      <c r="H740" s="3"/>
    </row>
    <row r="741" spans="1:8" x14ac:dyDescent="0.25">
      <c r="A741" s="21">
        <v>43770</v>
      </c>
      <c r="B741" s="22">
        <v>6.09</v>
      </c>
      <c r="C741" s="22">
        <v>7.63</v>
      </c>
      <c r="D741" s="22">
        <v>4.8</v>
      </c>
      <c r="E741" s="22">
        <v>4.1500000000000004</v>
      </c>
      <c r="F741" s="22">
        <v>5.35</v>
      </c>
      <c r="G741" s="22">
        <v>3.1</v>
      </c>
      <c r="H741" s="3"/>
    </row>
    <row r="742" spans="1:8" x14ac:dyDescent="0.25">
      <c r="A742" s="21">
        <v>43800</v>
      </c>
      <c r="B742" s="22">
        <v>6.09</v>
      </c>
      <c r="C742" s="22">
        <v>7.63</v>
      </c>
      <c r="D742" s="22">
        <v>4.8</v>
      </c>
      <c r="E742" s="22">
        <v>4.1500000000000004</v>
      </c>
      <c r="F742" s="22">
        <v>5.35</v>
      </c>
      <c r="G742" s="22">
        <v>3.1</v>
      </c>
      <c r="H742" s="3"/>
    </row>
    <row r="743" spans="1:8" x14ac:dyDescent="0.25">
      <c r="A743" s="21">
        <v>43831</v>
      </c>
      <c r="B743" s="22">
        <v>6.09</v>
      </c>
      <c r="C743" s="22">
        <v>7.63</v>
      </c>
      <c r="D743" s="22">
        <v>4.8</v>
      </c>
      <c r="E743" s="22">
        <v>4.1500000000000004</v>
      </c>
      <c r="F743" s="22">
        <v>5.35</v>
      </c>
      <c r="G743" s="22">
        <v>3.1</v>
      </c>
      <c r="H743" s="3"/>
    </row>
    <row r="744" spans="1:8" x14ac:dyDescent="0.25">
      <c r="A744" s="21">
        <v>43862</v>
      </c>
      <c r="B744" s="22">
        <v>6.09</v>
      </c>
      <c r="C744" s="22">
        <v>7.63</v>
      </c>
      <c r="D744" s="22">
        <v>4.8</v>
      </c>
      <c r="E744" s="22">
        <v>4.1500000000000004</v>
      </c>
      <c r="F744" s="22">
        <v>5.35</v>
      </c>
      <c r="G744" s="22">
        <v>3.08</v>
      </c>
      <c r="H744" s="3"/>
    </row>
    <row r="745" spans="1:8" x14ac:dyDescent="0.25">
      <c r="A745" s="21">
        <v>43891</v>
      </c>
      <c r="B745" s="22">
        <v>5.53</v>
      </c>
      <c r="C745" s="22">
        <v>7.32</v>
      </c>
      <c r="D745" s="22">
        <v>4.5199999999999996</v>
      </c>
      <c r="E745" s="22">
        <v>3.91</v>
      </c>
      <c r="F745" s="22">
        <v>5.0599999999999996</v>
      </c>
      <c r="G745" s="22">
        <v>2.54</v>
      </c>
      <c r="H745" s="3"/>
    </row>
    <row r="746" spans="1:8" x14ac:dyDescent="0.25">
      <c r="A746" s="21">
        <v>43922</v>
      </c>
      <c r="B746" s="22">
        <v>5.03</v>
      </c>
      <c r="C746" s="22">
        <v>6.57</v>
      </c>
      <c r="D746" s="22">
        <v>4.5199999999999996</v>
      </c>
      <c r="E746" s="22">
        <v>3.91</v>
      </c>
      <c r="F746" s="22">
        <v>5.0599999999999996</v>
      </c>
      <c r="G746" s="22">
        <v>2.54</v>
      </c>
      <c r="H746" s="3"/>
    </row>
    <row r="747" spans="1:8" x14ac:dyDescent="0.25">
      <c r="A747" s="21">
        <v>43952</v>
      </c>
      <c r="B747" s="22">
        <v>5.03</v>
      </c>
      <c r="C747" s="22">
        <v>6.57</v>
      </c>
      <c r="D747" s="22">
        <v>4.5199999999999996</v>
      </c>
      <c r="E747" s="22">
        <v>3.87</v>
      </c>
      <c r="F747" s="22">
        <v>5.0599999999999996</v>
      </c>
      <c r="G747" s="22">
        <v>2.54</v>
      </c>
      <c r="H747" s="3"/>
    </row>
    <row r="748" spans="1:8" x14ac:dyDescent="0.25">
      <c r="A748" s="21">
        <v>43983</v>
      </c>
      <c r="B748" s="22">
        <v>5.03</v>
      </c>
      <c r="C748" s="22">
        <v>6.57</v>
      </c>
      <c r="D748" s="22">
        <v>4.5199999999999996</v>
      </c>
      <c r="E748" s="22">
        <v>3.65</v>
      </c>
      <c r="F748" s="22">
        <v>5.0599999999999996</v>
      </c>
      <c r="G748" s="22">
        <v>2.39</v>
      </c>
      <c r="H748" s="3"/>
    </row>
    <row r="749" spans="1:8" x14ac:dyDescent="0.25">
      <c r="A749" s="21">
        <v>44013</v>
      </c>
      <c r="B749" s="22">
        <v>5.03</v>
      </c>
      <c r="C749" s="22">
        <v>6.51</v>
      </c>
      <c r="D749" s="22">
        <v>4.5199999999999996</v>
      </c>
      <c r="E749" s="22">
        <v>3.65</v>
      </c>
      <c r="F749" s="22">
        <v>5.0599999999999996</v>
      </c>
      <c r="G749" s="22">
        <v>2.39</v>
      </c>
      <c r="H749" s="3"/>
    </row>
    <row r="750" spans="1:8" x14ac:dyDescent="0.25">
      <c r="A750" s="21">
        <v>44044</v>
      </c>
      <c r="B750" s="22">
        <v>5.03</v>
      </c>
      <c r="C750" s="22">
        <v>6.51</v>
      </c>
      <c r="D750" s="22">
        <v>4.5199999999999996</v>
      </c>
      <c r="E750" s="22">
        <v>3.65</v>
      </c>
      <c r="F750" s="22">
        <v>5.0599999999999996</v>
      </c>
      <c r="G750" s="22">
        <v>2.39</v>
      </c>
      <c r="H750" s="3"/>
    </row>
    <row r="751" spans="1:8" x14ac:dyDescent="0.25">
      <c r="A751" s="21">
        <v>44075</v>
      </c>
      <c r="B751" s="22">
        <v>5.03</v>
      </c>
      <c r="C751" s="22">
        <v>6.51</v>
      </c>
      <c r="D751" s="22">
        <v>4.5199999999999996</v>
      </c>
      <c r="E751" s="22">
        <v>3.65</v>
      </c>
      <c r="F751" s="22">
        <v>5.0599999999999996</v>
      </c>
      <c r="G751" s="22">
        <v>2.39</v>
      </c>
      <c r="H751" s="3"/>
    </row>
    <row r="752" spans="1:8" x14ac:dyDescent="0.25">
      <c r="A752" s="21">
        <v>44105</v>
      </c>
      <c r="B752" s="22">
        <v>5.03</v>
      </c>
      <c r="C752" s="22">
        <v>6.51</v>
      </c>
      <c r="D752" s="22">
        <v>4.5199999999999996</v>
      </c>
      <c r="E752" s="22">
        <v>3.65</v>
      </c>
      <c r="F752" s="22">
        <v>5.0599999999999996</v>
      </c>
      <c r="G752" s="22">
        <v>2.39</v>
      </c>
      <c r="H752" s="3"/>
    </row>
    <row r="753" spans="1:8" x14ac:dyDescent="0.25">
      <c r="A753" s="21">
        <v>44136</v>
      </c>
      <c r="B753" s="22">
        <v>5.03</v>
      </c>
      <c r="C753" s="22">
        <v>6.51</v>
      </c>
      <c r="D753" s="22">
        <v>4.5199999999999996</v>
      </c>
      <c r="E753" s="22">
        <v>3.65</v>
      </c>
      <c r="F753" s="22">
        <v>5.0599999999999996</v>
      </c>
      <c r="G753" s="22">
        <v>2.2000000000000002</v>
      </c>
      <c r="H753" s="3"/>
    </row>
    <row r="754" spans="1:8" x14ac:dyDescent="0.25">
      <c r="A754" s="21">
        <v>44166</v>
      </c>
      <c r="B754" s="22">
        <v>5.03</v>
      </c>
      <c r="C754" s="22">
        <v>6.51</v>
      </c>
      <c r="D754" s="22">
        <v>4.5199999999999996</v>
      </c>
      <c r="E754" s="22">
        <v>3.65</v>
      </c>
      <c r="F754" s="22">
        <v>5.0599999999999996</v>
      </c>
      <c r="G754" s="22">
        <v>2.2000000000000002</v>
      </c>
      <c r="H754" s="3"/>
    </row>
    <row r="755" spans="1:8" x14ac:dyDescent="0.25">
      <c r="A755" s="21">
        <v>44197</v>
      </c>
      <c r="B755" s="22">
        <v>5.03</v>
      </c>
      <c r="C755" s="22">
        <v>6.51</v>
      </c>
      <c r="D755" s="22">
        <v>4.5199999999999996</v>
      </c>
      <c r="E755" s="22">
        <v>3.65</v>
      </c>
      <c r="F755" s="22">
        <v>5.0599999999999996</v>
      </c>
      <c r="G755" s="22">
        <v>2.2000000000000002</v>
      </c>
      <c r="H755" s="3"/>
    </row>
    <row r="756" spans="1:8" x14ac:dyDescent="0.25">
      <c r="A756" s="21">
        <v>44228</v>
      </c>
      <c r="B756" s="22">
        <v>5.03</v>
      </c>
      <c r="C756" s="22">
        <v>6.51</v>
      </c>
      <c r="D756" s="22">
        <v>4.5199999999999996</v>
      </c>
      <c r="E756" s="22">
        <v>3.65</v>
      </c>
      <c r="F756" s="22">
        <v>5.0599999999999996</v>
      </c>
      <c r="G756" s="22">
        <v>2.19</v>
      </c>
      <c r="H756" s="3"/>
    </row>
    <row r="757" spans="1:8" x14ac:dyDescent="0.25">
      <c r="A757" s="21">
        <v>44256</v>
      </c>
      <c r="B757" s="22">
        <v>5.03</v>
      </c>
      <c r="C757" s="22">
        <v>6.51</v>
      </c>
      <c r="D757" s="22">
        <v>4.5199999999999996</v>
      </c>
      <c r="E757" s="22">
        <v>3.65</v>
      </c>
      <c r="F757" s="22">
        <v>5.0599999999999996</v>
      </c>
      <c r="G757" s="22">
        <v>2.14</v>
      </c>
      <c r="H757" s="3"/>
    </row>
    <row r="758" spans="1:8" x14ac:dyDescent="0.25">
      <c r="A758" s="21">
        <v>44287</v>
      </c>
      <c r="B758" s="22">
        <v>5.03</v>
      </c>
      <c r="C758" s="22">
        <v>6.51</v>
      </c>
      <c r="D758" s="22">
        <v>4.5199999999999996</v>
      </c>
      <c r="E758" s="22">
        <v>3.59</v>
      </c>
      <c r="F758" s="22">
        <v>5.0599999999999996</v>
      </c>
      <c r="G758" s="22">
        <v>2.14</v>
      </c>
      <c r="H758" s="3"/>
    </row>
    <row r="759" spans="1:8" x14ac:dyDescent="0.25">
      <c r="A759" s="21">
        <v>44317</v>
      </c>
      <c r="B759" s="22">
        <v>5.03</v>
      </c>
      <c r="C759" s="22">
        <v>6.51</v>
      </c>
      <c r="D759" s="22">
        <v>4.5199999999999996</v>
      </c>
      <c r="E759" s="22">
        <v>3.59</v>
      </c>
      <c r="F759" s="22">
        <v>5.0599999999999996</v>
      </c>
      <c r="G759" s="22">
        <v>2.15</v>
      </c>
      <c r="H759" s="3"/>
    </row>
    <row r="760" spans="1:8" x14ac:dyDescent="0.25">
      <c r="A760" s="21">
        <v>44348</v>
      </c>
      <c r="B760" s="22">
        <v>5.03</v>
      </c>
      <c r="C760" s="22">
        <v>6.51</v>
      </c>
      <c r="D760" s="22">
        <v>4.5199999999999996</v>
      </c>
      <c r="E760" s="22">
        <v>3.59</v>
      </c>
      <c r="F760" s="22">
        <v>5.0599999999999996</v>
      </c>
      <c r="G760" s="22">
        <v>2.19</v>
      </c>
      <c r="H760" s="3"/>
    </row>
    <row r="761" spans="1:8" x14ac:dyDescent="0.25">
      <c r="A761" s="21">
        <v>44378</v>
      </c>
      <c r="B761" s="22">
        <v>5.03</v>
      </c>
      <c r="C761" s="22">
        <v>6.51</v>
      </c>
      <c r="D761" s="22">
        <v>4.5199999999999996</v>
      </c>
      <c r="E761" s="22">
        <v>3.6</v>
      </c>
      <c r="F761" s="22">
        <v>5.0599999999999996</v>
      </c>
      <c r="G761" s="22">
        <v>2.19</v>
      </c>
      <c r="H761" s="3"/>
    </row>
    <row r="762" spans="1:8" x14ac:dyDescent="0.25">
      <c r="A762" s="21">
        <v>44409</v>
      </c>
      <c r="B762" s="22">
        <v>5.03</v>
      </c>
      <c r="C762" s="22">
        <v>6.51</v>
      </c>
      <c r="D762" s="22">
        <v>4.5199999999999996</v>
      </c>
      <c r="E762" s="22">
        <v>3.45</v>
      </c>
      <c r="F762" s="22">
        <v>5.0599999999999996</v>
      </c>
      <c r="G762" s="22">
        <v>2.19</v>
      </c>
      <c r="H762" s="3"/>
    </row>
    <row r="763" spans="1:8" x14ac:dyDescent="0.25">
      <c r="A763" s="21">
        <v>44440</v>
      </c>
      <c r="B763" s="22">
        <v>4.75</v>
      </c>
      <c r="C763" s="22">
        <v>6.51</v>
      </c>
      <c r="D763" s="22">
        <v>4.5199999999999996</v>
      </c>
      <c r="E763" s="22">
        <v>3.45</v>
      </c>
      <c r="F763" s="22">
        <v>5.0599999999999996</v>
      </c>
      <c r="G763" s="22">
        <v>2.25</v>
      </c>
      <c r="H763" s="3"/>
    </row>
    <row r="764" spans="1:8" x14ac:dyDescent="0.25">
      <c r="A764" s="21">
        <v>44470</v>
      </c>
      <c r="B764" s="22">
        <v>4.75</v>
      </c>
      <c r="C764" s="22">
        <v>6.51</v>
      </c>
      <c r="D764" s="22">
        <v>4.5199999999999996</v>
      </c>
      <c r="E764" s="22">
        <v>3.45</v>
      </c>
      <c r="F764" s="22">
        <v>5.0599999999999996</v>
      </c>
      <c r="G764" s="22">
        <v>2.4700000000000002</v>
      </c>
      <c r="H764" s="3"/>
    </row>
    <row r="765" spans="1:8" x14ac:dyDescent="0.25">
      <c r="A765" s="21">
        <v>44501</v>
      </c>
      <c r="B765" s="22">
        <v>4.75</v>
      </c>
      <c r="C765" s="22">
        <v>6.51</v>
      </c>
      <c r="D765" s="22">
        <v>4.5199999999999996</v>
      </c>
      <c r="E765" s="22">
        <v>3.45</v>
      </c>
      <c r="F765" s="22">
        <v>5.0599999999999996</v>
      </c>
      <c r="G765" s="22">
        <v>2.93</v>
      </c>
      <c r="H765" s="3"/>
    </row>
    <row r="766" spans="1:8" x14ac:dyDescent="0.25">
      <c r="A766" s="21">
        <v>44531</v>
      </c>
      <c r="B766" s="22">
        <v>4.75</v>
      </c>
      <c r="C766" s="22">
        <v>6.51</v>
      </c>
      <c r="D766" s="22">
        <v>4.5199999999999996</v>
      </c>
      <c r="E766" s="22">
        <v>3.45</v>
      </c>
      <c r="F766" s="22">
        <v>5.0599999999999996</v>
      </c>
      <c r="G766" s="22">
        <v>3.17</v>
      </c>
      <c r="H766" s="3"/>
    </row>
    <row r="767" spans="1:8" x14ac:dyDescent="0.25">
      <c r="A767" s="21">
        <v>44562</v>
      </c>
      <c r="B767" s="22">
        <v>4.75</v>
      </c>
      <c r="C767" s="22">
        <v>6.51</v>
      </c>
      <c r="D767" s="22">
        <v>4.5199999999999996</v>
      </c>
      <c r="E767" s="22">
        <v>3.45</v>
      </c>
      <c r="F767" s="22">
        <v>5.0599999999999996</v>
      </c>
      <c r="G767" s="22">
        <v>3.23</v>
      </c>
      <c r="H767" s="3"/>
    </row>
    <row r="768" spans="1:8" x14ac:dyDescent="0.25">
      <c r="A768" s="21">
        <v>44593</v>
      </c>
      <c r="B768" s="22">
        <v>4.75</v>
      </c>
      <c r="C768" s="22">
        <v>6.51</v>
      </c>
      <c r="D768" s="22">
        <v>4.5199999999999996</v>
      </c>
      <c r="E768" s="22">
        <v>3.45</v>
      </c>
      <c r="F768" s="22">
        <v>5.0599999999999996</v>
      </c>
      <c r="G768" s="22">
        <v>3.48</v>
      </c>
      <c r="H768" s="3"/>
    </row>
    <row r="769" spans="1:8" x14ac:dyDescent="0.25">
      <c r="A769" s="21">
        <v>44621</v>
      </c>
      <c r="B769" s="22">
        <v>4.75</v>
      </c>
      <c r="C769" s="22">
        <v>6.51</v>
      </c>
      <c r="D769" s="22">
        <v>4.5199999999999996</v>
      </c>
      <c r="E769" s="22">
        <v>3.45</v>
      </c>
      <c r="F769" s="22">
        <v>5.0599999999999996</v>
      </c>
      <c r="G769" s="22">
        <v>3.83</v>
      </c>
      <c r="H769" s="3"/>
    </row>
    <row r="770" spans="1:8" x14ac:dyDescent="0.25">
      <c r="A770" s="21">
        <v>44652</v>
      </c>
      <c r="B770" s="22">
        <v>4.75</v>
      </c>
      <c r="C770" s="22">
        <v>6.51</v>
      </c>
      <c r="D770" s="22">
        <v>4.5199999999999996</v>
      </c>
      <c r="E770" s="22">
        <v>3.45</v>
      </c>
      <c r="F770" s="22">
        <v>5.0599999999999996</v>
      </c>
      <c r="G770" s="22">
        <v>4.34</v>
      </c>
      <c r="H770" s="3"/>
    </row>
    <row r="771" spans="1:8" x14ac:dyDescent="0.25">
      <c r="A771" s="21">
        <v>44682</v>
      </c>
      <c r="B771" s="22">
        <v>5</v>
      </c>
      <c r="C771" s="22">
        <v>6.79</v>
      </c>
      <c r="D771" s="22">
        <v>4.7699999999999996</v>
      </c>
      <c r="E771" s="22">
        <v>3.7</v>
      </c>
      <c r="F771" s="22">
        <v>5.31</v>
      </c>
      <c r="G771" s="22">
        <v>4.72</v>
      </c>
      <c r="H771" s="3"/>
    </row>
    <row r="772" spans="1:8" x14ac:dyDescent="0.25">
      <c r="A772" s="21">
        <v>44713</v>
      </c>
      <c r="B772" s="22">
        <v>5.5</v>
      </c>
      <c r="C772" s="22">
        <v>7.26</v>
      </c>
      <c r="D772" s="22">
        <v>5.27</v>
      </c>
      <c r="E772" s="22">
        <v>4.2</v>
      </c>
      <c r="F772" s="22">
        <v>5.81</v>
      </c>
      <c r="G772" s="22">
        <v>5.66</v>
      </c>
      <c r="H772" s="3"/>
    </row>
    <row r="773" spans="1:8" x14ac:dyDescent="0.25">
      <c r="A773" s="21">
        <v>44743</v>
      </c>
      <c r="B773" s="22">
        <v>6</v>
      </c>
      <c r="C773" s="22">
        <v>7.76</v>
      </c>
      <c r="D773" s="22">
        <v>5.77</v>
      </c>
      <c r="E773" s="22">
        <v>4.7</v>
      </c>
      <c r="F773" s="22">
        <v>6.31</v>
      </c>
      <c r="G773" s="22">
        <v>6.14</v>
      </c>
      <c r="H773" s="3"/>
    </row>
    <row r="774" spans="1:8" x14ac:dyDescent="0.25">
      <c r="A774" s="21">
        <v>44774</v>
      </c>
      <c r="B774" s="22">
        <v>6.5</v>
      </c>
      <c r="C774" s="22">
        <v>8.2899999999999991</v>
      </c>
      <c r="D774" s="22">
        <v>6.27</v>
      </c>
      <c r="E774" s="22">
        <v>5.2</v>
      </c>
      <c r="F774" s="22">
        <v>6.81</v>
      </c>
      <c r="G774" s="22">
        <v>6.06</v>
      </c>
      <c r="H774" s="3"/>
    </row>
    <row r="775" spans="1:8" x14ac:dyDescent="0.25">
      <c r="A775" s="21">
        <v>44805</v>
      </c>
      <c r="B775" s="22">
        <v>7</v>
      </c>
      <c r="C775" s="22">
        <v>8.7899999999999991</v>
      </c>
      <c r="D775" s="22">
        <v>6.77</v>
      </c>
      <c r="E775" s="22">
        <v>5.7</v>
      </c>
      <c r="F775" s="22">
        <v>7.31</v>
      </c>
      <c r="G775" s="22">
        <v>6.05</v>
      </c>
      <c r="H775" s="3"/>
    </row>
    <row r="776" spans="1:8" x14ac:dyDescent="0.25">
      <c r="A776" s="21">
        <v>44835</v>
      </c>
      <c r="B776" s="22">
        <v>7.25</v>
      </c>
      <c r="C776" s="22">
        <v>9.0399999999999991</v>
      </c>
      <c r="D776" s="22">
        <v>7.02</v>
      </c>
      <c r="E776" s="22">
        <v>5.95</v>
      </c>
      <c r="F776" s="22">
        <v>7.56</v>
      </c>
      <c r="G776" s="22">
        <v>6.24</v>
      </c>
      <c r="H776" s="3"/>
    </row>
    <row r="777" spans="1:8" x14ac:dyDescent="0.25">
      <c r="A777" s="21">
        <v>44866</v>
      </c>
      <c r="B777" s="22">
        <v>7.5</v>
      </c>
      <c r="C777" s="22">
        <v>9.2899999999999991</v>
      </c>
      <c r="D777" s="22">
        <v>7.27</v>
      </c>
      <c r="E777" s="22">
        <v>5.72</v>
      </c>
      <c r="F777" s="22">
        <v>7.81</v>
      </c>
      <c r="G777" s="22">
        <v>6.3</v>
      </c>
      <c r="H777" s="3"/>
    </row>
    <row r="778" spans="1:8" x14ac:dyDescent="0.25">
      <c r="A778" s="21">
        <v>44896</v>
      </c>
      <c r="B778" s="22">
        <v>7.75</v>
      </c>
      <c r="C778" s="22">
        <v>9.51</v>
      </c>
      <c r="D778" s="22">
        <v>7.52</v>
      </c>
      <c r="E778" s="22">
        <v>5.97</v>
      </c>
      <c r="F778" s="22">
        <v>8.06</v>
      </c>
      <c r="G778" s="22">
        <v>6.24</v>
      </c>
      <c r="H778" s="3"/>
    </row>
    <row r="779" spans="1:8" x14ac:dyDescent="0.25">
      <c r="A779" s="21">
        <v>44927</v>
      </c>
      <c r="B779" s="22">
        <v>7.75</v>
      </c>
      <c r="C779" s="22">
        <v>9.51</v>
      </c>
      <c r="D779" s="22">
        <v>7.52</v>
      </c>
      <c r="E779" s="22">
        <v>5.97</v>
      </c>
      <c r="F779" s="22">
        <v>8.06</v>
      </c>
      <c r="G779" s="22">
        <v>6.24</v>
      </c>
      <c r="H779" s="3"/>
    </row>
    <row r="780" spans="1:8" x14ac:dyDescent="0.25">
      <c r="A780" s="21">
        <v>44958</v>
      </c>
      <c r="B780" s="22">
        <v>8</v>
      </c>
      <c r="C780" s="22">
        <v>9.76</v>
      </c>
      <c r="D780" s="22">
        <v>7.77</v>
      </c>
      <c r="E780" s="22">
        <v>6.22</v>
      </c>
      <c r="F780" s="22">
        <v>8.31</v>
      </c>
      <c r="G780" s="22">
        <v>6.26</v>
      </c>
      <c r="H780" s="3"/>
    </row>
    <row r="781" spans="1:8" x14ac:dyDescent="0.25">
      <c r="A781" s="21">
        <v>44986</v>
      </c>
      <c r="B781" s="22">
        <v>8.25</v>
      </c>
      <c r="C781" s="22">
        <v>10.01</v>
      </c>
      <c r="D781" s="22">
        <v>8.02</v>
      </c>
      <c r="E781" s="22">
        <v>6.43</v>
      </c>
      <c r="F781" s="22">
        <v>8.56</v>
      </c>
      <c r="G781" s="22">
        <v>6.27</v>
      </c>
      <c r="H781" s="3"/>
    </row>
    <row r="782" spans="1:8" x14ac:dyDescent="0.25">
      <c r="A782" s="21">
        <v>45017</v>
      </c>
      <c r="B782" s="22">
        <v>8.44</v>
      </c>
      <c r="C782" s="22">
        <v>10.01</v>
      </c>
      <c r="D782" s="22">
        <v>8.02</v>
      </c>
      <c r="E782" s="22">
        <v>6.49</v>
      </c>
      <c r="F782" s="22">
        <v>8.56</v>
      </c>
      <c r="G782" s="22">
        <v>5.97</v>
      </c>
      <c r="H782" s="3"/>
    </row>
    <row r="783" spans="1:8" x14ac:dyDescent="0.25">
      <c r="A783" s="21">
        <v>45047</v>
      </c>
      <c r="B783" s="22">
        <v>8.5</v>
      </c>
      <c r="C783" s="22">
        <v>10.26</v>
      </c>
      <c r="D783" s="22">
        <v>8.27</v>
      </c>
      <c r="E783" s="22">
        <v>6.79</v>
      </c>
      <c r="F783" s="22">
        <v>8.7899999999999991</v>
      </c>
      <c r="G783" s="22">
        <v>5.97</v>
      </c>
      <c r="H783" s="3"/>
    </row>
    <row r="784" spans="1:8" x14ac:dyDescent="0.25">
      <c r="A784" s="21">
        <v>45078</v>
      </c>
      <c r="B784" s="22">
        <v>8.75</v>
      </c>
      <c r="C784" s="22">
        <v>10.51</v>
      </c>
      <c r="D784" s="22">
        <v>8.52</v>
      </c>
      <c r="E784" s="22">
        <v>7.06</v>
      </c>
      <c r="F784" s="22">
        <v>9.0399999999999991</v>
      </c>
      <c r="G784" s="22">
        <v>6.38</v>
      </c>
      <c r="H784" s="3"/>
    </row>
    <row r="785" spans="1:8" x14ac:dyDescent="0.25">
      <c r="A785" s="21">
        <v>45108</v>
      </c>
      <c r="B785" s="22">
        <v>8.75</v>
      </c>
      <c r="C785" s="22">
        <v>10.51</v>
      </c>
      <c r="D785" s="22">
        <v>8.52</v>
      </c>
      <c r="E785" s="22">
        <v>7.06</v>
      </c>
      <c r="F785" s="22">
        <v>9.0399999999999991</v>
      </c>
      <c r="G785" s="22">
        <v>6.65</v>
      </c>
      <c r="H785" s="3"/>
    </row>
    <row r="786" spans="1:8" x14ac:dyDescent="0.25">
      <c r="A786" s="21">
        <v>45139</v>
      </c>
      <c r="B786" s="22">
        <v>8.75</v>
      </c>
      <c r="C786" s="22">
        <v>10.51</v>
      </c>
      <c r="D786" s="22">
        <v>8.52</v>
      </c>
      <c r="E786" s="22">
        <v>7.06</v>
      </c>
      <c r="F786" s="22">
        <v>9.0399999999999991</v>
      </c>
      <c r="G786" s="22">
        <v>6.58</v>
      </c>
      <c r="H786" s="3"/>
    </row>
    <row r="787" spans="1:8" x14ac:dyDescent="0.25">
      <c r="A787" s="21">
        <v>45170</v>
      </c>
      <c r="B787" s="22">
        <v>8.75</v>
      </c>
      <c r="C787" s="22">
        <v>10.51</v>
      </c>
      <c r="D787" s="22">
        <v>8.52</v>
      </c>
      <c r="E787" s="22">
        <v>7.06</v>
      </c>
      <c r="F787" s="22">
        <v>9.0399999999999991</v>
      </c>
      <c r="G787" s="22">
        <v>6.56</v>
      </c>
      <c r="H787" s="3"/>
    </row>
    <row r="788" spans="1:8" x14ac:dyDescent="0.25">
      <c r="A788" s="21">
        <v>45200</v>
      </c>
      <c r="B788" s="22">
        <v>8.75</v>
      </c>
      <c r="C788" s="22">
        <v>10.51</v>
      </c>
      <c r="D788" s="22">
        <v>8.52</v>
      </c>
      <c r="E788" s="22">
        <v>7.06</v>
      </c>
      <c r="F788" s="22">
        <v>9.0399999999999991</v>
      </c>
      <c r="G788" s="22">
        <v>6.56</v>
      </c>
      <c r="H788" s="3"/>
    </row>
    <row r="789" spans="1:8" x14ac:dyDescent="0.25">
      <c r="A789" s="21">
        <v>45231</v>
      </c>
      <c r="B789" s="22">
        <v>9</v>
      </c>
      <c r="C789" s="22">
        <v>10.79</v>
      </c>
      <c r="D789" s="22">
        <v>8.77</v>
      </c>
      <c r="E789" s="22">
        <v>7.31</v>
      </c>
      <c r="F789" s="22">
        <v>9.2899999999999991</v>
      </c>
      <c r="G789" s="22">
        <v>6.8</v>
      </c>
      <c r="H789" s="3"/>
    </row>
    <row r="790" spans="1:8" x14ac:dyDescent="0.25">
      <c r="A790" s="21">
        <v>45261</v>
      </c>
      <c r="B790" s="22">
        <v>9</v>
      </c>
      <c r="C790" s="22">
        <v>10.79</v>
      </c>
      <c r="D790" s="22">
        <v>8.77</v>
      </c>
      <c r="E790" s="22">
        <v>7.31</v>
      </c>
      <c r="F790" s="22">
        <v>9.2899999999999991</v>
      </c>
      <c r="G790" s="22">
        <v>6.8</v>
      </c>
      <c r="H790" s="3"/>
    </row>
    <row r="791" spans="1:8" x14ac:dyDescent="0.25">
      <c r="A791" s="21">
        <v>45292</v>
      </c>
      <c r="B791" s="22">
        <v>9</v>
      </c>
      <c r="C791" s="22">
        <v>10.79</v>
      </c>
      <c r="D791" s="22">
        <v>8.77</v>
      </c>
      <c r="E791" s="22">
        <v>7.31</v>
      </c>
      <c r="F791" s="22">
        <v>9.2899999999999991</v>
      </c>
      <c r="G791" s="22">
        <v>6.8</v>
      </c>
      <c r="H791" s="3"/>
    </row>
    <row r="792" spans="1:8" x14ac:dyDescent="0.25">
      <c r="A792" s="21">
        <v>45323</v>
      </c>
      <c r="B792" s="22">
        <v>9</v>
      </c>
      <c r="C792" s="22">
        <v>10.79</v>
      </c>
      <c r="D792" s="22">
        <v>8.77</v>
      </c>
      <c r="E792" s="22">
        <v>7.31</v>
      </c>
      <c r="F792" s="22">
        <v>9.2899999999999991</v>
      </c>
      <c r="G792" s="22">
        <v>6.8</v>
      </c>
      <c r="H792" s="3"/>
    </row>
    <row r="793" spans="1:8" x14ac:dyDescent="0.25">
      <c r="A793" s="21">
        <v>45352</v>
      </c>
      <c r="B793" s="22">
        <v>9</v>
      </c>
      <c r="C793" s="22">
        <v>10.79</v>
      </c>
      <c r="D793" s="22">
        <v>8.77</v>
      </c>
      <c r="E793" s="22">
        <v>7.31</v>
      </c>
      <c r="F793" s="22">
        <v>9.2899999999999991</v>
      </c>
      <c r="G793" s="22">
        <v>6.8</v>
      </c>
      <c r="H793" s="3"/>
    </row>
    <row r="794" spans="1:8" x14ac:dyDescent="0.25">
      <c r="A794" s="21">
        <v>45383</v>
      </c>
      <c r="B794" s="22">
        <v>9</v>
      </c>
      <c r="C794" s="22">
        <v>10.79</v>
      </c>
      <c r="D794" s="22">
        <v>8.77</v>
      </c>
      <c r="E794" s="22">
        <v>7.12</v>
      </c>
      <c r="F794" s="22">
        <v>9.2899999999999991</v>
      </c>
      <c r="G794" s="22">
        <v>6.8</v>
      </c>
      <c r="H794" s="3"/>
    </row>
    <row r="795" spans="1:8" x14ac:dyDescent="0.25">
      <c r="A795" s="21">
        <v>45413</v>
      </c>
      <c r="B795" s="22">
        <v>9</v>
      </c>
      <c r="C795" s="22">
        <v>10.79</v>
      </c>
      <c r="D795" s="22">
        <v>8.77</v>
      </c>
      <c r="E795" s="22">
        <v>7.12</v>
      </c>
      <c r="F795" s="22">
        <v>9.2899999999999991</v>
      </c>
      <c r="G795" s="22">
        <v>6.8</v>
      </c>
      <c r="H795" s="3"/>
    </row>
    <row r="796" spans="1:8" x14ac:dyDescent="0.25">
      <c r="A796" s="21">
        <v>45444</v>
      </c>
      <c r="B796" s="22">
        <v>9</v>
      </c>
      <c r="C796" s="22">
        <v>10.79</v>
      </c>
      <c r="D796" s="22">
        <v>8.77</v>
      </c>
      <c r="E796" s="22">
        <v>7.12</v>
      </c>
      <c r="F796" s="22">
        <v>9.2899999999999991</v>
      </c>
      <c r="G796" s="22">
        <v>6.8</v>
      </c>
      <c r="H796" s="3"/>
    </row>
    <row r="797" spans="1:8" x14ac:dyDescent="0.25">
      <c r="A797" s="21">
        <v>45474</v>
      </c>
      <c r="B797" s="22">
        <v>9</v>
      </c>
      <c r="C797" s="22">
        <v>10.79</v>
      </c>
      <c r="D797" s="22">
        <v>8.77</v>
      </c>
      <c r="E797" s="22">
        <v>7.12</v>
      </c>
      <c r="F797" s="22">
        <v>9.2899999999999991</v>
      </c>
      <c r="G797" s="22">
        <v>6.68</v>
      </c>
      <c r="H797" s="3"/>
    </row>
    <row r="798" spans="1:8" x14ac:dyDescent="0.25">
      <c r="A798" s="21">
        <v>45505</v>
      </c>
      <c r="B798" s="22">
        <v>9</v>
      </c>
      <c r="C798" s="22">
        <v>10.79</v>
      </c>
      <c r="D798" s="22">
        <v>8.77</v>
      </c>
      <c r="E798" s="22">
        <v>7.07</v>
      </c>
      <c r="F798" s="22">
        <v>9.2899999999999991</v>
      </c>
      <c r="G798" s="22">
        <v>6.27</v>
      </c>
      <c r="H798" s="3"/>
    </row>
    <row r="799" spans="1:8" x14ac:dyDescent="0.25">
      <c r="A799" s="21">
        <v>45536</v>
      </c>
      <c r="B799" s="22">
        <v>9</v>
      </c>
      <c r="C799" s="22">
        <v>10.79</v>
      </c>
      <c r="D799" s="22">
        <v>8.77</v>
      </c>
      <c r="E799" s="22">
        <v>7.07</v>
      </c>
      <c r="F799" s="22">
        <v>9.2899999999999991</v>
      </c>
      <c r="G799" s="22">
        <v>6.27</v>
      </c>
      <c r="H799" s="3"/>
    </row>
    <row r="800" spans="1:8" x14ac:dyDescent="0.25">
      <c r="A800" s="21">
        <v>45566</v>
      </c>
      <c r="B800" s="22">
        <v>9</v>
      </c>
      <c r="C800" s="22">
        <v>10.79</v>
      </c>
      <c r="D800" s="22">
        <v>8.77</v>
      </c>
      <c r="E800" s="22">
        <v>7.07</v>
      </c>
      <c r="F800" s="22">
        <v>9.2899999999999991</v>
      </c>
      <c r="G800" s="22">
        <v>6.08</v>
      </c>
      <c r="H800" s="3"/>
    </row>
    <row r="801" spans="1:8" x14ac:dyDescent="0.25">
      <c r="A801" s="21">
        <v>45597</v>
      </c>
      <c r="B801" s="22">
        <v>9</v>
      </c>
      <c r="C801" s="22">
        <v>10.79</v>
      </c>
      <c r="D801" s="22">
        <v>8.77</v>
      </c>
      <c r="E801" s="22">
        <v>7.07</v>
      </c>
      <c r="F801" s="22">
        <v>9.2899999999999991</v>
      </c>
      <c r="G801" s="22">
        <v>6.08</v>
      </c>
      <c r="H801" s="3"/>
    </row>
    <row r="802" spans="1:8" x14ac:dyDescent="0.25">
      <c r="A802" s="21">
        <v>45627</v>
      </c>
      <c r="B802" s="22">
        <v>9</v>
      </c>
      <c r="C802" s="22">
        <v>10.79</v>
      </c>
      <c r="D802" s="22">
        <v>8.77</v>
      </c>
      <c r="E802" s="22">
        <v>7.07</v>
      </c>
      <c r="F802" s="22">
        <v>9.2899999999999991</v>
      </c>
      <c r="G802" s="22">
        <v>6.08</v>
      </c>
      <c r="H802" s="3"/>
    </row>
    <row r="803" spans="1:8" x14ac:dyDescent="0.25">
      <c r="A803" s="21">
        <v>45658</v>
      </c>
      <c r="B803" s="22">
        <v>9</v>
      </c>
      <c r="C803" s="22">
        <v>10.79</v>
      </c>
      <c r="D803" s="22">
        <v>8.77</v>
      </c>
      <c r="E803" s="22">
        <v>7.07</v>
      </c>
      <c r="F803" s="22">
        <v>9.2899999999999991</v>
      </c>
      <c r="G803" s="22">
        <v>6.08</v>
      </c>
      <c r="H803" s="3"/>
    </row>
    <row r="804" spans="1:8" x14ac:dyDescent="0.25">
      <c r="A804" s="21">
        <v>45689</v>
      </c>
      <c r="B804" s="22">
        <v>8.8699999999999992</v>
      </c>
      <c r="C804" s="22">
        <v>10.63</v>
      </c>
      <c r="D804" s="22">
        <v>8.6199999999999992</v>
      </c>
      <c r="E804" s="22">
        <v>6.88</v>
      </c>
      <c r="F804" s="22">
        <v>9.1</v>
      </c>
      <c r="G804" s="22">
        <v>6.03</v>
      </c>
      <c r="H804" s="3"/>
    </row>
    <row r="805" spans="1:8" x14ac:dyDescent="0.25">
      <c r="A805" s="21">
        <v>45717</v>
      </c>
      <c r="B805" s="22">
        <v>8.75</v>
      </c>
      <c r="C805" s="22">
        <v>10.51</v>
      </c>
      <c r="D805" s="22">
        <v>8.52</v>
      </c>
      <c r="E805" s="22">
        <v>6.82</v>
      </c>
      <c r="F805" s="22">
        <v>9.0399999999999991</v>
      </c>
      <c r="G805" s="22">
        <v>6.03</v>
      </c>
      <c r="H805" s="3"/>
    </row>
    <row r="806" spans="1:8" x14ac:dyDescent="0.25">
      <c r="A806" s="21">
        <v>45748</v>
      </c>
      <c r="B806" s="22">
        <v>8.75</v>
      </c>
      <c r="C806" s="22">
        <v>10.51</v>
      </c>
      <c r="D806" s="22">
        <v>8.52</v>
      </c>
      <c r="E806" s="22">
        <v>6.55</v>
      </c>
      <c r="F806" s="22">
        <v>9.0399999999999991</v>
      </c>
      <c r="G806" s="22">
        <v>5.94</v>
      </c>
      <c r="H806" s="3"/>
    </row>
    <row r="807" spans="1:8" x14ac:dyDescent="0.25">
      <c r="A807" s="21">
        <v>45778</v>
      </c>
      <c r="B807" s="22">
        <v>8.6199999999999992</v>
      </c>
      <c r="C807" s="22">
        <v>10.38</v>
      </c>
      <c r="D807" s="22">
        <v>8.3699999999999992</v>
      </c>
      <c r="E807" s="22">
        <v>6.37</v>
      </c>
      <c r="F807" s="22">
        <v>8.85</v>
      </c>
      <c r="G807" s="22">
        <v>5.88</v>
      </c>
      <c r="H807" s="3"/>
    </row>
    <row r="808" spans="1:8" x14ac:dyDescent="0.25">
      <c r="A808" s="21">
        <v>45809</v>
      </c>
      <c r="B808" s="22">
        <v>8.5</v>
      </c>
      <c r="C808" s="22">
        <v>10.26</v>
      </c>
      <c r="D808" s="22">
        <v>8.27</v>
      </c>
      <c r="E808" s="22">
        <v>6.3</v>
      </c>
      <c r="F808" s="22">
        <v>8.7899999999999991</v>
      </c>
      <c r="G808" s="22">
        <v>5.88</v>
      </c>
      <c r="H808" s="3"/>
    </row>
    <row r="809" spans="1:8" x14ac:dyDescent="0.25">
      <c r="A809" s="21">
        <v>45839</v>
      </c>
      <c r="B809" s="22">
        <v>8.5</v>
      </c>
      <c r="C809" s="22">
        <v>10.26</v>
      </c>
      <c r="D809" s="22">
        <v>8.27</v>
      </c>
      <c r="E809" s="22">
        <v>6.3</v>
      </c>
      <c r="F809" s="22">
        <v>8.7899999999999991</v>
      </c>
      <c r="G809" s="22">
        <v>5.81</v>
      </c>
      <c r="H809" s="3"/>
    </row>
    <row r="810" spans="1:8" x14ac:dyDescent="0.25">
      <c r="A810" s="21">
        <v>45870</v>
      </c>
      <c r="B810" s="22">
        <v>8.25</v>
      </c>
      <c r="C810" s="22">
        <v>10.01</v>
      </c>
      <c r="D810" s="22">
        <v>8.02</v>
      </c>
      <c r="E810" s="22">
        <v>6.05</v>
      </c>
      <c r="F810" s="22">
        <v>8.5399999999999991</v>
      </c>
      <c r="G810" s="22">
        <v>5.52</v>
      </c>
      <c r="H810" s="3"/>
    </row>
    <row r="811" spans="1:8" x14ac:dyDescent="0.25">
      <c r="A811" s="21">
        <v>45901</v>
      </c>
      <c r="B811" s="22">
        <v>8.25</v>
      </c>
      <c r="C811" s="22">
        <v>10.01</v>
      </c>
      <c r="D811" s="22">
        <v>8.02</v>
      </c>
      <c r="E811" s="22">
        <v>6.05</v>
      </c>
      <c r="F811" s="22">
        <v>8.5399999999999991</v>
      </c>
      <c r="G811" s="22">
        <v>5.52</v>
      </c>
      <c r="H811" s="3"/>
    </row>
    <row r="812" spans="1:8" x14ac:dyDescent="0.25">
      <c r="A812" s="21">
        <v>45931</v>
      </c>
      <c r="B812" s="22">
        <v>8.25</v>
      </c>
      <c r="C812" s="22">
        <v>10.01</v>
      </c>
      <c r="D812" s="22">
        <v>8.02</v>
      </c>
      <c r="E812" s="22">
        <v>6.05</v>
      </c>
      <c r="F812" s="22">
        <v>8.5399999999999991</v>
      </c>
      <c r="G812" s="22">
        <v>5.52</v>
      </c>
      <c r="H812" s="3"/>
    </row>
    <row r="813" spans="1:8" x14ac:dyDescent="0.25">
      <c r="A813" s="21">
        <v>45962</v>
      </c>
      <c r="B813" s="22">
        <v>8.25</v>
      </c>
      <c r="C813" s="22">
        <v>10.01</v>
      </c>
      <c r="D813" s="22">
        <v>8.02</v>
      </c>
      <c r="E813" s="22">
        <v>6.05</v>
      </c>
      <c r="F813" s="22">
        <v>8.5399999999999991</v>
      </c>
      <c r="G813" s="22">
        <v>5.56</v>
      </c>
      <c r="H813" s="3"/>
    </row>
    <row r="814" spans="1:8" x14ac:dyDescent="0.25">
      <c r="A814" s="21">
        <v>45992</v>
      </c>
      <c r="B814" s="22">
        <v>8.25</v>
      </c>
      <c r="C814" s="22">
        <v>10.01</v>
      </c>
      <c r="D814" s="22">
        <v>8.02</v>
      </c>
      <c r="E814" s="22">
        <v>6.05</v>
      </c>
      <c r="F814" s="22">
        <v>8.5399999999999991</v>
      </c>
      <c r="G814" s="22">
        <v>5.77</v>
      </c>
      <c r="H814" s="3"/>
    </row>
    <row r="815" spans="1:8" x14ac:dyDescent="0.25">
      <c r="A815" s="21">
        <v>46023</v>
      </c>
      <c r="B815" s="22">
        <v>8.25</v>
      </c>
      <c r="C815" s="22">
        <v>10.01</v>
      </c>
      <c r="D815" s="22">
        <v>8.02</v>
      </c>
      <c r="E815" s="22">
        <v>6.05</v>
      </c>
      <c r="F815" s="22">
        <v>8.5399999999999991</v>
      </c>
      <c r="G815" s="22">
        <v>5.99</v>
      </c>
      <c r="H815" s="3"/>
    </row>
    <row r="816" spans="1:8" x14ac:dyDescent="0.25">
      <c r="A816" s="21">
        <v>46054</v>
      </c>
      <c r="B816" s="22">
        <v>8.5</v>
      </c>
      <c r="C816" s="22">
        <v>10.26</v>
      </c>
      <c r="D816" s="22">
        <v>8.27</v>
      </c>
      <c r="E816" s="22">
        <v>6.3</v>
      </c>
      <c r="F816" s="22">
        <v>8.7899999999999991</v>
      </c>
      <c r="G816" s="22">
        <v>6.24</v>
      </c>
      <c r="H816" s="3"/>
    </row>
  </sheetData>
  <conditionalFormatting sqref="B12:D452">
    <cfRule type="cellIs" dxfId="1" priority="1" stopIfTrue="1" operator="equal">
      <formula>NA()</formula>
    </cfRule>
  </conditionalFormatting>
  <conditionalFormatting sqref="E11:G452">
    <cfRule type="cellIs" dxfId="0" priority="2" stopIfTrue="1" operator="equal">
      <formula>NA()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8298-5A72-44D8-963A-B61D8EADF055}">
  <sheetPr>
    <tabColor rgb="FFFF0000"/>
  </sheetPr>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E3395-3534-4638-A611-D8CC7FAD07D4}">
  <dimension ref="A1:HH97"/>
  <sheetViews>
    <sheetView workbookViewId="0">
      <pane xSplit="2" ySplit="3" topLeftCell="C4" activePane="bottomRight" state="frozen"/>
      <selection pane="topRight" activeCell="A98" sqref="A98:XFD1048576"/>
      <selection pane="bottomLeft" activeCell="A98" sqref="A98:XFD1048576"/>
      <selection pane="bottomRight" activeCell="F25" sqref="F25"/>
    </sheetView>
  </sheetViews>
  <sheetFormatPr defaultColWidth="0" defaultRowHeight="15" zeroHeight="1" x14ac:dyDescent="0.25"/>
  <cols>
    <col min="1" max="2" width="19.28515625" bestFit="1" customWidth="1"/>
    <col min="3" max="216" width="8.85546875" customWidth="1"/>
    <col min="217" max="16384" width="8.85546875" hidden="1"/>
  </cols>
  <sheetData>
    <row r="1" spans="1:214" ht="18" x14ac:dyDescent="0.25">
      <c r="A1" s="46" t="s">
        <v>632</v>
      </c>
      <c r="B1" s="46"/>
      <c r="C1" s="46"/>
      <c r="D1" s="46"/>
      <c r="E1" s="46"/>
      <c r="F1" s="46"/>
      <c r="G1" s="46"/>
    </row>
    <row r="2" spans="1:214" s="50" customFormat="1" x14ac:dyDescent="0.25">
      <c r="A2" s="69" t="s">
        <v>633</v>
      </c>
      <c r="B2" s="69"/>
      <c r="C2" s="47" t="s">
        <v>634</v>
      </c>
      <c r="D2" s="48" t="s">
        <v>634</v>
      </c>
      <c r="E2" s="47" t="s">
        <v>635</v>
      </c>
      <c r="F2" s="48" t="s">
        <v>635</v>
      </c>
      <c r="G2" s="47" t="s">
        <v>636</v>
      </c>
      <c r="H2" s="48" t="s">
        <v>636</v>
      </c>
      <c r="I2" s="47" t="s">
        <v>637</v>
      </c>
      <c r="J2" s="48" t="s">
        <v>637</v>
      </c>
      <c r="K2" s="47" t="s">
        <v>638</v>
      </c>
      <c r="L2" s="48" t="s">
        <v>638</v>
      </c>
      <c r="M2" s="47" t="s">
        <v>639</v>
      </c>
      <c r="N2" s="48" t="s">
        <v>639</v>
      </c>
      <c r="O2" s="47" t="s">
        <v>640</v>
      </c>
      <c r="P2" s="48" t="s">
        <v>640</v>
      </c>
      <c r="Q2" s="47" t="s">
        <v>641</v>
      </c>
      <c r="R2" s="48" t="s">
        <v>641</v>
      </c>
      <c r="S2" s="47" t="s">
        <v>642</v>
      </c>
      <c r="T2" s="48" t="s">
        <v>642</v>
      </c>
      <c r="U2" s="47" t="s">
        <v>643</v>
      </c>
      <c r="V2" s="48" t="s">
        <v>643</v>
      </c>
      <c r="W2" s="47" t="s">
        <v>644</v>
      </c>
      <c r="X2" s="48" t="s">
        <v>644</v>
      </c>
      <c r="Y2" s="47" t="s">
        <v>645</v>
      </c>
      <c r="Z2" s="48" t="s">
        <v>645</v>
      </c>
      <c r="AA2" s="47" t="s">
        <v>646</v>
      </c>
      <c r="AB2" s="48" t="s">
        <v>646</v>
      </c>
      <c r="AC2" s="47" t="s">
        <v>647</v>
      </c>
      <c r="AD2" s="48" t="s">
        <v>647</v>
      </c>
      <c r="AE2" s="47" t="s">
        <v>648</v>
      </c>
      <c r="AF2" s="48" t="s">
        <v>648</v>
      </c>
      <c r="AG2" s="47" t="s">
        <v>649</v>
      </c>
      <c r="AH2" s="48" t="s">
        <v>649</v>
      </c>
      <c r="AI2" s="47" t="s">
        <v>650</v>
      </c>
      <c r="AJ2" s="48" t="s">
        <v>650</v>
      </c>
      <c r="AK2" s="47" t="s">
        <v>651</v>
      </c>
      <c r="AL2" s="48" t="s">
        <v>651</v>
      </c>
      <c r="AM2" s="47" t="s">
        <v>652</v>
      </c>
      <c r="AN2" s="48" t="s">
        <v>652</v>
      </c>
      <c r="AO2" s="47" t="s">
        <v>653</v>
      </c>
      <c r="AP2" s="48" t="s">
        <v>653</v>
      </c>
      <c r="AQ2" s="47" t="s">
        <v>654</v>
      </c>
      <c r="AR2" s="48" t="s">
        <v>654</v>
      </c>
      <c r="AS2" s="47" t="s">
        <v>655</v>
      </c>
      <c r="AT2" s="48" t="s">
        <v>655</v>
      </c>
      <c r="AU2" s="47" t="s">
        <v>656</v>
      </c>
      <c r="AV2" s="48" t="s">
        <v>656</v>
      </c>
      <c r="AW2" s="47" t="s">
        <v>657</v>
      </c>
      <c r="AX2" s="48" t="s">
        <v>657</v>
      </c>
      <c r="AY2" s="47" t="s">
        <v>658</v>
      </c>
      <c r="AZ2" s="48" t="s">
        <v>658</v>
      </c>
      <c r="BA2" s="47" t="s">
        <v>659</v>
      </c>
      <c r="BB2" s="48" t="s">
        <v>659</v>
      </c>
      <c r="BC2" s="47" t="s">
        <v>660</v>
      </c>
      <c r="BD2" s="48" t="s">
        <v>660</v>
      </c>
      <c r="BE2" s="47" t="s">
        <v>661</v>
      </c>
      <c r="BF2" s="48" t="s">
        <v>661</v>
      </c>
      <c r="BG2" s="47" t="s">
        <v>662</v>
      </c>
      <c r="BH2" s="48" t="s">
        <v>662</v>
      </c>
      <c r="BI2" s="47" t="s">
        <v>663</v>
      </c>
      <c r="BJ2" s="48" t="s">
        <v>663</v>
      </c>
      <c r="BK2" s="47" t="s">
        <v>664</v>
      </c>
      <c r="BL2" s="48" t="s">
        <v>664</v>
      </c>
      <c r="BM2" s="47" t="s">
        <v>665</v>
      </c>
      <c r="BN2" s="48" t="s">
        <v>665</v>
      </c>
      <c r="BO2" s="47" t="s">
        <v>666</v>
      </c>
      <c r="BP2" s="48" t="s">
        <v>666</v>
      </c>
      <c r="BQ2" s="47" t="s">
        <v>667</v>
      </c>
      <c r="BR2" s="48" t="s">
        <v>667</v>
      </c>
      <c r="BS2" s="47" t="s">
        <v>668</v>
      </c>
      <c r="BT2" s="48" t="s">
        <v>668</v>
      </c>
      <c r="BU2" s="47" t="s">
        <v>669</v>
      </c>
      <c r="BV2" s="48" t="s">
        <v>669</v>
      </c>
      <c r="BW2" s="47" t="s">
        <v>670</v>
      </c>
      <c r="BX2" s="48" t="s">
        <v>670</v>
      </c>
      <c r="BY2" s="47" t="s">
        <v>671</v>
      </c>
      <c r="BZ2" s="48" t="s">
        <v>671</v>
      </c>
      <c r="CA2" s="47" t="s">
        <v>672</v>
      </c>
      <c r="CB2" s="48" t="s">
        <v>672</v>
      </c>
      <c r="CC2" s="47" t="s">
        <v>673</v>
      </c>
      <c r="CD2" s="48" t="s">
        <v>673</v>
      </c>
      <c r="CE2" s="47" t="s">
        <v>674</v>
      </c>
      <c r="CF2" s="48" t="s">
        <v>674</v>
      </c>
      <c r="CG2" s="47" t="s">
        <v>675</v>
      </c>
      <c r="CH2" s="48" t="s">
        <v>675</v>
      </c>
      <c r="CI2" s="47" t="s">
        <v>676</v>
      </c>
      <c r="CJ2" s="48" t="s">
        <v>676</v>
      </c>
      <c r="CK2" s="47" t="s">
        <v>677</v>
      </c>
      <c r="CL2" s="48" t="s">
        <v>677</v>
      </c>
      <c r="CM2" s="47" t="s">
        <v>678</v>
      </c>
      <c r="CN2" s="48" t="s">
        <v>678</v>
      </c>
      <c r="CO2" s="47" t="s">
        <v>679</v>
      </c>
      <c r="CP2" s="48" t="s">
        <v>679</v>
      </c>
      <c r="CQ2" s="47" t="s">
        <v>680</v>
      </c>
      <c r="CR2" s="48" t="s">
        <v>680</v>
      </c>
      <c r="CS2" s="47" t="s">
        <v>681</v>
      </c>
      <c r="CT2" s="48" t="s">
        <v>681</v>
      </c>
      <c r="CU2" s="47" t="s">
        <v>682</v>
      </c>
      <c r="CV2" s="48" t="s">
        <v>682</v>
      </c>
      <c r="CW2" s="47" t="s">
        <v>683</v>
      </c>
      <c r="CX2" s="48" t="s">
        <v>683</v>
      </c>
      <c r="CY2" s="47" t="s">
        <v>684</v>
      </c>
      <c r="CZ2" s="48" t="s">
        <v>684</v>
      </c>
      <c r="DA2" s="47" t="s">
        <v>685</v>
      </c>
      <c r="DB2" s="48" t="s">
        <v>685</v>
      </c>
      <c r="DC2" s="47" t="s">
        <v>686</v>
      </c>
      <c r="DD2" s="48" t="s">
        <v>686</v>
      </c>
      <c r="DE2" s="47" t="s">
        <v>687</v>
      </c>
      <c r="DF2" s="48" t="s">
        <v>687</v>
      </c>
      <c r="DG2" s="47" t="s">
        <v>688</v>
      </c>
      <c r="DH2" s="48" t="s">
        <v>688</v>
      </c>
      <c r="DI2" s="47" t="s">
        <v>689</v>
      </c>
      <c r="DJ2" s="48" t="s">
        <v>689</v>
      </c>
      <c r="DK2" s="47" t="s">
        <v>690</v>
      </c>
      <c r="DL2" s="48" t="s">
        <v>690</v>
      </c>
      <c r="DM2" s="47" t="s">
        <v>691</v>
      </c>
      <c r="DN2" s="48" t="s">
        <v>691</v>
      </c>
      <c r="DO2" s="48" t="s">
        <v>692</v>
      </c>
      <c r="DP2" s="48" t="s">
        <v>692</v>
      </c>
      <c r="DQ2" s="48" t="s">
        <v>693</v>
      </c>
      <c r="DR2" s="48" t="s">
        <v>693</v>
      </c>
      <c r="DS2" s="48" t="s">
        <v>694</v>
      </c>
      <c r="DT2" s="48" t="s">
        <v>694</v>
      </c>
      <c r="DU2" s="48" t="s">
        <v>695</v>
      </c>
      <c r="DV2" s="48" t="s">
        <v>695</v>
      </c>
      <c r="DW2" s="48" t="s">
        <v>696</v>
      </c>
      <c r="DX2" s="48" t="s">
        <v>696</v>
      </c>
      <c r="DY2" s="48" t="s">
        <v>697</v>
      </c>
      <c r="DZ2" s="48" t="s">
        <v>697</v>
      </c>
      <c r="EA2" s="48" t="s">
        <v>698</v>
      </c>
      <c r="EB2" s="48" t="s">
        <v>698</v>
      </c>
      <c r="EC2" s="48" t="s">
        <v>699</v>
      </c>
      <c r="ED2" s="48" t="s">
        <v>699</v>
      </c>
      <c r="EE2" s="48" t="s">
        <v>700</v>
      </c>
      <c r="EF2" s="48" t="s">
        <v>700</v>
      </c>
      <c r="EG2" s="48" t="s">
        <v>701</v>
      </c>
      <c r="EH2" s="48" t="s">
        <v>701</v>
      </c>
      <c r="EI2" s="48" t="s">
        <v>702</v>
      </c>
      <c r="EJ2" s="48" t="s">
        <v>702</v>
      </c>
      <c r="EK2" s="47" t="s">
        <v>703</v>
      </c>
      <c r="EL2" s="48" t="s">
        <v>703</v>
      </c>
      <c r="EM2" s="49" t="s">
        <v>704</v>
      </c>
      <c r="EN2" s="48" t="s">
        <v>704</v>
      </c>
      <c r="EO2" s="47" t="s">
        <v>705</v>
      </c>
      <c r="EP2" s="48" t="s">
        <v>705</v>
      </c>
      <c r="EQ2" s="47" t="s">
        <v>706</v>
      </c>
      <c r="ER2" s="48" t="s">
        <v>706</v>
      </c>
      <c r="ES2" s="47" t="s">
        <v>707</v>
      </c>
      <c r="ET2" s="48" t="s">
        <v>707</v>
      </c>
      <c r="EU2" s="47" t="s">
        <v>708</v>
      </c>
      <c r="EV2" s="48" t="s">
        <v>708</v>
      </c>
      <c r="EW2" s="47" t="s">
        <v>709</v>
      </c>
      <c r="EX2" s="48" t="s">
        <v>709</v>
      </c>
      <c r="EY2" s="47" t="s">
        <v>710</v>
      </c>
      <c r="EZ2" s="48" t="s">
        <v>710</v>
      </c>
      <c r="FA2" s="47" t="s">
        <v>711</v>
      </c>
      <c r="FB2" s="48" t="s">
        <v>711</v>
      </c>
      <c r="FC2" s="47" t="s">
        <v>712</v>
      </c>
      <c r="FD2" s="48" t="s">
        <v>712</v>
      </c>
      <c r="FE2" s="47" t="s">
        <v>713</v>
      </c>
      <c r="FF2" s="48" t="s">
        <v>713</v>
      </c>
      <c r="FG2" s="47" t="s">
        <v>714</v>
      </c>
      <c r="FH2" s="48" t="s">
        <v>714</v>
      </c>
      <c r="FI2" s="47" t="s">
        <v>715</v>
      </c>
      <c r="FJ2" s="48" t="s">
        <v>715</v>
      </c>
      <c r="FK2" s="47" t="s">
        <v>716</v>
      </c>
      <c r="FL2" s="48" t="s">
        <v>716</v>
      </c>
      <c r="FM2" s="47" t="s">
        <v>717</v>
      </c>
      <c r="FN2" s="48" t="s">
        <v>717</v>
      </c>
      <c r="FO2" s="49" t="s">
        <v>718</v>
      </c>
      <c r="FP2" s="48" t="s">
        <v>718</v>
      </c>
      <c r="FQ2" s="49" t="s">
        <v>719</v>
      </c>
      <c r="FR2" s="48" t="s">
        <v>719</v>
      </c>
      <c r="FS2" s="49" t="s">
        <v>720</v>
      </c>
      <c r="FT2" s="48" t="s">
        <v>720</v>
      </c>
      <c r="FU2" s="49" t="s">
        <v>721</v>
      </c>
      <c r="FV2" s="48" t="s">
        <v>721</v>
      </c>
      <c r="FW2" s="49" t="s">
        <v>722</v>
      </c>
      <c r="FX2" s="48" t="s">
        <v>722</v>
      </c>
      <c r="FY2" s="49" t="s">
        <v>723</v>
      </c>
      <c r="FZ2" s="48" t="s">
        <v>723</v>
      </c>
      <c r="GA2" s="49" t="s">
        <v>724</v>
      </c>
      <c r="GB2" s="48" t="s">
        <v>724</v>
      </c>
      <c r="GC2" s="49" t="s">
        <v>725</v>
      </c>
      <c r="GD2" s="48" t="s">
        <v>725</v>
      </c>
      <c r="GE2" s="49" t="s">
        <v>726</v>
      </c>
      <c r="GF2" s="48" t="s">
        <v>726</v>
      </c>
      <c r="GG2" s="49" t="s">
        <v>727</v>
      </c>
      <c r="GH2" s="48" t="s">
        <v>727</v>
      </c>
      <c r="GI2" s="49" t="s">
        <v>728</v>
      </c>
      <c r="GJ2" s="48" t="s">
        <v>728</v>
      </c>
      <c r="GK2" s="49" t="s">
        <v>729</v>
      </c>
      <c r="GL2" s="48" t="s">
        <v>729</v>
      </c>
      <c r="GM2" s="49" t="s">
        <v>730</v>
      </c>
      <c r="GN2" s="48" t="s">
        <v>730</v>
      </c>
      <c r="GO2" s="49" t="s">
        <v>731</v>
      </c>
      <c r="GP2" s="48" t="s">
        <v>731</v>
      </c>
      <c r="GQ2" s="49" t="s">
        <v>732</v>
      </c>
      <c r="GR2" s="48" t="s">
        <v>732</v>
      </c>
      <c r="GS2" s="49" t="s">
        <v>733</v>
      </c>
      <c r="GT2" s="48" t="s">
        <v>733</v>
      </c>
      <c r="GU2" s="49" t="s">
        <v>734</v>
      </c>
      <c r="GV2" s="48" t="s">
        <v>734</v>
      </c>
      <c r="GW2" s="50" t="s">
        <v>735</v>
      </c>
      <c r="GX2" s="50" t="s">
        <v>735</v>
      </c>
      <c r="GY2" s="50" t="s">
        <v>736</v>
      </c>
      <c r="GZ2" s="50" t="s">
        <v>736</v>
      </c>
      <c r="HA2" s="50" t="s">
        <v>737</v>
      </c>
      <c r="HB2" s="50" t="s">
        <v>737</v>
      </c>
      <c r="HC2" s="50" t="s">
        <v>738</v>
      </c>
      <c r="HD2" s="50" t="s">
        <v>738</v>
      </c>
      <c r="HE2" s="50" t="s">
        <v>739</v>
      </c>
      <c r="HF2" s="50" t="s">
        <v>739</v>
      </c>
    </row>
    <row r="3" spans="1:214" s="52" customFormat="1" x14ac:dyDescent="0.25">
      <c r="A3" s="51"/>
      <c r="B3" s="51"/>
      <c r="C3" s="51" t="s">
        <v>740</v>
      </c>
      <c r="D3" s="51" t="s">
        <v>741</v>
      </c>
      <c r="E3" s="51" t="s">
        <v>740</v>
      </c>
      <c r="F3" s="51" t="s">
        <v>741</v>
      </c>
      <c r="G3" s="51" t="s">
        <v>740</v>
      </c>
      <c r="H3" s="51" t="s">
        <v>741</v>
      </c>
      <c r="I3" s="51" t="s">
        <v>740</v>
      </c>
      <c r="J3" s="51" t="s">
        <v>741</v>
      </c>
      <c r="K3" s="51" t="s">
        <v>740</v>
      </c>
      <c r="L3" s="51" t="s">
        <v>741</v>
      </c>
      <c r="M3" s="51" t="s">
        <v>740</v>
      </c>
      <c r="N3" s="51" t="s">
        <v>741</v>
      </c>
      <c r="O3" s="51" t="s">
        <v>740</v>
      </c>
      <c r="P3" s="51" t="s">
        <v>741</v>
      </c>
      <c r="Q3" s="51" t="s">
        <v>740</v>
      </c>
      <c r="R3" s="51" t="s">
        <v>741</v>
      </c>
      <c r="S3" s="51" t="s">
        <v>740</v>
      </c>
      <c r="T3" s="51" t="s">
        <v>741</v>
      </c>
      <c r="U3" s="51" t="s">
        <v>740</v>
      </c>
      <c r="V3" s="51" t="s">
        <v>741</v>
      </c>
      <c r="W3" s="51" t="s">
        <v>740</v>
      </c>
      <c r="X3" s="51" t="s">
        <v>741</v>
      </c>
      <c r="Y3" s="51" t="s">
        <v>740</v>
      </c>
      <c r="Z3" s="51" t="s">
        <v>741</v>
      </c>
      <c r="AA3" s="51" t="s">
        <v>740</v>
      </c>
      <c r="AB3" s="51" t="s">
        <v>741</v>
      </c>
      <c r="AC3" s="51" t="s">
        <v>740</v>
      </c>
      <c r="AD3" s="51" t="s">
        <v>741</v>
      </c>
      <c r="AE3" s="51" t="s">
        <v>740</v>
      </c>
      <c r="AF3" s="51" t="s">
        <v>741</v>
      </c>
      <c r="AG3" s="51" t="s">
        <v>740</v>
      </c>
      <c r="AH3" s="51" t="s">
        <v>741</v>
      </c>
      <c r="AI3" s="51" t="s">
        <v>740</v>
      </c>
      <c r="AJ3" s="51" t="s">
        <v>741</v>
      </c>
      <c r="AK3" s="51" t="s">
        <v>740</v>
      </c>
      <c r="AL3" s="51" t="s">
        <v>741</v>
      </c>
      <c r="AM3" s="51" t="s">
        <v>740</v>
      </c>
      <c r="AN3" s="51" t="s">
        <v>741</v>
      </c>
      <c r="AO3" s="51" t="s">
        <v>740</v>
      </c>
      <c r="AP3" s="51" t="s">
        <v>741</v>
      </c>
      <c r="AQ3" s="51" t="s">
        <v>740</v>
      </c>
      <c r="AR3" s="51" t="s">
        <v>741</v>
      </c>
      <c r="AS3" s="51" t="s">
        <v>740</v>
      </c>
      <c r="AT3" s="51" t="s">
        <v>741</v>
      </c>
      <c r="AU3" s="51" t="s">
        <v>740</v>
      </c>
      <c r="AV3" s="51" t="s">
        <v>741</v>
      </c>
      <c r="AW3" s="51" t="s">
        <v>740</v>
      </c>
      <c r="AX3" s="51" t="s">
        <v>741</v>
      </c>
      <c r="AY3" s="51" t="s">
        <v>740</v>
      </c>
      <c r="AZ3" s="51" t="s">
        <v>741</v>
      </c>
      <c r="BA3" s="51" t="s">
        <v>740</v>
      </c>
      <c r="BB3" s="51" t="s">
        <v>741</v>
      </c>
      <c r="BC3" s="51" t="s">
        <v>740</v>
      </c>
      <c r="BD3" s="51" t="s">
        <v>741</v>
      </c>
      <c r="BE3" s="51" t="s">
        <v>740</v>
      </c>
      <c r="BF3" s="51" t="s">
        <v>741</v>
      </c>
      <c r="BG3" s="51" t="s">
        <v>740</v>
      </c>
      <c r="BH3" s="51" t="s">
        <v>741</v>
      </c>
      <c r="BI3" s="51" t="s">
        <v>740</v>
      </c>
      <c r="BJ3" s="51" t="s">
        <v>741</v>
      </c>
      <c r="BK3" s="51" t="s">
        <v>740</v>
      </c>
      <c r="BL3" s="51" t="s">
        <v>741</v>
      </c>
      <c r="BM3" s="51" t="s">
        <v>740</v>
      </c>
      <c r="BN3" s="51" t="s">
        <v>741</v>
      </c>
      <c r="BO3" s="51" t="s">
        <v>740</v>
      </c>
      <c r="BP3" s="51" t="s">
        <v>741</v>
      </c>
      <c r="BQ3" s="51" t="s">
        <v>740</v>
      </c>
      <c r="BR3" s="51" t="s">
        <v>741</v>
      </c>
      <c r="BS3" s="51" t="s">
        <v>740</v>
      </c>
      <c r="BT3" s="51" t="s">
        <v>741</v>
      </c>
      <c r="BU3" s="51" t="s">
        <v>740</v>
      </c>
      <c r="BV3" s="51" t="s">
        <v>741</v>
      </c>
      <c r="BW3" s="51" t="s">
        <v>740</v>
      </c>
      <c r="BX3" s="51" t="s">
        <v>741</v>
      </c>
      <c r="BY3" s="51" t="s">
        <v>740</v>
      </c>
      <c r="BZ3" s="51" t="s">
        <v>741</v>
      </c>
      <c r="CA3" s="51" t="s">
        <v>740</v>
      </c>
      <c r="CB3" s="51" t="s">
        <v>741</v>
      </c>
      <c r="CC3" s="51" t="s">
        <v>740</v>
      </c>
      <c r="CD3" s="51" t="s">
        <v>741</v>
      </c>
      <c r="CE3" s="51" t="s">
        <v>740</v>
      </c>
      <c r="CF3" s="51" t="s">
        <v>741</v>
      </c>
      <c r="CG3" s="51" t="s">
        <v>740</v>
      </c>
      <c r="CH3" s="51" t="s">
        <v>741</v>
      </c>
      <c r="CI3" s="51" t="s">
        <v>740</v>
      </c>
      <c r="CJ3" s="51" t="s">
        <v>741</v>
      </c>
      <c r="CK3" s="51" t="s">
        <v>740</v>
      </c>
      <c r="CL3" s="51" t="s">
        <v>741</v>
      </c>
      <c r="CM3" s="51" t="s">
        <v>740</v>
      </c>
      <c r="CN3" s="51" t="s">
        <v>741</v>
      </c>
      <c r="CO3" s="51" t="s">
        <v>740</v>
      </c>
      <c r="CP3" s="51" t="s">
        <v>741</v>
      </c>
      <c r="CQ3" s="51" t="s">
        <v>740</v>
      </c>
      <c r="CR3" s="51" t="s">
        <v>741</v>
      </c>
      <c r="CS3" s="51" t="s">
        <v>740</v>
      </c>
      <c r="CT3" s="51" t="s">
        <v>741</v>
      </c>
      <c r="CU3" s="51" t="s">
        <v>740</v>
      </c>
      <c r="CV3" s="51" t="s">
        <v>741</v>
      </c>
      <c r="CW3" s="51" t="s">
        <v>740</v>
      </c>
      <c r="CX3" s="51" t="s">
        <v>741</v>
      </c>
      <c r="CY3" s="51" t="s">
        <v>740</v>
      </c>
      <c r="CZ3" s="51" t="s">
        <v>741</v>
      </c>
      <c r="DA3" s="51" t="s">
        <v>740</v>
      </c>
      <c r="DB3" s="51" t="s">
        <v>741</v>
      </c>
      <c r="DC3" s="51" t="s">
        <v>740</v>
      </c>
      <c r="DD3" s="51" t="s">
        <v>741</v>
      </c>
      <c r="DE3" s="51" t="s">
        <v>740</v>
      </c>
      <c r="DF3" s="51" t="s">
        <v>741</v>
      </c>
      <c r="DG3" s="51" t="s">
        <v>740</v>
      </c>
      <c r="DH3" s="51" t="s">
        <v>741</v>
      </c>
      <c r="DI3" s="51" t="s">
        <v>740</v>
      </c>
      <c r="DJ3" s="51" t="s">
        <v>741</v>
      </c>
      <c r="DK3" s="51" t="s">
        <v>740</v>
      </c>
      <c r="DL3" s="51" t="s">
        <v>741</v>
      </c>
      <c r="DM3" s="51" t="s">
        <v>740</v>
      </c>
      <c r="DN3" s="51" t="s">
        <v>741</v>
      </c>
      <c r="DO3" s="51" t="s">
        <v>740</v>
      </c>
      <c r="DP3" s="51" t="s">
        <v>741</v>
      </c>
      <c r="DQ3" s="51" t="s">
        <v>740</v>
      </c>
      <c r="DR3" s="51" t="s">
        <v>741</v>
      </c>
      <c r="DS3" s="51" t="s">
        <v>740</v>
      </c>
      <c r="DT3" s="51" t="s">
        <v>741</v>
      </c>
      <c r="DU3" s="51" t="s">
        <v>740</v>
      </c>
      <c r="DV3" s="51" t="s">
        <v>741</v>
      </c>
      <c r="DW3" s="51" t="s">
        <v>740</v>
      </c>
      <c r="DX3" s="51" t="s">
        <v>741</v>
      </c>
      <c r="DY3" s="51" t="s">
        <v>740</v>
      </c>
      <c r="DZ3" s="51" t="s">
        <v>741</v>
      </c>
      <c r="EA3" s="51" t="s">
        <v>740</v>
      </c>
      <c r="EB3" s="51" t="s">
        <v>741</v>
      </c>
      <c r="EC3" s="51" t="s">
        <v>740</v>
      </c>
      <c r="ED3" s="51" t="s">
        <v>741</v>
      </c>
      <c r="EE3" s="51" t="s">
        <v>740</v>
      </c>
      <c r="EF3" s="51" t="s">
        <v>741</v>
      </c>
      <c r="EG3" s="51" t="s">
        <v>740</v>
      </c>
      <c r="EH3" s="51" t="s">
        <v>741</v>
      </c>
      <c r="EI3" s="51" t="s">
        <v>740</v>
      </c>
      <c r="EJ3" s="51" t="s">
        <v>741</v>
      </c>
      <c r="EK3" s="51" t="s">
        <v>740</v>
      </c>
      <c r="EL3" s="51" t="s">
        <v>741</v>
      </c>
      <c r="EM3" s="51" t="s">
        <v>740</v>
      </c>
      <c r="EN3" s="51" t="s">
        <v>741</v>
      </c>
      <c r="EO3" s="51" t="s">
        <v>740</v>
      </c>
      <c r="EP3" s="51" t="s">
        <v>741</v>
      </c>
      <c r="EQ3" s="51" t="s">
        <v>740</v>
      </c>
      <c r="ER3" s="51" t="s">
        <v>741</v>
      </c>
      <c r="ES3" s="51" t="s">
        <v>740</v>
      </c>
      <c r="ET3" s="51" t="s">
        <v>741</v>
      </c>
      <c r="EU3" s="51" t="s">
        <v>740</v>
      </c>
      <c r="EV3" s="51" t="s">
        <v>741</v>
      </c>
      <c r="EW3" s="51" t="s">
        <v>740</v>
      </c>
      <c r="EX3" s="51" t="s">
        <v>741</v>
      </c>
      <c r="EY3" s="51" t="s">
        <v>740</v>
      </c>
      <c r="EZ3" s="51" t="s">
        <v>741</v>
      </c>
      <c r="FA3" s="51" t="s">
        <v>740</v>
      </c>
      <c r="FB3" s="51" t="s">
        <v>741</v>
      </c>
      <c r="FC3" s="51" t="s">
        <v>740</v>
      </c>
      <c r="FD3" s="51" t="s">
        <v>741</v>
      </c>
      <c r="FE3" s="51" t="s">
        <v>740</v>
      </c>
      <c r="FF3" s="51" t="s">
        <v>741</v>
      </c>
      <c r="FG3" s="51" t="s">
        <v>740</v>
      </c>
      <c r="FH3" s="51" t="s">
        <v>741</v>
      </c>
      <c r="FI3" s="51" t="s">
        <v>740</v>
      </c>
      <c r="FJ3" s="51" t="s">
        <v>741</v>
      </c>
      <c r="FK3" s="51" t="s">
        <v>740</v>
      </c>
      <c r="FL3" s="51" t="s">
        <v>741</v>
      </c>
      <c r="FM3" s="51" t="s">
        <v>740</v>
      </c>
      <c r="FN3" s="51" t="s">
        <v>741</v>
      </c>
      <c r="FO3" s="51" t="s">
        <v>740</v>
      </c>
      <c r="FP3" s="51" t="s">
        <v>741</v>
      </c>
      <c r="FQ3" s="51" t="s">
        <v>740</v>
      </c>
      <c r="FR3" s="51" t="s">
        <v>741</v>
      </c>
      <c r="FS3" s="51" t="s">
        <v>740</v>
      </c>
      <c r="FT3" s="51" t="s">
        <v>741</v>
      </c>
      <c r="FU3" s="51" t="s">
        <v>740</v>
      </c>
      <c r="FV3" s="51" t="s">
        <v>741</v>
      </c>
      <c r="FW3" s="51" t="s">
        <v>740</v>
      </c>
      <c r="FX3" s="51" t="s">
        <v>741</v>
      </c>
      <c r="FY3" s="51" t="s">
        <v>740</v>
      </c>
      <c r="FZ3" s="51" t="s">
        <v>741</v>
      </c>
      <c r="GA3" s="51" t="s">
        <v>740</v>
      </c>
      <c r="GB3" s="51" t="s">
        <v>741</v>
      </c>
      <c r="GC3" s="51" t="s">
        <v>740</v>
      </c>
      <c r="GD3" s="51" t="s">
        <v>741</v>
      </c>
      <c r="GE3" s="51" t="s">
        <v>740</v>
      </c>
      <c r="GF3" s="51" t="s">
        <v>741</v>
      </c>
      <c r="GG3" s="51" t="s">
        <v>740</v>
      </c>
      <c r="GH3" s="51" t="s">
        <v>741</v>
      </c>
      <c r="GI3" s="51" t="s">
        <v>740</v>
      </c>
      <c r="GJ3" s="51" t="s">
        <v>741</v>
      </c>
      <c r="GK3" s="51" t="s">
        <v>740</v>
      </c>
      <c r="GL3" s="51" t="s">
        <v>741</v>
      </c>
      <c r="GM3" s="51" t="s">
        <v>740</v>
      </c>
      <c r="GN3" s="51" t="s">
        <v>741</v>
      </c>
      <c r="GO3" s="51" t="s">
        <v>740</v>
      </c>
      <c r="GP3" s="51" t="s">
        <v>741</v>
      </c>
      <c r="GQ3" s="51" t="s">
        <v>740</v>
      </c>
      <c r="GR3" s="51" t="s">
        <v>741</v>
      </c>
      <c r="GS3" s="51" t="s">
        <v>740</v>
      </c>
      <c r="GT3" s="51" t="s">
        <v>741</v>
      </c>
      <c r="GU3" s="51" t="s">
        <v>740</v>
      </c>
      <c r="GV3" s="51" t="s">
        <v>741</v>
      </c>
      <c r="GW3" s="52" t="s">
        <v>740</v>
      </c>
      <c r="GX3" s="52" t="s">
        <v>741</v>
      </c>
      <c r="GY3" s="52" t="s">
        <v>740</v>
      </c>
      <c r="GZ3" s="52" t="s">
        <v>741</v>
      </c>
      <c r="HA3" s="52" t="s">
        <v>740</v>
      </c>
      <c r="HB3" s="52" t="s">
        <v>741</v>
      </c>
      <c r="HC3" s="52" t="s">
        <v>740</v>
      </c>
      <c r="HD3" s="52" t="s">
        <v>741</v>
      </c>
      <c r="HE3" s="52" t="s">
        <v>740</v>
      </c>
      <c r="HF3" s="52" t="s">
        <v>741</v>
      </c>
    </row>
    <row r="4" spans="1:214" s="10" customFormat="1" x14ac:dyDescent="0.25">
      <c r="A4" s="53" t="s">
        <v>742</v>
      </c>
      <c r="B4" s="54" t="s">
        <v>743</v>
      </c>
      <c r="C4" s="55">
        <v>18</v>
      </c>
      <c r="D4" s="56">
        <v>110</v>
      </c>
      <c r="E4" s="55">
        <v>14</v>
      </c>
      <c r="F4" s="56">
        <v>110</v>
      </c>
      <c r="G4" s="55">
        <v>12</v>
      </c>
      <c r="H4" s="56">
        <v>110</v>
      </c>
      <c r="I4" s="55">
        <v>20</v>
      </c>
      <c r="J4" s="56">
        <v>110</v>
      </c>
      <c r="K4" s="55">
        <v>20</v>
      </c>
      <c r="L4" s="56">
        <v>108</v>
      </c>
      <c r="M4" s="55">
        <v>12</v>
      </c>
      <c r="N4" s="56">
        <v>120</v>
      </c>
      <c r="O4" s="55">
        <v>14</v>
      </c>
      <c r="P4" s="56">
        <v>118</v>
      </c>
      <c r="Q4" s="55">
        <v>15</v>
      </c>
      <c r="R4" s="56">
        <v>110</v>
      </c>
      <c r="S4" s="55">
        <v>22</v>
      </c>
      <c r="T4" s="56">
        <v>118</v>
      </c>
      <c r="U4" s="55">
        <v>16</v>
      </c>
      <c r="V4" s="56">
        <v>115</v>
      </c>
      <c r="W4" s="55">
        <v>13</v>
      </c>
      <c r="X4" s="56">
        <v>115</v>
      </c>
      <c r="Y4" s="55">
        <v>18</v>
      </c>
      <c r="Z4" s="56">
        <v>120</v>
      </c>
      <c r="AA4" s="55">
        <v>12</v>
      </c>
      <c r="AB4" s="56">
        <v>123</v>
      </c>
      <c r="AC4" s="55">
        <v>17</v>
      </c>
      <c r="AD4" s="56">
        <v>130</v>
      </c>
      <c r="AE4" s="55">
        <v>18</v>
      </c>
      <c r="AF4" s="56">
        <v>130</v>
      </c>
      <c r="AG4" s="55">
        <v>25</v>
      </c>
      <c r="AH4" s="56">
        <v>125</v>
      </c>
      <c r="AI4" s="55">
        <v>20</v>
      </c>
      <c r="AJ4" s="56">
        <v>133</v>
      </c>
      <c r="AK4" s="55">
        <v>19</v>
      </c>
      <c r="AL4" s="56">
        <v>145</v>
      </c>
      <c r="AM4" s="55">
        <v>15</v>
      </c>
      <c r="AN4" s="56">
        <v>135</v>
      </c>
      <c r="AO4" s="55">
        <v>18</v>
      </c>
      <c r="AP4" s="56">
        <v>135</v>
      </c>
      <c r="AQ4" s="55">
        <v>13</v>
      </c>
      <c r="AR4" s="56">
        <v>150</v>
      </c>
      <c r="AS4" s="55">
        <v>15</v>
      </c>
      <c r="AT4" s="56">
        <v>150</v>
      </c>
      <c r="AU4" s="55">
        <v>17</v>
      </c>
      <c r="AV4" s="56">
        <v>140</v>
      </c>
      <c r="AW4" s="55">
        <v>21</v>
      </c>
      <c r="AX4" s="56">
        <v>150</v>
      </c>
      <c r="AY4" s="55">
        <v>20</v>
      </c>
      <c r="AZ4" s="56">
        <v>150</v>
      </c>
      <c r="BA4" s="55">
        <v>23</v>
      </c>
      <c r="BB4" s="56">
        <v>140</v>
      </c>
      <c r="BC4" s="55">
        <v>8</v>
      </c>
      <c r="BD4" s="56">
        <v>153</v>
      </c>
      <c r="BE4" s="55">
        <v>15</v>
      </c>
      <c r="BF4" s="56">
        <v>150</v>
      </c>
      <c r="BG4" s="55">
        <v>16</v>
      </c>
      <c r="BH4" s="56">
        <v>145</v>
      </c>
      <c r="BI4" s="55">
        <v>21</v>
      </c>
      <c r="BJ4" s="56">
        <v>145</v>
      </c>
      <c r="BK4" s="55">
        <v>20</v>
      </c>
      <c r="BL4" s="56">
        <v>153</v>
      </c>
      <c r="BM4" s="55">
        <v>23</v>
      </c>
      <c r="BN4" s="56">
        <v>165</v>
      </c>
      <c r="BO4" s="55">
        <v>12</v>
      </c>
      <c r="BP4" s="56">
        <v>150</v>
      </c>
      <c r="BQ4" s="55">
        <v>17</v>
      </c>
      <c r="BR4" s="56">
        <v>165</v>
      </c>
      <c r="BS4" s="55">
        <v>17</v>
      </c>
      <c r="BT4" s="56">
        <v>170</v>
      </c>
      <c r="BU4" s="55">
        <v>20</v>
      </c>
      <c r="BV4" s="56">
        <v>183</v>
      </c>
      <c r="BW4" s="55">
        <v>26</v>
      </c>
      <c r="BX4" s="56">
        <v>178</v>
      </c>
      <c r="BY4" s="55">
        <v>22</v>
      </c>
      <c r="BZ4" s="56">
        <v>180</v>
      </c>
      <c r="CA4" s="55">
        <v>20</v>
      </c>
      <c r="CB4" s="56">
        <v>165</v>
      </c>
      <c r="CC4" s="55">
        <v>27</v>
      </c>
      <c r="CD4" s="56">
        <v>175</v>
      </c>
      <c r="CE4" s="55">
        <v>14</v>
      </c>
      <c r="CF4" s="56">
        <v>178</v>
      </c>
      <c r="CG4" s="55">
        <v>20</v>
      </c>
      <c r="CH4" s="56">
        <v>185</v>
      </c>
      <c r="CI4" s="55">
        <v>22</v>
      </c>
      <c r="CJ4" s="56">
        <v>185</v>
      </c>
      <c r="CK4" s="55">
        <v>21</v>
      </c>
      <c r="CL4" s="56">
        <v>165</v>
      </c>
      <c r="CM4" s="55">
        <v>20</v>
      </c>
      <c r="CN4" s="56">
        <v>190</v>
      </c>
      <c r="CO4" s="55">
        <v>20</v>
      </c>
      <c r="CP4" s="56">
        <v>185</v>
      </c>
      <c r="CQ4" s="55">
        <v>18</v>
      </c>
      <c r="CR4" s="56">
        <v>190</v>
      </c>
      <c r="CS4" s="55">
        <v>21</v>
      </c>
      <c r="CT4" s="56">
        <v>180</v>
      </c>
      <c r="CU4" s="55">
        <v>26</v>
      </c>
      <c r="CV4" s="56">
        <v>190</v>
      </c>
      <c r="CW4" s="55">
        <v>17</v>
      </c>
      <c r="CX4" s="56">
        <v>190</v>
      </c>
      <c r="CY4" s="55">
        <v>14</v>
      </c>
      <c r="CZ4" s="56">
        <v>190</v>
      </c>
      <c r="DA4" s="55">
        <v>19</v>
      </c>
      <c r="DB4" s="56">
        <v>200</v>
      </c>
      <c r="DC4" s="55">
        <v>23</v>
      </c>
      <c r="DD4" s="56">
        <v>190</v>
      </c>
      <c r="DE4" s="55">
        <v>13</v>
      </c>
      <c r="DF4" s="56">
        <v>190</v>
      </c>
      <c r="DG4" s="55">
        <v>25</v>
      </c>
      <c r="DH4" s="56">
        <v>225</v>
      </c>
      <c r="DI4" s="55">
        <v>19</v>
      </c>
      <c r="DJ4" s="56">
        <v>195</v>
      </c>
      <c r="DK4" s="55">
        <v>17</v>
      </c>
      <c r="DL4" s="56">
        <v>200</v>
      </c>
      <c r="DM4" s="55">
        <v>34</v>
      </c>
      <c r="DN4" s="56">
        <v>205</v>
      </c>
      <c r="DO4" s="55">
        <v>18</v>
      </c>
      <c r="DP4" s="56">
        <v>208</v>
      </c>
      <c r="DQ4" s="55">
        <v>21</v>
      </c>
      <c r="DR4" s="56">
        <v>210</v>
      </c>
      <c r="DS4" s="55">
        <v>18</v>
      </c>
      <c r="DT4" s="56">
        <v>210</v>
      </c>
      <c r="DU4" s="55">
        <v>22</v>
      </c>
      <c r="DV4" s="56">
        <v>225</v>
      </c>
      <c r="DW4" s="55">
        <v>27</v>
      </c>
      <c r="DX4" s="56">
        <v>225</v>
      </c>
      <c r="DY4" s="55">
        <v>19</v>
      </c>
      <c r="DZ4" s="56">
        <v>205</v>
      </c>
      <c r="EA4" s="55">
        <v>16</v>
      </c>
      <c r="EB4" s="56">
        <v>220</v>
      </c>
      <c r="EC4" s="55">
        <v>27</v>
      </c>
      <c r="ED4" s="56">
        <v>230</v>
      </c>
      <c r="EE4" s="55">
        <v>21</v>
      </c>
      <c r="EF4" s="56">
        <v>225</v>
      </c>
      <c r="EG4" s="55">
        <v>23</v>
      </c>
      <c r="EH4" s="56">
        <v>220</v>
      </c>
      <c r="EI4" s="55">
        <v>22</v>
      </c>
      <c r="EJ4" s="56">
        <v>233</v>
      </c>
      <c r="EK4" s="55">
        <v>25</v>
      </c>
      <c r="EL4" s="56">
        <v>240</v>
      </c>
      <c r="EM4" s="55">
        <v>24</v>
      </c>
      <c r="EN4" s="56">
        <v>233</v>
      </c>
      <c r="EO4" s="55">
        <v>14</v>
      </c>
      <c r="EP4" s="56">
        <v>250</v>
      </c>
      <c r="EQ4" s="55">
        <v>22</v>
      </c>
      <c r="ER4" s="56">
        <v>230</v>
      </c>
      <c r="ES4" s="55">
        <v>18</v>
      </c>
      <c r="ET4" s="56">
        <v>250</v>
      </c>
      <c r="EU4" s="55">
        <v>17</v>
      </c>
      <c r="EV4" s="56">
        <v>230</v>
      </c>
      <c r="EW4" s="55">
        <v>18</v>
      </c>
      <c r="EX4" s="56">
        <v>245</v>
      </c>
      <c r="EY4" s="55">
        <v>22</v>
      </c>
      <c r="EZ4" s="56">
        <v>220</v>
      </c>
      <c r="FA4" s="55">
        <v>19</v>
      </c>
      <c r="FB4" s="56">
        <v>260</v>
      </c>
      <c r="FC4" s="55">
        <v>14</v>
      </c>
      <c r="FD4" s="56">
        <v>245</v>
      </c>
      <c r="FE4" s="55">
        <v>15</v>
      </c>
      <c r="FF4" s="56">
        <v>260</v>
      </c>
      <c r="FG4" s="55">
        <v>15</v>
      </c>
      <c r="FH4" s="56">
        <v>270</v>
      </c>
      <c r="FI4" s="55">
        <v>14</v>
      </c>
      <c r="FJ4" s="56">
        <v>250</v>
      </c>
      <c r="FK4" s="55">
        <v>12</v>
      </c>
      <c r="FL4" s="56">
        <v>275</v>
      </c>
      <c r="FM4" s="55">
        <v>15</v>
      </c>
      <c r="FN4" s="56">
        <v>260</v>
      </c>
      <c r="FO4" s="55">
        <v>10</v>
      </c>
      <c r="FP4" s="56">
        <v>270</v>
      </c>
      <c r="FQ4" s="55">
        <v>16</v>
      </c>
      <c r="FR4" s="56">
        <v>293</v>
      </c>
      <c r="FS4" s="55">
        <v>16</v>
      </c>
      <c r="FT4" s="56">
        <v>258</v>
      </c>
      <c r="FU4" s="55">
        <v>8</v>
      </c>
      <c r="FV4" s="56">
        <v>285</v>
      </c>
      <c r="FW4" s="55">
        <v>19</v>
      </c>
      <c r="FX4" s="56">
        <v>265</v>
      </c>
      <c r="FY4" s="55">
        <v>18</v>
      </c>
      <c r="FZ4" s="56">
        <v>265</v>
      </c>
      <c r="GA4" s="55">
        <v>13</v>
      </c>
      <c r="GB4" s="56">
        <v>325</v>
      </c>
      <c r="GC4" s="55">
        <v>15</v>
      </c>
      <c r="GD4" s="56">
        <v>330</v>
      </c>
      <c r="GE4" s="55">
        <v>9</v>
      </c>
      <c r="GF4" s="56">
        <v>315</v>
      </c>
      <c r="GG4" s="55">
        <v>13</v>
      </c>
      <c r="GH4" s="56">
        <v>340</v>
      </c>
      <c r="GI4" s="55">
        <v>9</v>
      </c>
      <c r="GJ4" s="56">
        <v>355</v>
      </c>
      <c r="GK4" s="55">
        <v>7</v>
      </c>
      <c r="GL4" s="56">
        <v>395</v>
      </c>
      <c r="GM4" s="55">
        <v>10</v>
      </c>
      <c r="GN4" s="56">
        <v>313</v>
      </c>
      <c r="GO4" s="55">
        <v>18</v>
      </c>
      <c r="GP4" s="56">
        <v>340</v>
      </c>
      <c r="GQ4" s="55">
        <v>20</v>
      </c>
      <c r="GR4" s="56">
        <v>356</v>
      </c>
      <c r="GS4" s="55">
        <v>16</v>
      </c>
      <c r="GT4" s="56">
        <v>360</v>
      </c>
      <c r="GU4" s="55">
        <v>9</v>
      </c>
      <c r="GV4" s="56">
        <v>350</v>
      </c>
      <c r="GW4" s="55">
        <v>17</v>
      </c>
      <c r="GX4" s="56">
        <v>385</v>
      </c>
      <c r="GY4" s="55">
        <v>16</v>
      </c>
      <c r="GZ4" s="56">
        <v>360</v>
      </c>
      <c r="HA4" s="7">
        <v>11</v>
      </c>
      <c r="HB4" s="56">
        <v>365</v>
      </c>
      <c r="HC4" s="7">
        <v>11</v>
      </c>
      <c r="HD4" s="56">
        <v>390</v>
      </c>
      <c r="HE4" s="7">
        <v>13</v>
      </c>
      <c r="HF4" s="56">
        <v>370</v>
      </c>
    </row>
    <row r="5" spans="1:214" x14ac:dyDescent="0.25">
      <c r="A5" s="53"/>
      <c r="B5" s="54" t="s">
        <v>744</v>
      </c>
      <c r="C5" s="55" t="s">
        <v>2</v>
      </c>
      <c r="D5" s="56" t="s">
        <v>2</v>
      </c>
      <c r="E5" s="55" t="s">
        <v>2</v>
      </c>
      <c r="F5" s="56" t="s">
        <v>2</v>
      </c>
      <c r="G5" s="55" t="s">
        <v>2</v>
      </c>
      <c r="H5" s="56" t="s">
        <v>2</v>
      </c>
      <c r="I5" s="55">
        <v>6</v>
      </c>
      <c r="J5" s="56">
        <v>113</v>
      </c>
      <c r="K5" s="55">
        <v>5</v>
      </c>
      <c r="L5" s="56">
        <v>110</v>
      </c>
      <c r="M5" s="55">
        <v>6</v>
      </c>
      <c r="N5" s="56">
        <v>100</v>
      </c>
      <c r="O5" s="55" t="s">
        <v>2</v>
      </c>
      <c r="P5" s="56" t="s">
        <v>2</v>
      </c>
      <c r="Q5" s="55">
        <v>9</v>
      </c>
      <c r="R5" s="56">
        <v>110</v>
      </c>
      <c r="S5" s="55" t="s">
        <v>2</v>
      </c>
      <c r="T5" s="56" t="s">
        <v>2</v>
      </c>
      <c r="U5" s="55">
        <v>7</v>
      </c>
      <c r="V5" s="56">
        <v>106</v>
      </c>
      <c r="W5" s="55">
        <v>8</v>
      </c>
      <c r="X5" s="56">
        <v>115</v>
      </c>
      <c r="Y5" s="55">
        <v>8</v>
      </c>
      <c r="Z5" s="56">
        <v>105</v>
      </c>
      <c r="AA5" s="55" t="s">
        <v>2</v>
      </c>
      <c r="AB5" s="56" t="s">
        <v>2</v>
      </c>
      <c r="AC5" s="55">
        <v>11</v>
      </c>
      <c r="AD5" s="56">
        <v>120</v>
      </c>
      <c r="AE5" s="55">
        <v>8</v>
      </c>
      <c r="AF5" s="56">
        <v>123</v>
      </c>
      <c r="AG5" s="55">
        <v>8</v>
      </c>
      <c r="AH5" s="56">
        <v>120</v>
      </c>
      <c r="AI5" s="55">
        <v>9</v>
      </c>
      <c r="AJ5" s="56">
        <v>125</v>
      </c>
      <c r="AK5" s="55">
        <v>9</v>
      </c>
      <c r="AL5" s="56">
        <v>125</v>
      </c>
      <c r="AM5" s="55">
        <v>7</v>
      </c>
      <c r="AN5" s="56">
        <v>125</v>
      </c>
      <c r="AO5" s="55">
        <v>6</v>
      </c>
      <c r="AP5" s="56">
        <v>130</v>
      </c>
      <c r="AQ5" s="55" t="s">
        <v>2</v>
      </c>
      <c r="AR5" s="56" t="s">
        <v>2</v>
      </c>
      <c r="AS5" s="55">
        <v>8</v>
      </c>
      <c r="AT5" s="56">
        <v>135</v>
      </c>
      <c r="AU5" s="55">
        <v>12</v>
      </c>
      <c r="AV5" s="56">
        <v>133</v>
      </c>
      <c r="AW5" s="55">
        <v>8</v>
      </c>
      <c r="AX5" s="56">
        <v>138</v>
      </c>
      <c r="AY5" s="55">
        <v>13</v>
      </c>
      <c r="AZ5" s="56">
        <v>140</v>
      </c>
      <c r="BA5" s="55">
        <v>11</v>
      </c>
      <c r="BB5" s="56">
        <v>120</v>
      </c>
      <c r="BC5" s="55">
        <v>5</v>
      </c>
      <c r="BD5" s="56">
        <v>135</v>
      </c>
      <c r="BE5" s="55">
        <v>6</v>
      </c>
      <c r="BF5" s="56">
        <v>138</v>
      </c>
      <c r="BG5" s="55">
        <v>9</v>
      </c>
      <c r="BH5" s="56">
        <v>210</v>
      </c>
      <c r="BI5" s="55">
        <v>8</v>
      </c>
      <c r="BJ5" s="56">
        <v>130</v>
      </c>
      <c r="BK5" s="55">
        <v>10</v>
      </c>
      <c r="BL5" s="56">
        <v>155</v>
      </c>
      <c r="BM5" s="55">
        <v>13</v>
      </c>
      <c r="BN5" s="56">
        <v>150</v>
      </c>
      <c r="BO5" s="55">
        <v>6</v>
      </c>
      <c r="BP5" s="56">
        <v>143</v>
      </c>
      <c r="BQ5" s="55">
        <v>5</v>
      </c>
      <c r="BR5" s="56">
        <v>160</v>
      </c>
      <c r="BS5" s="55">
        <v>5</v>
      </c>
      <c r="BT5" s="56">
        <v>140</v>
      </c>
      <c r="BU5" s="55">
        <v>14</v>
      </c>
      <c r="BV5" s="56">
        <v>160</v>
      </c>
      <c r="BW5" s="55">
        <v>7</v>
      </c>
      <c r="BX5" s="56">
        <v>150</v>
      </c>
      <c r="BY5" s="55">
        <v>10</v>
      </c>
      <c r="BZ5" s="56">
        <v>160</v>
      </c>
      <c r="CA5" s="55">
        <v>9</v>
      </c>
      <c r="CB5" s="56">
        <v>150</v>
      </c>
      <c r="CC5" s="55">
        <v>7</v>
      </c>
      <c r="CD5" s="56">
        <v>145</v>
      </c>
      <c r="CE5" s="55">
        <v>11</v>
      </c>
      <c r="CF5" s="56">
        <v>200</v>
      </c>
      <c r="CG5" s="55">
        <v>7</v>
      </c>
      <c r="CH5" s="56">
        <v>150</v>
      </c>
      <c r="CI5" s="55">
        <v>10</v>
      </c>
      <c r="CJ5" s="56">
        <v>173</v>
      </c>
      <c r="CK5" s="55">
        <v>11</v>
      </c>
      <c r="CL5" s="56">
        <v>230</v>
      </c>
      <c r="CM5" s="55" t="s">
        <v>2</v>
      </c>
      <c r="CN5" s="56" t="s">
        <v>2</v>
      </c>
      <c r="CO5" s="55">
        <v>10</v>
      </c>
      <c r="CP5" s="56">
        <v>193</v>
      </c>
      <c r="CQ5" s="55">
        <v>6</v>
      </c>
      <c r="CR5" s="56">
        <v>193</v>
      </c>
      <c r="CS5" s="55">
        <v>5</v>
      </c>
      <c r="CT5" s="56">
        <v>170</v>
      </c>
      <c r="CU5" s="55">
        <v>10</v>
      </c>
      <c r="CV5" s="56">
        <v>185</v>
      </c>
      <c r="CW5" s="55">
        <v>9</v>
      </c>
      <c r="CX5" s="56">
        <v>180</v>
      </c>
      <c r="CY5" s="55">
        <v>8</v>
      </c>
      <c r="CZ5" s="56">
        <v>175</v>
      </c>
      <c r="DA5" s="55">
        <v>14</v>
      </c>
      <c r="DB5" s="56">
        <v>188</v>
      </c>
      <c r="DC5" s="55">
        <v>10</v>
      </c>
      <c r="DD5" s="56">
        <v>185</v>
      </c>
      <c r="DE5" s="55">
        <v>8</v>
      </c>
      <c r="DF5" s="56">
        <v>175</v>
      </c>
      <c r="DG5" s="55" t="s">
        <v>2</v>
      </c>
      <c r="DH5" s="56" t="s">
        <v>2</v>
      </c>
      <c r="DI5" s="55">
        <v>8</v>
      </c>
      <c r="DJ5" s="56">
        <v>188</v>
      </c>
      <c r="DK5" s="55">
        <v>7</v>
      </c>
      <c r="DL5" s="56">
        <v>190</v>
      </c>
      <c r="DM5" s="55">
        <v>5</v>
      </c>
      <c r="DN5" s="56">
        <v>180</v>
      </c>
      <c r="DO5" s="55">
        <v>7</v>
      </c>
      <c r="DP5" s="56">
        <v>185</v>
      </c>
      <c r="DQ5" s="55">
        <v>8</v>
      </c>
      <c r="DR5" s="56">
        <v>195</v>
      </c>
      <c r="DS5" s="55" t="s">
        <v>2</v>
      </c>
      <c r="DT5" s="56" t="s">
        <v>2</v>
      </c>
      <c r="DU5" s="55">
        <v>6</v>
      </c>
      <c r="DV5" s="56">
        <v>190</v>
      </c>
      <c r="DW5" s="55">
        <v>7</v>
      </c>
      <c r="DX5" s="56">
        <v>195</v>
      </c>
      <c r="DY5" s="55">
        <v>10</v>
      </c>
      <c r="DZ5" s="56">
        <v>173</v>
      </c>
      <c r="EA5" s="55">
        <v>5</v>
      </c>
      <c r="EB5" s="56">
        <v>220</v>
      </c>
      <c r="EC5" s="55">
        <v>9</v>
      </c>
      <c r="ED5" s="56">
        <v>200</v>
      </c>
      <c r="EE5" s="55">
        <v>5</v>
      </c>
      <c r="EF5" s="56">
        <v>220</v>
      </c>
      <c r="EG5" s="55">
        <v>5</v>
      </c>
      <c r="EH5" s="56">
        <v>195</v>
      </c>
      <c r="EI5" s="55" t="s">
        <v>2</v>
      </c>
      <c r="EJ5" s="56" t="s">
        <v>2</v>
      </c>
      <c r="EK5" s="55">
        <v>7</v>
      </c>
      <c r="EL5" s="56">
        <v>200</v>
      </c>
      <c r="EM5" s="55">
        <v>8</v>
      </c>
      <c r="EN5" s="56">
        <v>203</v>
      </c>
      <c r="EO5" s="55">
        <v>6</v>
      </c>
      <c r="EP5" s="56">
        <v>188</v>
      </c>
      <c r="EQ5" s="55" t="s">
        <v>2</v>
      </c>
      <c r="ER5" s="56" t="s">
        <v>2</v>
      </c>
      <c r="ES5" s="55">
        <v>10</v>
      </c>
      <c r="ET5" s="56">
        <v>200</v>
      </c>
      <c r="EU5" s="55">
        <v>8</v>
      </c>
      <c r="EV5" s="56">
        <v>223</v>
      </c>
      <c r="EW5" s="55">
        <v>5</v>
      </c>
      <c r="EX5" s="56">
        <v>210</v>
      </c>
      <c r="EY5" s="55">
        <v>6</v>
      </c>
      <c r="EZ5" s="56">
        <v>225</v>
      </c>
      <c r="FA5" s="55">
        <v>9</v>
      </c>
      <c r="FB5" s="56">
        <v>220</v>
      </c>
      <c r="FC5" s="55">
        <v>7</v>
      </c>
      <c r="FD5" s="56">
        <v>220</v>
      </c>
      <c r="FE5" s="55">
        <v>6</v>
      </c>
      <c r="FF5" s="56">
        <v>225</v>
      </c>
      <c r="FG5" s="55">
        <v>8</v>
      </c>
      <c r="FH5" s="56">
        <v>220</v>
      </c>
      <c r="FI5" s="55">
        <v>11</v>
      </c>
      <c r="FJ5" s="56">
        <v>225</v>
      </c>
      <c r="FK5" s="55">
        <v>9</v>
      </c>
      <c r="FL5" s="56">
        <v>245</v>
      </c>
      <c r="FM5" s="55">
        <v>6</v>
      </c>
      <c r="FN5" s="56">
        <v>225</v>
      </c>
      <c r="FO5" s="55">
        <v>7</v>
      </c>
      <c r="FP5" s="56">
        <v>220</v>
      </c>
      <c r="FQ5" s="55">
        <v>7</v>
      </c>
      <c r="FR5" s="56">
        <v>240</v>
      </c>
      <c r="FS5" s="55" t="s">
        <v>2</v>
      </c>
      <c r="FT5" s="56" t="s">
        <v>2</v>
      </c>
      <c r="FU5" s="55">
        <v>10</v>
      </c>
      <c r="FV5" s="56">
        <v>250</v>
      </c>
      <c r="FW5" s="55">
        <v>5</v>
      </c>
      <c r="FX5" s="56">
        <v>260</v>
      </c>
      <c r="FY5" s="55" t="s">
        <v>2</v>
      </c>
      <c r="FZ5" s="56" t="s">
        <v>2</v>
      </c>
      <c r="GA5" s="55" t="s">
        <v>2</v>
      </c>
      <c r="GB5" s="56" t="s">
        <v>2</v>
      </c>
      <c r="GC5" s="55">
        <v>8</v>
      </c>
      <c r="GD5" s="56">
        <v>275</v>
      </c>
      <c r="GE5" s="55" t="s">
        <v>2</v>
      </c>
      <c r="GF5" s="56" t="s">
        <v>2</v>
      </c>
      <c r="GG5" s="55">
        <v>9</v>
      </c>
      <c r="GH5" s="56">
        <v>280</v>
      </c>
      <c r="GI5" s="55">
        <v>9</v>
      </c>
      <c r="GJ5" s="56">
        <v>310</v>
      </c>
      <c r="GK5" s="55" t="s">
        <v>2</v>
      </c>
      <c r="GL5" s="56" t="s">
        <v>2</v>
      </c>
      <c r="GM5" s="55">
        <v>6</v>
      </c>
      <c r="GN5" s="56">
        <v>310</v>
      </c>
      <c r="GO5" s="55" t="s">
        <v>2</v>
      </c>
      <c r="GP5" s="56" t="s">
        <v>2</v>
      </c>
      <c r="GQ5" s="55">
        <v>5</v>
      </c>
      <c r="GR5" s="56">
        <v>350</v>
      </c>
      <c r="GS5" s="55">
        <v>7</v>
      </c>
      <c r="GT5" s="56">
        <v>320</v>
      </c>
      <c r="GU5" s="55">
        <v>9</v>
      </c>
      <c r="GV5" s="56">
        <v>320</v>
      </c>
      <c r="GW5" s="55">
        <v>5</v>
      </c>
      <c r="GX5" s="56">
        <v>330</v>
      </c>
      <c r="GY5" s="55">
        <v>7</v>
      </c>
      <c r="GZ5" s="56">
        <v>320</v>
      </c>
      <c r="HA5">
        <v>6</v>
      </c>
      <c r="HB5" s="56">
        <v>340</v>
      </c>
      <c r="HC5">
        <v>9</v>
      </c>
      <c r="HD5" s="56">
        <v>350</v>
      </c>
      <c r="HE5" t="s">
        <v>2</v>
      </c>
      <c r="HF5" s="56" t="s">
        <v>2</v>
      </c>
    </row>
    <row r="6" spans="1:214" x14ac:dyDescent="0.25">
      <c r="A6" s="53"/>
      <c r="B6" s="54" t="s">
        <v>745</v>
      </c>
      <c r="C6" s="55">
        <v>20</v>
      </c>
      <c r="D6" s="56">
        <v>100</v>
      </c>
      <c r="E6" s="55">
        <v>27</v>
      </c>
      <c r="F6" s="56">
        <v>90</v>
      </c>
      <c r="G6" s="55">
        <v>25</v>
      </c>
      <c r="H6" s="56">
        <v>100</v>
      </c>
      <c r="I6" s="55">
        <v>38</v>
      </c>
      <c r="J6" s="56">
        <v>95</v>
      </c>
      <c r="K6" s="55">
        <v>28</v>
      </c>
      <c r="L6" s="56">
        <v>100</v>
      </c>
      <c r="M6" s="55">
        <v>35</v>
      </c>
      <c r="N6" s="56">
        <v>100</v>
      </c>
      <c r="O6" s="55">
        <v>27</v>
      </c>
      <c r="P6" s="56">
        <v>100</v>
      </c>
      <c r="Q6" s="55">
        <v>31</v>
      </c>
      <c r="R6" s="56">
        <v>100</v>
      </c>
      <c r="S6" s="55">
        <v>23</v>
      </c>
      <c r="T6" s="56">
        <v>100</v>
      </c>
      <c r="U6" s="55">
        <v>29</v>
      </c>
      <c r="V6" s="56">
        <v>110</v>
      </c>
      <c r="W6" s="55">
        <v>15</v>
      </c>
      <c r="X6" s="56">
        <v>100</v>
      </c>
      <c r="Y6" s="55">
        <v>35</v>
      </c>
      <c r="Z6" s="56">
        <v>115</v>
      </c>
      <c r="AA6" s="55">
        <v>26</v>
      </c>
      <c r="AB6" s="56">
        <v>105</v>
      </c>
      <c r="AC6" s="55">
        <v>32</v>
      </c>
      <c r="AD6" s="56">
        <v>120</v>
      </c>
      <c r="AE6" s="55">
        <v>31</v>
      </c>
      <c r="AF6" s="56">
        <v>100</v>
      </c>
      <c r="AG6" s="55">
        <v>40</v>
      </c>
      <c r="AH6" s="56">
        <v>123</v>
      </c>
      <c r="AI6" s="55">
        <v>16</v>
      </c>
      <c r="AJ6" s="56">
        <v>125</v>
      </c>
      <c r="AK6" s="55">
        <v>19</v>
      </c>
      <c r="AL6" s="56">
        <v>130</v>
      </c>
      <c r="AM6" s="55">
        <v>24</v>
      </c>
      <c r="AN6" s="56">
        <v>120</v>
      </c>
      <c r="AO6" s="55">
        <v>28</v>
      </c>
      <c r="AP6" s="56">
        <v>125</v>
      </c>
      <c r="AQ6" s="55">
        <v>23</v>
      </c>
      <c r="AR6" s="56">
        <v>129</v>
      </c>
      <c r="AS6" s="55">
        <v>22</v>
      </c>
      <c r="AT6" s="56">
        <v>120</v>
      </c>
      <c r="AU6" s="55">
        <v>15</v>
      </c>
      <c r="AV6" s="56">
        <v>125</v>
      </c>
      <c r="AW6" s="55">
        <v>25</v>
      </c>
      <c r="AX6" s="56">
        <v>125</v>
      </c>
      <c r="AY6" s="55">
        <v>25</v>
      </c>
      <c r="AZ6" s="56">
        <v>135</v>
      </c>
      <c r="BA6" s="55">
        <v>16</v>
      </c>
      <c r="BB6" s="56">
        <v>126</v>
      </c>
      <c r="BC6" s="55">
        <v>18</v>
      </c>
      <c r="BD6" s="56">
        <v>120</v>
      </c>
      <c r="BE6" s="55">
        <v>20</v>
      </c>
      <c r="BF6" s="56">
        <v>130</v>
      </c>
      <c r="BG6" s="55">
        <v>19</v>
      </c>
      <c r="BH6" s="56">
        <v>140</v>
      </c>
      <c r="BI6" s="55">
        <v>19</v>
      </c>
      <c r="BJ6" s="56">
        <v>135</v>
      </c>
      <c r="BK6" s="55">
        <v>23</v>
      </c>
      <c r="BL6" s="56">
        <v>150</v>
      </c>
      <c r="BM6" s="55">
        <v>28</v>
      </c>
      <c r="BN6" s="56">
        <v>150</v>
      </c>
      <c r="BO6" s="55">
        <v>21</v>
      </c>
      <c r="BP6" s="56">
        <v>145</v>
      </c>
      <c r="BQ6" s="55">
        <v>24</v>
      </c>
      <c r="BR6" s="56">
        <v>138</v>
      </c>
      <c r="BS6" s="55">
        <v>23</v>
      </c>
      <c r="BT6" s="56">
        <v>150</v>
      </c>
      <c r="BU6" s="55">
        <v>21</v>
      </c>
      <c r="BV6" s="56">
        <v>160</v>
      </c>
      <c r="BW6" s="55">
        <v>25</v>
      </c>
      <c r="BX6" s="56">
        <v>160</v>
      </c>
      <c r="BY6" s="55">
        <v>18</v>
      </c>
      <c r="BZ6" s="56">
        <v>168</v>
      </c>
      <c r="CA6" s="55">
        <v>20</v>
      </c>
      <c r="CB6" s="56">
        <v>163</v>
      </c>
      <c r="CC6" s="55">
        <v>24</v>
      </c>
      <c r="CD6" s="56">
        <v>145</v>
      </c>
      <c r="CE6" s="55">
        <v>18</v>
      </c>
      <c r="CF6" s="56">
        <v>156</v>
      </c>
      <c r="CG6" s="55">
        <v>25</v>
      </c>
      <c r="CH6" s="56">
        <v>150</v>
      </c>
      <c r="CI6" s="55">
        <v>17</v>
      </c>
      <c r="CJ6" s="56">
        <v>145</v>
      </c>
      <c r="CK6" s="55">
        <v>29</v>
      </c>
      <c r="CL6" s="56">
        <v>165</v>
      </c>
      <c r="CM6" s="55">
        <v>15</v>
      </c>
      <c r="CN6" s="56">
        <v>165</v>
      </c>
      <c r="CO6" s="55">
        <v>18</v>
      </c>
      <c r="CP6" s="56">
        <v>163</v>
      </c>
      <c r="CQ6" s="55">
        <v>28</v>
      </c>
      <c r="CR6" s="56">
        <v>180</v>
      </c>
      <c r="CS6" s="55">
        <v>28</v>
      </c>
      <c r="CT6" s="56">
        <v>170</v>
      </c>
      <c r="CU6" s="55">
        <v>22</v>
      </c>
      <c r="CV6" s="56">
        <v>155</v>
      </c>
      <c r="CW6" s="55">
        <v>33</v>
      </c>
      <c r="CX6" s="56">
        <v>175</v>
      </c>
      <c r="CY6" s="55">
        <v>19</v>
      </c>
      <c r="CZ6" s="56">
        <v>165</v>
      </c>
      <c r="DA6" s="55">
        <v>19</v>
      </c>
      <c r="DB6" s="56">
        <v>190</v>
      </c>
      <c r="DC6" s="55">
        <v>17</v>
      </c>
      <c r="DD6" s="56">
        <v>175</v>
      </c>
      <c r="DE6" s="55">
        <v>19</v>
      </c>
      <c r="DF6" s="56">
        <v>160</v>
      </c>
      <c r="DG6" s="55">
        <v>12</v>
      </c>
      <c r="DH6" s="56">
        <v>170</v>
      </c>
      <c r="DI6" s="55">
        <v>20</v>
      </c>
      <c r="DJ6" s="56">
        <v>180</v>
      </c>
      <c r="DK6" s="55">
        <v>24</v>
      </c>
      <c r="DL6" s="56">
        <v>165</v>
      </c>
      <c r="DM6" s="55">
        <v>25</v>
      </c>
      <c r="DN6" s="56">
        <v>180</v>
      </c>
      <c r="DO6" s="55">
        <v>18</v>
      </c>
      <c r="DP6" s="56">
        <v>180</v>
      </c>
      <c r="DQ6" s="55">
        <v>23</v>
      </c>
      <c r="DR6" s="56">
        <v>165</v>
      </c>
      <c r="DS6" s="55">
        <v>17</v>
      </c>
      <c r="DT6" s="56">
        <v>190</v>
      </c>
      <c r="DU6" s="55">
        <v>16</v>
      </c>
      <c r="DV6" s="56">
        <v>178</v>
      </c>
      <c r="DW6" s="55">
        <v>25</v>
      </c>
      <c r="DX6" s="56">
        <v>160</v>
      </c>
      <c r="DY6" s="55">
        <v>26</v>
      </c>
      <c r="DZ6" s="56">
        <v>180</v>
      </c>
      <c r="EA6" s="55">
        <v>21</v>
      </c>
      <c r="EB6" s="56">
        <v>165</v>
      </c>
      <c r="EC6" s="55">
        <v>26</v>
      </c>
      <c r="ED6" s="56">
        <v>168</v>
      </c>
      <c r="EE6" s="55">
        <v>13</v>
      </c>
      <c r="EF6" s="56">
        <v>170</v>
      </c>
      <c r="EG6" s="55">
        <v>20</v>
      </c>
      <c r="EH6" s="56">
        <v>175</v>
      </c>
      <c r="EI6" s="55">
        <v>22</v>
      </c>
      <c r="EJ6" s="56">
        <v>198</v>
      </c>
      <c r="EK6" s="55">
        <v>24</v>
      </c>
      <c r="EL6" s="56">
        <v>165</v>
      </c>
      <c r="EM6" s="55">
        <v>19</v>
      </c>
      <c r="EN6" s="56">
        <v>160</v>
      </c>
      <c r="EO6" s="55">
        <v>21</v>
      </c>
      <c r="EP6" s="56">
        <v>180</v>
      </c>
      <c r="EQ6" s="55">
        <v>21</v>
      </c>
      <c r="ER6" s="56">
        <v>165</v>
      </c>
      <c r="ES6" s="55">
        <v>23</v>
      </c>
      <c r="ET6" s="56">
        <v>170</v>
      </c>
      <c r="EU6" s="55">
        <v>20</v>
      </c>
      <c r="EV6" s="56">
        <v>170</v>
      </c>
      <c r="EW6" s="55">
        <v>15</v>
      </c>
      <c r="EX6" s="56">
        <v>165</v>
      </c>
      <c r="EY6" s="55">
        <v>16</v>
      </c>
      <c r="EZ6" s="56">
        <v>180</v>
      </c>
      <c r="FA6" s="55">
        <v>14</v>
      </c>
      <c r="FB6" s="56">
        <v>203</v>
      </c>
      <c r="FC6" s="55">
        <v>16</v>
      </c>
      <c r="FD6" s="56">
        <v>220</v>
      </c>
      <c r="FE6" s="55">
        <v>20</v>
      </c>
      <c r="FF6" s="56">
        <v>200</v>
      </c>
      <c r="FG6" s="55">
        <v>24</v>
      </c>
      <c r="FH6" s="56">
        <v>223</v>
      </c>
      <c r="FI6" s="55">
        <v>28</v>
      </c>
      <c r="FJ6" s="56">
        <v>215</v>
      </c>
      <c r="FK6" s="55">
        <v>20</v>
      </c>
      <c r="FL6" s="56">
        <v>250</v>
      </c>
      <c r="FM6" s="55">
        <v>13</v>
      </c>
      <c r="FN6" s="56">
        <v>270</v>
      </c>
      <c r="FO6" s="55">
        <v>20</v>
      </c>
      <c r="FP6" s="56">
        <v>258</v>
      </c>
      <c r="FQ6" s="55">
        <v>22</v>
      </c>
      <c r="FR6" s="56">
        <v>260</v>
      </c>
      <c r="FS6" s="55">
        <v>10</v>
      </c>
      <c r="FT6" s="56">
        <v>268</v>
      </c>
      <c r="FU6" s="55">
        <v>25</v>
      </c>
      <c r="FV6" s="56">
        <v>300</v>
      </c>
      <c r="FW6" s="55">
        <v>19</v>
      </c>
      <c r="FX6" s="56">
        <v>275</v>
      </c>
      <c r="FY6" s="55">
        <v>17</v>
      </c>
      <c r="FZ6" s="56">
        <v>300</v>
      </c>
      <c r="GA6" s="55">
        <v>14</v>
      </c>
      <c r="GB6" s="56">
        <v>300</v>
      </c>
      <c r="GC6" s="55">
        <v>18</v>
      </c>
      <c r="GD6" s="56">
        <v>270</v>
      </c>
      <c r="GE6" s="55">
        <v>20</v>
      </c>
      <c r="GF6" s="56">
        <v>300</v>
      </c>
      <c r="GG6" s="55">
        <v>20</v>
      </c>
      <c r="GH6" s="56">
        <v>320</v>
      </c>
      <c r="GI6" s="55">
        <v>18</v>
      </c>
      <c r="GJ6" s="56">
        <v>300</v>
      </c>
      <c r="GK6" s="55">
        <v>13</v>
      </c>
      <c r="GL6" s="56">
        <v>305</v>
      </c>
      <c r="GM6" s="55">
        <v>13</v>
      </c>
      <c r="GN6" s="56">
        <v>320</v>
      </c>
      <c r="GO6" s="55">
        <v>11</v>
      </c>
      <c r="GP6" s="56">
        <v>350</v>
      </c>
      <c r="GQ6" s="55">
        <v>16</v>
      </c>
      <c r="GR6" s="56">
        <v>300</v>
      </c>
      <c r="GS6" s="55">
        <v>13</v>
      </c>
      <c r="GT6" s="56">
        <v>320</v>
      </c>
      <c r="GU6" s="55">
        <v>24</v>
      </c>
      <c r="GV6" s="56">
        <v>330</v>
      </c>
      <c r="GW6" s="55">
        <v>19</v>
      </c>
      <c r="GX6" s="56">
        <v>350</v>
      </c>
      <c r="GY6" s="55">
        <v>18</v>
      </c>
      <c r="GZ6" s="56">
        <v>375</v>
      </c>
      <c r="HA6">
        <v>28</v>
      </c>
      <c r="HB6" s="56">
        <v>335</v>
      </c>
      <c r="HC6">
        <v>19</v>
      </c>
      <c r="HD6" s="56">
        <v>360</v>
      </c>
      <c r="HE6">
        <v>22</v>
      </c>
      <c r="HF6" s="56">
        <v>305</v>
      </c>
    </row>
    <row r="7" spans="1:214" x14ac:dyDescent="0.25">
      <c r="A7" s="53"/>
      <c r="B7" s="54" t="s">
        <v>746</v>
      </c>
      <c r="C7" s="55">
        <v>386</v>
      </c>
      <c r="D7" s="56">
        <v>125</v>
      </c>
      <c r="E7" s="55">
        <v>352</v>
      </c>
      <c r="F7" s="56">
        <v>130</v>
      </c>
      <c r="G7" s="55">
        <v>390</v>
      </c>
      <c r="H7" s="56">
        <v>130</v>
      </c>
      <c r="I7" s="55">
        <v>419</v>
      </c>
      <c r="J7" s="56">
        <v>130</v>
      </c>
      <c r="K7" s="55">
        <v>351</v>
      </c>
      <c r="L7" s="56">
        <v>130</v>
      </c>
      <c r="M7" s="55">
        <v>373</v>
      </c>
      <c r="N7" s="56">
        <v>135</v>
      </c>
      <c r="O7" s="55">
        <v>365</v>
      </c>
      <c r="P7" s="56">
        <v>135</v>
      </c>
      <c r="Q7" s="55">
        <v>414</v>
      </c>
      <c r="R7" s="56">
        <v>140</v>
      </c>
      <c r="S7" s="55">
        <v>343</v>
      </c>
      <c r="T7" s="56">
        <v>135</v>
      </c>
      <c r="U7" s="55">
        <v>348</v>
      </c>
      <c r="V7" s="56">
        <v>140</v>
      </c>
      <c r="W7" s="55">
        <v>329</v>
      </c>
      <c r="X7" s="56">
        <v>140</v>
      </c>
      <c r="Y7" s="55">
        <v>399</v>
      </c>
      <c r="Z7" s="56">
        <v>145</v>
      </c>
      <c r="AA7" s="55">
        <v>306</v>
      </c>
      <c r="AB7" s="56">
        <v>145</v>
      </c>
      <c r="AC7" s="55">
        <v>335</v>
      </c>
      <c r="AD7" s="56">
        <v>145</v>
      </c>
      <c r="AE7" s="55">
        <v>301</v>
      </c>
      <c r="AF7" s="56">
        <v>145</v>
      </c>
      <c r="AG7" s="55">
        <v>400</v>
      </c>
      <c r="AH7" s="56">
        <v>150</v>
      </c>
      <c r="AI7" s="55">
        <v>315</v>
      </c>
      <c r="AJ7" s="56">
        <v>150</v>
      </c>
      <c r="AK7" s="55">
        <v>338</v>
      </c>
      <c r="AL7" s="56">
        <v>150</v>
      </c>
      <c r="AM7" s="55">
        <v>327</v>
      </c>
      <c r="AN7" s="56">
        <v>155</v>
      </c>
      <c r="AO7" s="55">
        <v>377</v>
      </c>
      <c r="AP7" s="56">
        <v>155</v>
      </c>
      <c r="AQ7" s="55">
        <v>284</v>
      </c>
      <c r="AR7" s="56">
        <v>160</v>
      </c>
      <c r="AS7" s="55">
        <v>363</v>
      </c>
      <c r="AT7" s="56">
        <v>160</v>
      </c>
      <c r="AU7" s="55">
        <v>325</v>
      </c>
      <c r="AV7" s="56">
        <v>160</v>
      </c>
      <c r="AW7" s="55">
        <v>362</v>
      </c>
      <c r="AX7" s="56">
        <v>160</v>
      </c>
      <c r="AY7" s="55">
        <v>330</v>
      </c>
      <c r="AZ7" s="56">
        <v>160</v>
      </c>
      <c r="BA7" s="55">
        <v>330</v>
      </c>
      <c r="BB7" s="56">
        <v>170</v>
      </c>
      <c r="BC7" s="55">
        <v>310</v>
      </c>
      <c r="BD7" s="56">
        <v>170</v>
      </c>
      <c r="BE7" s="55">
        <v>362</v>
      </c>
      <c r="BF7" s="56">
        <v>170</v>
      </c>
      <c r="BG7" s="55">
        <v>274</v>
      </c>
      <c r="BH7" s="56">
        <v>170</v>
      </c>
      <c r="BI7" s="55">
        <v>287</v>
      </c>
      <c r="BJ7" s="56">
        <v>175</v>
      </c>
      <c r="BK7" s="55">
        <v>297</v>
      </c>
      <c r="BL7" s="56">
        <v>180</v>
      </c>
      <c r="BM7" s="55">
        <v>323</v>
      </c>
      <c r="BN7" s="56">
        <v>185</v>
      </c>
      <c r="BO7" s="55">
        <v>268</v>
      </c>
      <c r="BP7" s="56">
        <v>185</v>
      </c>
      <c r="BQ7" s="55">
        <v>274</v>
      </c>
      <c r="BR7" s="56">
        <v>185</v>
      </c>
      <c r="BS7" s="55">
        <v>303</v>
      </c>
      <c r="BT7" s="56">
        <v>190</v>
      </c>
      <c r="BU7" s="55">
        <v>356</v>
      </c>
      <c r="BV7" s="56">
        <v>210</v>
      </c>
      <c r="BW7" s="55">
        <v>332</v>
      </c>
      <c r="BX7" s="56">
        <v>200</v>
      </c>
      <c r="BY7" s="55">
        <v>304</v>
      </c>
      <c r="BZ7" s="56">
        <v>210</v>
      </c>
      <c r="CA7" s="55">
        <v>289</v>
      </c>
      <c r="CB7" s="56">
        <v>220</v>
      </c>
      <c r="CC7" s="55">
        <v>330</v>
      </c>
      <c r="CD7" s="56">
        <v>220</v>
      </c>
      <c r="CE7" s="55">
        <v>323</v>
      </c>
      <c r="CF7" s="56">
        <v>220</v>
      </c>
      <c r="CG7" s="55">
        <v>303</v>
      </c>
      <c r="CH7" s="56">
        <v>230</v>
      </c>
      <c r="CI7" s="55">
        <v>295</v>
      </c>
      <c r="CJ7" s="56">
        <v>235</v>
      </c>
      <c r="CK7" s="55">
        <v>359</v>
      </c>
      <c r="CL7" s="56">
        <v>245</v>
      </c>
      <c r="CM7" s="55">
        <v>274</v>
      </c>
      <c r="CN7" s="56">
        <v>250</v>
      </c>
      <c r="CO7" s="55">
        <v>322</v>
      </c>
      <c r="CP7" s="56">
        <v>245</v>
      </c>
      <c r="CQ7" s="55">
        <v>304</v>
      </c>
      <c r="CR7" s="56">
        <v>255</v>
      </c>
      <c r="CS7" s="55">
        <v>380</v>
      </c>
      <c r="CT7" s="56">
        <v>260</v>
      </c>
      <c r="CU7" s="55">
        <v>307</v>
      </c>
      <c r="CV7" s="56">
        <v>260</v>
      </c>
      <c r="CW7" s="55">
        <v>313</v>
      </c>
      <c r="CX7" s="56">
        <v>265</v>
      </c>
      <c r="CY7" s="55">
        <v>330</v>
      </c>
      <c r="CZ7" s="56">
        <v>265</v>
      </c>
      <c r="DA7" s="55">
        <v>423</v>
      </c>
      <c r="DB7" s="56">
        <v>270</v>
      </c>
      <c r="DC7" s="55">
        <v>311</v>
      </c>
      <c r="DD7" s="56">
        <v>260</v>
      </c>
      <c r="DE7" s="55">
        <v>330</v>
      </c>
      <c r="DF7" s="56">
        <v>260</v>
      </c>
      <c r="DG7" s="55">
        <v>361</v>
      </c>
      <c r="DH7" s="56">
        <v>265</v>
      </c>
      <c r="DI7" s="55">
        <v>466</v>
      </c>
      <c r="DJ7" s="56">
        <v>275</v>
      </c>
      <c r="DK7" s="55">
        <v>376</v>
      </c>
      <c r="DL7" s="56">
        <v>270</v>
      </c>
      <c r="DM7" s="55">
        <v>374</v>
      </c>
      <c r="DN7" s="56">
        <v>270</v>
      </c>
      <c r="DO7" s="55">
        <v>360</v>
      </c>
      <c r="DP7" s="56">
        <v>270</v>
      </c>
      <c r="DQ7" s="55">
        <v>469</v>
      </c>
      <c r="DR7" s="56">
        <v>275</v>
      </c>
      <c r="DS7" s="55">
        <v>369</v>
      </c>
      <c r="DT7" s="56">
        <v>280</v>
      </c>
      <c r="DU7" s="55">
        <v>367</v>
      </c>
      <c r="DV7" s="56">
        <v>270</v>
      </c>
      <c r="DW7" s="55">
        <v>365</v>
      </c>
      <c r="DX7" s="56">
        <v>270</v>
      </c>
      <c r="DY7" s="55">
        <v>431</v>
      </c>
      <c r="DZ7" s="56">
        <v>280</v>
      </c>
      <c r="EA7" s="55">
        <v>384</v>
      </c>
      <c r="EB7" s="56">
        <v>275</v>
      </c>
      <c r="EC7" s="55">
        <v>366</v>
      </c>
      <c r="ED7" s="56">
        <v>280</v>
      </c>
      <c r="EE7" s="55">
        <v>384</v>
      </c>
      <c r="EF7" s="56">
        <v>280</v>
      </c>
      <c r="EG7" s="55">
        <v>446</v>
      </c>
      <c r="EH7" s="56">
        <v>280</v>
      </c>
      <c r="EI7" s="55">
        <v>379</v>
      </c>
      <c r="EJ7" s="56">
        <v>280</v>
      </c>
      <c r="EK7" s="55">
        <v>387</v>
      </c>
      <c r="EL7" s="56">
        <v>280</v>
      </c>
      <c r="EM7" s="55">
        <v>339</v>
      </c>
      <c r="EN7" s="56">
        <v>290</v>
      </c>
      <c r="EO7" s="55">
        <v>407</v>
      </c>
      <c r="EP7" s="56">
        <v>290</v>
      </c>
      <c r="EQ7" s="55">
        <v>380</v>
      </c>
      <c r="ER7" s="56">
        <v>290</v>
      </c>
      <c r="ES7" s="55">
        <v>404</v>
      </c>
      <c r="ET7" s="56">
        <v>290</v>
      </c>
      <c r="EU7" s="55">
        <v>349</v>
      </c>
      <c r="EV7" s="56">
        <v>295</v>
      </c>
      <c r="EW7" s="55">
        <v>406</v>
      </c>
      <c r="EX7" s="56">
        <v>300</v>
      </c>
      <c r="EY7" s="55">
        <v>343</v>
      </c>
      <c r="EZ7" s="56">
        <v>300</v>
      </c>
      <c r="FA7" s="55">
        <v>385</v>
      </c>
      <c r="FB7" s="56">
        <v>300</v>
      </c>
      <c r="FC7" s="55">
        <v>309</v>
      </c>
      <c r="FD7" s="56">
        <v>310</v>
      </c>
      <c r="FE7" s="55">
        <v>327</v>
      </c>
      <c r="FF7" s="56">
        <v>310</v>
      </c>
      <c r="FG7" s="55">
        <v>304</v>
      </c>
      <c r="FH7" s="56">
        <v>320</v>
      </c>
      <c r="FI7" s="55">
        <v>330</v>
      </c>
      <c r="FJ7" s="56">
        <v>310</v>
      </c>
      <c r="FK7" s="55">
        <v>298</v>
      </c>
      <c r="FL7" s="56">
        <v>330</v>
      </c>
      <c r="FM7" s="55">
        <v>432</v>
      </c>
      <c r="FN7" s="56">
        <v>340</v>
      </c>
      <c r="FO7" s="55">
        <v>288</v>
      </c>
      <c r="FP7" s="56">
        <v>320</v>
      </c>
      <c r="FQ7" s="55">
        <v>355</v>
      </c>
      <c r="FR7" s="56">
        <v>330</v>
      </c>
      <c r="FS7" s="55">
        <v>341</v>
      </c>
      <c r="FT7" s="56">
        <v>340</v>
      </c>
      <c r="FU7" s="55">
        <v>349</v>
      </c>
      <c r="FV7" s="56">
        <v>340</v>
      </c>
      <c r="FW7" s="55">
        <v>272</v>
      </c>
      <c r="FX7" s="56">
        <v>340</v>
      </c>
      <c r="FY7" s="55">
        <v>314</v>
      </c>
      <c r="FZ7" s="56">
        <v>350</v>
      </c>
      <c r="GA7" s="55">
        <v>293</v>
      </c>
      <c r="GB7" s="56">
        <v>360</v>
      </c>
      <c r="GC7" s="55">
        <v>324</v>
      </c>
      <c r="GD7" s="56">
        <v>375</v>
      </c>
      <c r="GE7" s="55">
        <v>289</v>
      </c>
      <c r="GF7" s="56">
        <v>380</v>
      </c>
      <c r="GG7" s="55">
        <v>331</v>
      </c>
      <c r="GH7" s="56">
        <v>380</v>
      </c>
      <c r="GI7" s="55">
        <v>329</v>
      </c>
      <c r="GJ7" s="56">
        <v>385</v>
      </c>
      <c r="GK7" s="55">
        <v>320</v>
      </c>
      <c r="GL7" s="56">
        <v>390</v>
      </c>
      <c r="GM7" s="55">
        <v>309</v>
      </c>
      <c r="GN7" s="56">
        <v>400</v>
      </c>
      <c r="GO7" s="55">
        <v>311</v>
      </c>
      <c r="GP7" s="56">
        <v>400</v>
      </c>
      <c r="GQ7" s="55">
        <v>277</v>
      </c>
      <c r="GR7" s="56">
        <v>410</v>
      </c>
      <c r="GS7" s="55">
        <v>312</v>
      </c>
      <c r="GT7" s="56">
        <v>420</v>
      </c>
      <c r="GU7" s="55">
        <v>296</v>
      </c>
      <c r="GV7" s="56">
        <v>420</v>
      </c>
      <c r="GW7" s="55">
        <v>333</v>
      </c>
      <c r="GX7" s="56">
        <v>420</v>
      </c>
      <c r="GY7" s="55">
        <v>299</v>
      </c>
      <c r="GZ7" s="56">
        <v>425</v>
      </c>
      <c r="HA7">
        <v>338</v>
      </c>
      <c r="HB7" s="56">
        <v>430</v>
      </c>
      <c r="HC7">
        <v>261</v>
      </c>
      <c r="HD7" s="56">
        <v>430</v>
      </c>
      <c r="HE7">
        <v>257</v>
      </c>
      <c r="HF7" s="56">
        <v>435</v>
      </c>
    </row>
    <row r="8" spans="1:214" x14ac:dyDescent="0.25">
      <c r="A8" s="53"/>
      <c r="B8" s="54" t="s">
        <v>747</v>
      </c>
      <c r="C8" s="55" t="s">
        <v>2</v>
      </c>
      <c r="D8" s="56" t="s">
        <v>2</v>
      </c>
      <c r="E8" s="55" t="s">
        <v>2</v>
      </c>
      <c r="F8" s="56" t="s">
        <v>2</v>
      </c>
      <c r="G8" s="55" t="s">
        <v>2</v>
      </c>
      <c r="H8" s="56" t="s">
        <v>2</v>
      </c>
      <c r="I8" s="55">
        <v>5</v>
      </c>
      <c r="J8" s="56">
        <v>110</v>
      </c>
      <c r="K8" s="55" t="s">
        <v>2</v>
      </c>
      <c r="L8" s="56" t="s">
        <v>2</v>
      </c>
      <c r="M8" s="55">
        <v>5</v>
      </c>
      <c r="N8" s="56">
        <v>140</v>
      </c>
      <c r="O8" s="55">
        <v>5</v>
      </c>
      <c r="P8" s="56">
        <v>135</v>
      </c>
      <c r="Q8" s="55" t="s">
        <v>2</v>
      </c>
      <c r="R8" s="56" t="s">
        <v>2</v>
      </c>
      <c r="S8" s="55">
        <v>7</v>
      </c>
      <c r="T8" s="56">
        <v>140</v>
      </c>
      <c r="U8" s="55">
        <v>5</v>
      </c>
      <c r="V8" s="56">
        <v>135</v>
      </c>
      <c r="W8" s="55" t="s">
        <v>2</v>
      </c>
      <c r="X8" s="56" t="s">
        <v>2</v>
      </c>
      <c r="Y8" s="55" t="s">
        <v>2</v>
      </c>
      <c r="Z8" s="56" t="s">
        <v>2</v>
      </c>
      <c r="AA8" s="55">
        <v>6</v>
      </c>
      <c r="AB8" s="56">
        <v>150</v>
      </c>
      <c r="AC8" s="55">
        <v>8</v>
      </c>
      <c r="AD8" s="56">
        <v>170</v>
      </c>
      <c r="AE8" s="55">
        <v>7</v>
      </c>
      <c r="AF8" s="56">
        <v>160</v>
      </c>
      <c r="AG8" s="55" t="s">
        <v>2</v>
      </c>
      <c r="AH8" s="56" t="s">
        <v>2</v>
      </c>
      <c r="AI8" s="55">
        <v>5</v>
      </c>
      <c r="AJ8" s="56">
        <v>170</v>
      </c>
      <c r="AK8" s="55">
        <v>6</v>
      </c>
      <c r="AL8" s="56">
        <v>153</v>
      </c>
      <c r="AM8" s="55" t="s">
        <v>2</v>
      </c>
      <c r="AN8" s="56" t="s">
        <v>2</v>
      </c>
      <c r="AO8" s="55" t="s">
        <v>2</v>
      </c>
      <c r="AP8" s="56" t="s">
        <v>2</v>
      </c>
      <c r="AQ8" s="55" t="s">
        <v>2</v>
      </c>
      <c r="AR8" s="56" t="s">
        <v>2</v>
      </c>
      <c r="AS8" s="55">
        <v>7</v>
      </c>
      <c r="AT8" s="56">
        <v>150</v>
      </c>
      <c r="AU8" s="55" t="s">
        <v>2</v>
      </c>
      <c r="AV8" s="56" t="s">
        <v>2</v>
      </c>
      <c r="AW8" s="55" t="s">
        <v>2</v>
      </c>
      <c r="AX8" s="56" t="s">
        <v>2</v>
      </c>
      <c r="AY8" s="55">
        <v>7</v>
      </c>
      <c r="AZ8" s="56">
        <v>170</v>
      </c>
      <c r="BA8" s="55">
        <v>8</v>
      </c>
      <c r="BB8" s="56">
        <v>160</v>
      </c>
      <c r="BC8" s="55">
        <v>8</v>
      </c>
      <c r="BD8" s="56">
        <v>188</v>
      </c>
      <c r="BE8" s="55">
        <v>9</v>
      </c>
      <c r="BF8" s="56">
        <v>180</v>
      </c>
      <c r="BG8" s="55" t="s">
        <v>2</v>
      </c>
      <c r="BH8" s="56" t="s">
        <v>2</v>
      </c>
      <c r="BI8" s="55">
        <v>7</v>
      </c>
      <c r="BJ8" s="56">
        <v>180</v>
      </c>
      <c r="BK8" s="55">
        <v>7</v>
      </c>
      <c r="BL8" s="56">
        <v>190</v>
      </c>
      <c r="BM8" s="55">
        <v>5</v>
      </c>
      <c r="BN8" s="56">
        <v>185</v>
      </c>
      <c r="BO8" s="55">
        <v>8</v>
      </c>
      <c r="BP8" s="56">
        <v>185</v>
      </c>
      <c r="BQ8" s="55">
        <v>9</v>
      </c>
      <c r="BR8" s="56">
        <v>180</v>
      </c>
      <c r="BS8" s="55">
        <v>7</v>
      </c>
      <c r="BT8" s="56">
        <v>165</v>
      </c>
      <c r="BU8" s="55">
        <v>7</v>
      </c>
      <c r="BV8" s="56">
        <v>200</v>
      </c>
      <c r="BW8" s="55">
        <v>6</v>
      </c>
      <c r="BX8" s="56">
        <v>170</v>
      </c>
      <c r="BY8" s="55">
        <v>8</v>
      </c>
      <c r="BZ8" s="56">
        <v>195</v>
      </c>
      <c r="CA8" s="55">
        <v>6</v>
      </c>
      <c r="CB8" s="56">
        <v>178</v>
      </c>
      <c r="CC8" s="55" t="s">
        <v>2</v>
      </c>
      <c r="CD8" s="56" t="s">
        <v>2</v>
      </c>
      <c r="CE8" s="55">
        <v>8</v>
      </c>
      <c r="CF8" s="56">
        <v>208</v>
      </c>
      <c r="CG8" s="55" t="s">
        <v>2</v>
      </c>
      <c r="CH8" s="56" t="s">
        <v>2</v>
      </c>
      <c r="CI8" s="55">
        <v>7</v>
      </c>
      <c r="CJ8" s="56">
        <v>220</v>
      </c>
      <c r="CK8" s="55">
        <v>6</v>
      </c>
      <c r="CL8" s="56">
        <v>240</v>
      </c>
      <c r="CM8" s="55" t="s">
        <v>2</v>
      </c>
      <c r="CN8" s="56" t="s">
        <v>2</v>
      </c>
      <c r="CO8" s="55">
        <v>7</v>
      </c>
      <c r="CP8" s="56">
        <v>225</v>
      </c>
      <c r="CQ8" s="55">
        <v>8</v>
      </c>
      <c r="CR8" s="56">
        <v>225</v>
      </c>
      <c r="CS8" s="55">
        <v>9</v>
      </c>
      <c r="CT8" s="56">
        <v>260</v>
      </c>
      <c r="CU8" s="55" t="s">
        <v>2</v>
      </c>
      <c r="CV8" s="56" t="s">
        <v>2</v>
      </c>
      <c r="CW8" s="55" t="s">
        <v>2</v>
      </c>
      <c r="CX8" s="56" t="s">
        <v>2</v>
      </c>
      <c r="CY8" s="55">
        <v>7</v>
      </c>
      <c r="CZ8" s="56">
        <v>215</v>
      </c>
      <c r="DA8" s="55" t="s">
        <v>2</v>
      </c>
      <c r="DB8" s="56" t="s">
        <v>2</v>
      </c>
      <c r="DC8" s="55">
        <v>5</v>
      </c>
      <c r="DD8" s="56">
        <v>250</v>
      </c>
      <c r="DE8" s="55">
        <v>9</v>
      </c>
      <c r="DF8" s="56">
        <v>220</v>
      </c>
      <c r="DG8" s="55">
        <v>10</v>
      </c>
      <c r="DH8" s="56">
        <v>240</v>
      </c>
      <c r="DI8" s="55">
        <v>6</v>
      </c>
      <c r="DJ8" s="56">
        <v>240</v>
      </c>
      <c r="DK8" s="55">
        <v>5</v>
      </c>
      <c r="DL8" s="56">
        <v>220</v>
      </c>
      <c r="DM8" s="55">
        <v>9</v>
      </c>
      <c r="DN8" s="56">
        <v>180</v>
      </c>
      <c r="DO8" s="55">
        <v>6</v>
      </c>
      <c r="DP8" s="56">
        <v>250</v>
      </c>
      <c r="DQ8" s="55">
        <v>9</v>
      </c>
      <c r="DR8" s="56">
        <v>230</v>
      </c>
      <c r="DS8" s="55">
        <v>15</v>
      </c>
      <c r="DT8" s="56">
        <v>240</v>
      </c>
      <c r="DU8" s="55" t="s">
        <v>2</v>
      </c>
      <c r="DV8" s="56" t="s">
        <v>2</v>
      </c>
      <c r="DW8" s="55">
        <v>7</v>
      </c>
      <c r="DX8" s="56">
        <v>250</v>
      </c>
      <c r="DY8" s="55" t="s">
        <v>2</v>
      </c>
      <c r="DZ8" s="56" t="s">
        <v>2</v>
      </c>
      <c r="EA8" s="55">
        <v>8</v>
      </c>
      <c r="EB8" s="56">
        <v>260</v>
      </c>
      <c r="EC8" s="55">
        <v>8</v>
      </c>
      <c r="ED8" s="56">
        <v>260</v>
      </c>
      <c r="EE8" s="55">
        <v>8</v>
      </c>
      <c r="EF8" s="56">
        <v>260</v>
      </c>
      <c r="EG8" s="55" t="s">
        <v>2</v>
      </c>
      <c r="EH8" s="56" t="s">
        <v>2</v>
      </c>
      <c r="EI8" s="55">
        <v>5</v>
      </c>
      <c r="EJ8" s="56">
        <v>240</v>
      </c>
      <c r="EK8" s="55" t="s">
        <v>2</v>
      </c>
      <c r="EL8" s="56" t="s">
        <v>2</v>
      </c>
      <c r="EM8" s="55">
        <v>8</v>
      </c>
      <c r="EN8" s="56">
        <v>275</v>
      </c>
      <c r="EO8" s="55">
        <v>5</v>
      </c>
      <c r="EP8" s="56">
        <v>250</v>
      </c>
      <c r="EQ8" s="55">
        <v>6</v>
      </c>
      <c r="ER8" s="56">
        <v>273</v>
      </c>
      <c r="ES8" s="55">
        <v>5</v>
      </c>
      <c r="ET8" s="56">
        <v>245</v>
      </c>
      <c r="EU8" s="55" t="s">
        <v>2</v>
      </c>
      <c r="EV8" s="56" t="s">
        <v>2</v>
      </c>
      <c r="EW8" s="55">
        <v>5</v>
      </c>
      <c r="EX8" s="56">
        <v>250</v>
      </c>
      <c r="EY8" s="55">
        <v>10</v>
      </c>
      <c r="EZ8" s="56">
        <v>273</v>
      </c>
      <c r="FA8" s="55" t="s">
        <v>2</v>
      </c>
      <c r="FB8" s="56" t="s">
        <v>2</v>
      </c>
      <c r="FC8" s="55">
        <v>5</v>
      </c>
      <c r="FD8" s="56">
        <v>265</v>
      </c>
      <c r="FE8" s="55">
        <v>6</v>
      </c>
      <c r="FF8" s="56">
        <v>300</v>
      </c>
      <c r="FG8" s="55">
        <v>8</v>
      </c>
      <c r="FH8" s="56">
        <v>313</v>
      </c>
      <c r="FI8" s="55">
        <v>6</v>
      </c>
      <c r="FJ8" s="56">
        <v>303</v>
      </c>
      <c r="FK8" s="55">
        <v>5</v>
      </c>
      <c r="FL8" s="56">
        <v>340</v>
      </c>
      <c r="FM8" s="55" t="s">
        <v>2</v>
      </c>
      <c r="FN8" s="56" t="s">
        <v>2</v>
      </c>
      <c r="FO8" s="55">
        <v>7</v>
      </c>
      <c r="FP8" s="56">
        <v>280</v>
      </c>
      <c r="FQ8" s="55">
        <v>5</v>
      </c>
      <c r="FR8" s="56">
        <v>290</v>
      </c>
      <c r="FS8" s="55">
        <v>6</v>
      </c>
      <c r="FT8" s="56">
        <v>290</v>
      </c>
      <c r="FU8" s="55" t="s">
        <v>2</v>
      </c>
      <c r="FV8" s="56" t="s">
        <v>2</v>
      </c>
      <c r="FW8" s="55" t="s">
        <v>2</v>
      </c>
      <c r="FX8" s="56" t="s">
        <v>2</v>
      </c>
      <c r="FY8" s="55">
        <v>6</v>
      </c>
      <c r="FZ8" s="56">
        <v>380</v>
      </c>
      <c r="GA8" s="55" t="s">
        <v>2</v>
      </c>
      <c r="GB8" s="56" t="s">
        <v>2</v>
      </c>
      <c r="GC8" s="55" t="s">
        <v>2</v>
      </c>
      <c r="GD8" s="56" t="s">
        <v>2</v>
      </c>
      <c r="GE8" s="55">
        <v>5</v>
      </c>
      <c r="GF8" s="56">
        <v>350</v>
      </c>
      <c r="GG8" s="55" t="s">
        <v>2</v>
      </c>
      <c r="GH8" s="56" t="s">
        <v>2</v>
      </c>
      <c r="GI8" s="55">
        <v>5</v>
      </c>
      <c r="GJ8" s="56">
        <v>380</v>
      </c>
      <c r="GK8" s="55" t="s">
        <v>2</v>
      </c>
      <c r="GL8" s="56" t="s">
        <v>2</v>
      </c>
      <c r="GM8" s="55" t="s">
        <v>2</v>
      </c>
      <c r="GN8" s="56" t="s">
        <v>2</v>
      </c>
      <c r="GO8" s="55" t="s">
        <v>2</v>
      </c>
      <c r="GP8" s="56" t="s">
        <v>2</v>
      </c>
      <c r="GQ8" s="55">
        <v>5</v>
      </c>
      <c r="GR8" s="56">
        <v>400</v>
      </c>
      <c r="GS8" s="55">
        <v>6</v>
      </c>
      <c r="GT8" s="56">
        <v>410</v>
      </c>
      <c r="GU8" s="55">
        <v>5</v>
      </c>
      <c r="GV8" s="56">
        <v>420</v>
      </c>
      <c r="GW8" s="55" t="s">
        <v>2</v>
      </c>
      <c r="GX8" s="56" t="s">
        <v>2</v>
      </c>
      <c r="GY8" s="55" t="s">
        <v>2</v>
      </c>
      <c r="GZ8" s="56" t="s">
        <v>2</v>
      </c>
      <c r="HA8" t="s">
        <v>2</v>
      </c>
      <c r="HB8" s="56" t="s">
        <v>2</v>
      </c>
      <c r="HC8" t="s">
        <v>2</v>
      </c>
      <c r="HD8" s="56" t="s">
        <v>2</v>
      </c>
      <c r="HE8" t="s">
        <v>2</v>
      </c>
      <c r="HF8" s="56" t="s">
        <v>2</v>
      </c>
    </row>
    <row r="9" spans="1:214" x14ac:dyDescent="0.25">
      <c r="A9" s="53"/>
      <c r="B9" s="54" t="s">
        <v>748</v>
      </c>
      <c r="C9" s="55" t="s">
        <v>2</v>
      </c>
      <c r="D9" s="56" t="s">
        <v>2</v>
      </c>
      <c r="E9" s="55" t="s">
        <v>2</v>
      </c>
      <c r="F9" s="56" t="s">
        <v>2</v>
      </c>
      <c r="G9" s="55">
        <v>6</v>
      </c>
      <c r="H9" s="56">
        <v>145</v>
      </c>
      <c r="I9" s="55">
        <v>6</v>
      </c>
      <c r="J9" s="56">
        <v>138</v>
      </c>
      <c r="K9" s="55" t="s">
        <v>2</v>
      </c>
      <c r="L9" s="56" t="s">
        <v>2</v>
      </c>
      <c r="M9" s="55" t="s">
        <v>2</v>
      </c>
      <c r="N9" s="56" t="s">
        <v>2</v>
      </c>
      <c r="O9" s="55" t="s">
        <v>2</v>
      </c>
      <c r="P9" s="56" t="s">
        <v>2</v>
      </c>
      <c r="Q9" s="55" t="s">
        <v>2</v>
      </c>
      <c r="R9" s="56" t="s">
        <v>2</v>
      </c>
      <c r="S9" s="55" t="s">
        <v>2</v>
      </c>
      <c r="T9" s="56" t="s">
        <v>2</v>
      </c>
      <c r="U9" s="55" t="s">
        <v>2</v>
      </c>
      <c r="V9" s="56" t="s">
        <v>2</v>
      </c>
      <c r="W9" s="55">
        <v>7</v>
      </c>
      <c r="X9" s="56">
        <v>145</v>
      </c>
      <c r="Y9" s="55">
        <v>5</v>
      </c>
      <c r="Z9" s="56">
        <v>140</v>
      </c>
      <c r="AA9" s="55" t="s">
        <v>2</v>
      </c>
      <c r="AB9" s="56" t="s">
        <v>2</v>
      </c>
      <c r="AC9" s="55">
        <v>6</v>
      </c>
      <c r="AD9" s="56">
        <v>140</v>
      </c>
      <c r="AE9" s="55" t="s">
        <v>2</v>
      </c>
      <c r="AF9" s="56" t="s">
        <v>2</v>
      </c>
      <c r="AG9" s="55" t="s">
        <v>2</v>
      </c>
      <c r="AH9" s="56" t="s">
        <v>2</v>
      </c>
      <c r="AI9" s="55" t="s">
        <v>2</v>
      </c>
      <c r="AJ9" s="56" t="s">
        <v>2</v>
      </c>
      <c r="AK9" s="55" t="s">
        <v>2</v>
      </c>
      <c r="AL9" s="56" t="s">
        <v>2</v>
      </c>
      <c r="AM9" s="55" t="s">
        <v>2</v>
      </c>
      <c r="AN9" s="56" t="s">
        <v>2</v>
      </c>
      <c r="AO9" s="55">
        <v>7</v>
      </c>
      <c r="AP9" s="56">
        <v>185</v>
      </c>
      <c r="AQ9" s="55" t="s">
        <v>2</v>
      </c>
      <c r="AR9" s="56" t="s">
        <v>2</v>
      </c>
      <c r="AS9" s="55" t="s">
        <v>2</v>
      </c>
      <c r="AT9" s="56" t="s">
        <v>2</v>
      </c>
      <c r="AU9" s="55">
        <v>7</v>
      </c>
      <c r="AV9" s="56">
        <v>170</v>
      </c>
      <c r="AW9" s="55">
        <v>6</v>
      </c>
      <c r="AX9" s="56">
        <v>173</v>
      </c>
      <c r="AY9" s="55">
        <v>8</v>
      </c>
      <c r="AZ9" s="56">
        <v>175</v>
      </c>
      <c r="BA9" s="55" t="s">
        <v>2</v>
      </c>
      <c r="BB9" s="56" t="s">
        <v>2</v>
      </c>
      <c r="BC9" s="55" t="s">
        <v>2</v>
      </c>
      <c r="BD9" s="56" t="s">
        <v>2</v>
      </c>
      <c r="BE9" s="55">
        <v>10</v>
      </c>
      <c r="BF9" s="56">
        <v>180</v>
      </c>
      <c r="BG9" s="55" t="s">
        <v>2</v>
      </c>
      <c r="BH9" s="56" t="s">
        <v>2</v>
      </c>
      <c r="BI9" s="55" t="s">
        <v>2</v>
      </c>
      <c r="BJ9" s="56" t="s">
        <v>2</v>
      </c>
      <c r="BK9" s="55" t="s">
        <v>2</v>
      </c>
      <c r="BL9" s="56" t="s">
        <v>2</v>
      </c>
      <c r="BM9" s="55">
        <v>10</v>
      </c>
      <c r="BN9" s="56">
        <v>230</v>
      </c>
      <c r="BO9" s="55" t="s">
        <v>2</v>
      </c>
      <c r="BP9" s="56" t="s">
        <v>2</v>
      </c>
      <c r="BQ9" s="55">
        <v>5</v>
      </c>
      <c r="BR9" s="56">
        <v>195</v>
      </c>
      <c r="BS9" s="55" t="s">
        <v>2</v>
      </c>
      <c r="BT9" s="56" t="s">
        <v>2</v>
      </c>
      <c r="BU9" s="55" t="s">
        <v>2</v>
      </c>
      <c r="BV9" s="56" t="s">
        <v>2</v>
      </c>
      <c r="BW9" s="55" t="s">
        <v>2</v>
      </c>
      <c r="BX9" s="56" t="s">
        <v>2</v>
      </c>
      <c r="BY9" s="55" t="s">
        <v>2</v>
      </c>
      <c r="BZ9" s="56" t="s">
        <v>2</v>
      </c>
      <c r="CA9" s="55" t="s">
        <v>2</v>
      </c>
      <c r="CB9" s="56" t="s">
        <v>2</v>
      </c>
      <c r="CC9" s="55" t="s">
        <v>2</v>
      </c>
      <c r="CD9" s="56" t="s">
        <v>2</v>
      </c>
      <c r="CE9" s="55" t="s">
        <v>2</v>
      </c>
      <c r="CF9" s="56" t="s">
        <v>2</v>
      </c>
      <c r="CG9" s="55" t="s">
        <v>2</v>
      </c>
      <c r="CH9" s="56" t="s">
        <v>2</v>
      </c>
      <c r="CI9" s="55" t="s">
        <v>2</v>
      </c>
      <c r="CJ9" s="56" t="s">
        <v>2</v>
      </c>
      <c r="CK9" s="55" t="s">
        <v>2</v>
      </c>
      <c r="CL9" s="56" t="s">
        <v>2</v>
      </c>
      <c r="CM9" s="55" t="s">
        <v>2</v>
      </c>
      <c r="CN9" s="56" t="s">
        <v>2</v>
      </c>
      <c r="CO9" s="55" t="s">
        <v>2</v>
      </c>
      <c r="CP9" s="56" t="s">
        <v>2</v>
      </c>
      <c r="CQ9" s="55" t="s">
        <v>2</v>
      </c>
      <c r="CR9" s="56" t="s">
        <v>2</v>
      </c>
      <c r="CS9" s="55" t="s">
        <v>2</v>
      </c>
      <c r="CT9" s="56" t="s">
        <v>2</v>
      </c>
      <c r="CU9" s="55" t="s">
        <v>2</v>
      </c>
      <c r="CV9" s="56" t="s">
        <v>2</v>
      </c>
      <c r="CW9" s="55" t="s">
        <v>2</v>
      </c>
      <c r="CX9" s="56" t="s">
        <v>2</v>
      </c>
      <c r="CY9" s="55" t="s">
        <v>2</v>
      </c>
      <c r="CZ9" s="56" t="s">
        <v>2</v>
      </c>
      <c r="DA9" s="55" t="s">
        <v>2</v>
      </c>
      <c r="DB9" s="56" t="s">
        <v>2</v>
      </c>
      <c r="DC9" s="55" t="s">
        <v>2</v>
      </c>
      <c r="DD9" s="56" t="s">
        <v>2</v>
      </c>
      <c r="DE9" s="55" t="s">
        <v>2</v>
      </c>
      <c r="DF9" s="56" t="s">
        <v>2</v>
      </c>
      <c r="DG9" s="55" t="s">
        <v>2</v>
      </c>
      <c r="DH9" s="56" t="s">
        <v>2</v>
      </c>
      <c r="DI9" s="55" t="s">
        <v>2</v>
      </c>
      <c r="DJ9" s="56" t="s">
        <v>2</v>
      </c>
      <c r="DK9" s="55" t="s">
        <v>2</v>
      </c>
      <c r="DL9" s="56" t="s">
        <v>2</v>
      </c>
      <c r="DM9" s="55" t="s">
        <v>2</v>
      </c>
      <c r="DN9" s="56" t="s">
        <v>2</v>
      </c>
      <c r="DO9" s="55" t="s">
        <v>2</v>
      </c>
      <c r="DP9" s="56" t="s">
        <v>2</v>
      </c>
      <c r="DQ9" s="55" t="s">
        <v>2</v>
      </c>
      <c r="DR9" s="56" t="s">
        <v>2</v>
      </c>
      <c r="DS9" s="55" t="s">
        <v>2</v>
      </c>
      <c r="DT9" s="56" t="s">
        <v>2</v>
      </c>
      <c r="DU9" s="55" t="s">
        <v>2</v>
      </c>
      <c r="DV9" s="56" t="s">
        <v>2</v>
      </c>
      <c r="DW9" s="55" t="s">
        <v>2</v>
      </c>
      <c r="DX9" s="56" t="s">
        <v>2</v>
      </c>
      <c r="DY9" s="55" t="s">
        <v>2</v>
      </c>
      <c r="DZ9" s="56" t="s">
        <v>2</v>
      </c>
      <c r="EA9" s="55" t="s">
        <v>2</v>
      </c>
      <c r="EB9" s="56" t="s">
        <v>2</v>
      </c>
      <c r="EC9" s="55" t="s">
        <v>2</v>
      </c>
      <c r="ED9" s="56" t="s">
        <v>2</v>
      </c>
      <c r="EE9" s="55" t="s">
        <v>2</v>
      </c>
      <c r="EF9" s="56" t="s">
        <v>2</v>
      </c>
      <c r="EG9" s="55" t="s">
        <v>2</v>
      </c>
      <c r="EH9" s="56" t="s">
        <v>2</v>
      </c>
      <c r="EI9" s="55" t="s">
        <v>2</v>
      </c>
      <c r="EJ9" s="56" t="s">
        <v>2</v>
      </c>
      <c r="EK9" s="55" t="s">
        <v>2</v>
      </c>
      <c r="EL9" s="56" t="s">
        <v>2</v>
      </c>
      <c r="EM9" s="55" t="s">
        <v>2</v>
      </c>
      <c r="EN9" s="56" t="s">
        <v>2</v>
      </c>
      <c r="EO9" s="55" t="s">
        <v>2</v>
      </c>
      <c r="EP9" s="56" t="s">
        <v>2</v>
      </c>
      <c r="EQ9" s="55" t="s">
        <v>2</v>
      </c>
      <c r="ER9" s="56" t="s">
        <v>2</v>
      </c>
      <c r="ES9" s="55" t="s">
        <v>2</v>
      </c>
      <c r="ET9" s="56" t="s">
        <v>2</v>
      </c>
      <c r="EU9" s="55" t="s">
        <v>2</v>
      </c>
      <c r="EV9" s="56" t="s">
        <v>2</v>
      </c>
      <c r="EW9" s="55">
        <v>5</v>
      </c>
      <c r="EX9" s="56">
        <v>370</v>
      </c>
      <c r="EY9" s="55" t="s">
        <v>2</v>
      </c>
      <c r="EZ9" s="56" t="s">
        <v>2</v>
      </c>
      <c r="FA9" s="55" t="s">
        <v>2</v>
      </c>
      <c r="FB9" s="56" t="s">
        <v>2</v>
      </c>
      <c r="FC9" s="55" t="s">
        <v>2</v>
      </c>
      <c r="FD9" s="56" t="s">
        <v>2</v>
      </c>
      <c r="FE9" s="55" t="s">
        <v>2</v>
      </c>
      <c r="FF9" s="56" t="s">
        <v>2</v>
      </c>
      <c r="FG9" s="55" t="s">
        <v>2</v>
      </c>
      <c r="FH9" s="56" t="s">
        <v>2</v>
      </c>
      <c r="FI9" s="55" t="s">
        <v>2</v>
      </c>
      <c r="FJ9" s="56" t="s">
        <v>2</v>
      </c>
      <c r="FK9" s="55" t="s">
        <v>2</v>
      </c>
      <c r="FL9" s="56" t="s">
        <v>2</v>
      </c>
      <c r="FM9" s="55" t="s">
        <v>2</v>
      </c>
      <c r="FN9" s="56" t="s">
        <v>2</v>
      </c>
      <c r="FO9" s="55" t="s">
        <v>2</v>
      </c>
      <c r="FP9" s="56" t="s">
        <v>2</v>
      </c>
      <c r="FQ9" s="55" t="s">
        <v>2</v>
      </c>
      <c r="FR9" s="56" t="s">
        <v>2</v>
      </c>
      <c r="FS9" s="55" t="s">
        <v>2</v>
      </c>
      <c r="FT9" s="56" t="s">
        <v>2</v>
      </c>
      <c r="FU9" s="55" t="s">
        <v>2</v>
      </c>
      <c r="FV9" s="56" t="s">
        <v>2</v>
      </c>
      <c r="FW9" s="55" t="s">
        <v>2</v>
      </c>
      <c r="FX9" s="56" t="s">
        <v>2</v>
      </c>
      <c r="FY9" s="55" t="s">
        <v>2</v>
      </c>
      <c r="FZ9" s="56" t="s">
        <v>2</v>
      </c>
      <c r="GA9" s="55" t="s">
        <v>2</v>
      </c>
      <c r="GB9" s="56" t="s">
        <v>2</v>
      </c>
      <c r="GC9" s="55" t="s">
        <v>2</v>
      </c>
      <c r="GD9" s="56" t="s">
        <v>2</v>
      </c>
      <c r="GE9" s="55" t="s">
        <v>2</v>
      </c>
      <c r="GF9" s="56" t="s">
        <v>2</v>
      </c>
      <c r="GG9" s="55" t="s">
        <v>2</v>
      </c>
      <c r="GH9" s="56" t="s">
        <v>2</v>
      </c>
      <c r="GI9" s="55" t="s">
        <v>2</v>
      </c>
      <c r="GJ9" s="56" t="s">
        <v>2</v>
      </c>
      <c r="GK9" s="55" t="s">
        <v>2</v>
      </c>
      <c r="GL9" s="56" t="s">
        <v>2</v>
      </c>
      <c r="GM9" s="55" t="s">
        <v>2</v>
      </c>
      <c r="GN9" s="56" t="s">
        <v>2</v>
      </c>
      <c r="GO9" s="55" t="s">
        <v>2</v>
      </c>
      <c r="GP9" s="56" t="s">
        <v>2</v>
      </c>
      <c r="GQ9" s="55" t="s">
        <v>2</v>
      </c>
      <c r="GR9" s="56" t="s">
        <v>2</v>
      </c>
      <c r="GS9" s="55" t="s">
        <v>2</v>
      </c>
      <c r="GT9" s="56" t="s">
        <v>2</v>
      </c>
      <c r="GU9" s="55" t="s">
        <v>2</v>
      </c>
      <c r="GV9" s="56" t="s">
        <v>2</v>
      </c>
      <c r="GW9" s="55" t="s">
        <v>2</v>
      </c>
      <c r="GX9" s="56" t="s">
        <v>2</v>
      </c>
      <c r="GY9" s="55" t="s">
        <v>2</v>
      </c>
      <c r="GZ9" s="56" t="s">
        <v>2</v>
      </c>
      <c r="HA9" t="s">
        <v>2</v>
      </c>
      <c r="HB9" s="56" t="s">
        <v>2</v>
      </c>
      <c r="HC9" t="s">
        <v>2</v>
      </c>
      <c r="HD9" s="56" t="s">
        <v>2</v>
      </c>
      <c r="HE9" t="s">
        <v>2</v>
      </c>
      <c r="HF9" s="56" t="s">
        <v>2</v>
      </c>
    </row>
    <row r="10" spans="1:214" x14ac:dyDescent="0.25">
      <c r="A10" s="53"/>
      <c r="B10" s="54" t="s">
        <v>749</v>
      </c>
      <c r="C10" s="55">
        <v>15</v>
      </c>
      <c r="D10" s="56">
        <v>100</v>
      </c>
      <c r="E10" s="55">
        <v>10</v>
      </c>
      <c r="F10" s="56">
        <v>93</v>
      </c>
      <c r="G10" s="55">
        <v>12</v>
      </c>
      <c r="H10" s="56">
        <v>88</v>
      </c>
      <c r="I10" s="55">
        <v>20</v>
      </c>
      <c r="J10" s="56">
        <v>100</v>
      </c>
      <c r="K10" s="55">
        <v>20</v>
      </c>
      <c r="L10" s="56">
        <v>98</v>
      </c>
      <c r="M10" s="55">
        <v>18</v>
      </c>
      <c r="N10" s="56">
        <v>95</v>
      </c>
      <c r="O10" s="55">
        <v>26</v>
      </c>
      <c r="P10" s="56">
        <v>88</v>
      </c>
      <c r="Q10" s="55">
        <v>16</v>
      </c>
      <c r="R10" s="56">
        <v>93</v>
      </c>
      <c r="S10" s="55">
        <v>18</v>
      </c>
      <c r="T10" s="56">
        <v>98</v>
      </c>
      <c r="U10" s="55">
        <v>22</v>
      </c>
      <c r="V10" s="56">
        <v>103</v>
      </c>
      <c r="W10" s="55">
        <v>25</v>
      </c>
      <c r="X10" s="56">
        <v>100</v>
      </c>
      <c r="Y10" s="55">
        <v>19</v>
      </c>
      <c r="Z10" s="56">
        <v>100</v>
      </c>
      <c r="AA10" s="55">
        <v>14</v>
      </c>
      <c r="AB10" s="56">
        <v>103</v>
      </c>
      <c r="AC10" s="55">
        <v>21</v>
      </c>
      <c r="AD10" s="56">
        <v>110</v>
      </c>
      <c r="AE10" s="55">
        <v>17</v>
      </c>
      <c r="AF10" s="56">
        <v>100</v>
      </c>
      <c r="AG10" s="55">
        <v>28</v>
      </c>
      <c r="AH10" s="56">
        <v>110</v>
      </c>
      <c r="AI10" s="55">
        <v>11</v>
      </c>
      <c r="AJ10" s="56">
        <v>125</v>
      </c>
      <c r="AK10" s="55">
        <v>10</v>
      </c>
      <c r="AL10" s="56">
        <v>100</v>
      </c>
      <c r="AM10" s="55">
        <v>12</v>
      </c>
      <c r="AN10" s="56">
        <v>103</v>
      </c>
      <c r="AO10" s="55">
        <v>16</v>
      </c>
      <c r="AP10" s="56">
        <v>120</v>
      </c>
      <c r="AQ10" s="55">
        <v>10</v>
      </c>
      <c r="AR10" s="56">
        <v>123</v>
      </c>
      <c r="AS10" s="55">
        <v>10</v>
      </c>
      <c r="AT10" s="56">
        <v>123</v>
      </c>
      <c r="AU10" s="55">
        <v>15</v>
      </c>
      <c r="AV10" s="56">
        <v>140</v>
      </c>
      <c r="AW10" s="55">
        <v>19</v>
      </c>
      <c r="AX10" s="56">
        <v>180</v>
      </c>
      <c r="AY10" s="55">
        <v>15</v>
      </c>
      <c r="AZ10" s="56">
        <v>170</v>
      </c>
      <c r="BA10" s="55">
        <v>11</v>
      </c>
      <c r="BB10" s="56">
        <v>140</v>
      </c>
      <c r="BC10" s="55">
        <v>12</v>
      </c>
      <c r="BD10" s="56">
        <v>140</v>
      </c>
      <c r="BE10" s="55">
        <v>14</v>
      </c>
      <c r="BF10" s="56">
        <v>180</v>
      </c>
      <c r="BG10" s="55">
        <v>14</v>
      </c>
      <c r="BH10" s="56">
        <v>185</v>
      </c>
      <c r="BI10" s="55">
        <v>23</v>
      </c>
      <c r="BJ10" s="56">
        <v>140</v>
      </c>
      <c r="BK10" s="55">
        <v>16</v>
      </c>
      <c r="BL10" s="56">
        <v>175</v>
      </c>
      <c r="BM10" s="55">
        <v>20</v>
      </c>
      <c r="BN10" s="56">
        <v>166</v>
      </c>
      <c r="BO10" s="55">
        <v>16</v>
      </c>
      <c r="BP10" s="56">
        <v>155</v>
      </c>
      <c r="BQ10" s="55">
        <v>13</v>
      </c>
      <c r="BR10" s="56">
        <v>190</v>
      </c>
      <c r="BS10" s="55">
        <v>13</v>
      </c>
      <c r="BT10" s="56">
        <v>180</v>
      </c>
      <c r="BU10" s="55">
        <v>30</v>
      </c>
      <c r="BV10" s="56">
        <v>170</v>
      </c>
      <c r="BW10" s="55">
        <v>16</v>
      </c>
      <c r="BX10" s="56">
        <v>145</v>
      </c>
      <c r="BY10" s="55">
        <v>11</v>
      </c>
      <c r="BZ10" s="56">
        <v>170</v>
      </c>
      <c r="CA10" s="55">
        <v>15</v>
      </c>
      <c r="CB10" s="56">
        <v>150</v>
      </c>
      <c r="CC10" s="55">
        <v>17</v>
      </c>
      <c r="CD10" s="56">
        <v>180</v>
      </c>
      <c r="CE10" s="55">
        <v>12</v>
      </c>
      <c r="CF10" s="56">
        <v>200</v>
      </c>
      <c r="CG10" s="55">
        <v>21</v>
      </c>
      <c r="CH10" s="56">
        <v>160</v>
      </c>
      <c r="CI10" s="55">
        <v>13</v>
      </c>
      <c r="CJ10" s="56">
        <v>160</v>
      </c>
      <c r="CK10" s="55">
        <v>21</v>
      </c>
      <c r="CL10" s="56">
        <v>190</v>
      </c>
      <c r="CM10" s="55">
        <v>15</v>
      </c>
      <c r="CN10" s="56">
        <v>170</v>
      </c>
      <c r="CO10" s="55">
        <v>19</v>
      </c>
      <c r="CP10" s="56">
        <v>180</v>
      </c>
      <c r="CQ10" s="55">
        <v>19</v>
      </c>
      <c r="CR10" s="56">
        <v>195</v>
      </c>
      <c r="CS10" s="55">
        <v>12</v>
      </c>
      <c r="CT10" s="56">
        <v>175</v>
      </c>
      <c r="CU10" s="55">
        <v>8</v>
      </c>
      <c r="CV10" s="56">
        <v>160</v>
      </c>
      <c r="CW10" s="55">
        <v>13</v>
      </c>
      <c r="CX10" s="56">
        <v>180</v>
      </c>
      <c r="CY10" s="55">
        <v>10</v>
      </c>
      <c r="CZ10" s="56">
        <v>220</v>
      </c>
      <c r="DA10" s="55">
        <v>18</v>
      </c>
      <c r="DB10" s="56">
        <v>195</v>
      </c>
      <c r="DC10" s="55">
        <v>11</v>
      </c>
      <c r="DD10" s="56">
        <v>250</v>
      </c>
      <c r="DE10" s="55">
        <v>13</v>
      </c>
      <c r="DF10" s="56">
        <v>200</v>
      </c>
      <c r="DG10" s="55">
        <v>13</v>
      </c>
      <c r="DH10" s="56">
        <v>200</v>
      </c>
      <c r="DI10" s="55">
        <v>19</v>
      </c>
      <c r="DJ10" s="56">
        <v>210</v>
      </c>
      <c r="DK10" s="55">
        <v>18</v>
      </c>
      <c r="DL10" s="56">
        <v>180</v>
      </c>
      <c r="DM10" s="55">
        <v>13</v>
      </c>
      <c r="DN10" s="56">
        <v>220</v>
      </c>
      <c r="DO10" s="55">
        <v>19</v>
      </c>
      <c r="DP10" s="56">
        <v>210</v>
      </c>
      <c r="DQ10" s="55">
        <v>8</v>
      </c>
      <c r="DR10" s="56">
        <v>203</v>
      </c>
      <c r="DS10" s="55">
        <v>11</v>
      </c>
      <c r="DT10" s="56">
        <v>180</v>
      </c>
      <c r="DU10" s="55">
        <v>16</v>
      </c>
      <c r="DV10" s="56">
        <v>220</v>
      </c>
      <c r="DW10" s="55">
        <v>9</v>
      </c>
      <c r="DX10" s="56">
        <v>175</v>
      </c>
      <c r="DY10" s="55">
        <v>21</v>
      </c>
      <c r="DZ10" s="56">
        <v>190</v>
      </c>
      <c r="EA10" s="55">
        <v>11</v>
      </c>
      <c r="EB10" s="56">
        <v>170</v>
      </c>
      <c r="EC10" s="55">
        <v>17</v>
      </c>
      <c r="ED10" s="56">
        <v>185</v>
      </c>
      <c r="EE10" s="55">
        <v>12</v>
      </c>
      <c r="EF10" s="56">
        <v>198</v>
      </c>
      <c r="EG10" s="55">
        <v>16</v>
      </c>
      <c r="EH10" s="56">
        <v>180</v>
      </c>
      <c r="EI10" s="55">
        <v>17</v>
      </c>
      <c r="EJ10" s="56">
        <v>180</v>
      </c>
      <c r="EK10" s="55">
        <v>16</v>
      </c>
      <c r="EL10" s="56">
        <v>200</v>
      </c>
      <c r="EM10" s="55">
        <v>16</v>
      </c>
      <c r="EN10" s="56">
        <v>165</v>
      </c>
      <c r="EO10" s="55">
        <v>21</v>
      </c>
      <c r="EP10" s="56">
        <v>200</v>
      </c>
      <c r="EQ10" s="55">
        <v>17</v>
      </c>
      <c r="ER10" s="56">
        <v>220</v>
      </c>
      <c r="ES10" s="55">
        <v>13</v>
      </c>
      <c r="ET10" s="56">
        <v>180</v>
      </c>
      <c r="EU10" s="55">
        <v>15</v>
      </c>
      <c r="EV10" s="56">
        <v>210</v>
      </c>
      <c r="EW10" s="55">
        <v>19</v>
      </c>
      <c r="EX10" s="56">
        <v>180</v>
      </c>
      <c r="EY10" s="55">
        <v>11</v>
      </c>
      <c r="EZ10" s="56">
        <v>220</v>
      </c>
      <c r="FA10" s="55">
        <v>11</v>
      </c>
      <c r="FB10" s="56">
        <v>190</v>
      </c>
      <c r="FC10" s="55">
        <v>7</v>
      </c>
      <c r="FD10" s="56">
        <v>220</v>
      </c>
      <c r="FE10" s="55">
        <v>18</v>
      </c>
      <c r="FF10" s="56">
        <v>240</v>
      </c>
      <c r="FG10" s="55">
        <v>8</v>
      </c>
      <c r="FH10" s="56">
        <v>245</v>
      </c>
      <c r="FI10" s="55">
        <v>8</v>
      </c>
      <c r="FJ10" s="56">
        <v>235</v>
      </c>
      <c r="FK10" s="55">
        <v>11</v>
      </c>
      <c r="FL10" s="56">
        <v>220</v>
      </c>
      <c r="FM10" s="55">
        <v>21</v>
      </c>
      <c r="FN10" s="56">
        <v>240</v>
      </c>
      <c r="FO10" s="55">
        <v>12</v>
      </c>
      <c r="FP10" s="56">
        <v>235</v>
      </c>
      <c r="FQ10" s="55">
        <v>14</v>
      </c>
      <c r="FR10" s="56">
        <v>215</v>
      </c>
      <c r="FS10" s="55">
        <v>6</v>
      </c>
      <c r="FT10" s="56">
        <v>245</v>
      </c>
      <c r="FU10" s="55">
        <v>10</v>
      </c>
      <c r="FV10" s="56">
        <v>250</v>
      </c>
      <c r="FW10" s="55">
        <v>10</v>
      </c>
      <c r="FX10" s="56">
        <v>268</v>
      </c>
      <c r="FY10" s="55">
        <v>13</v>
      </c>
      <c r="FZ10" s="56">
        <v>270</v>
      </c>
      <c r="GA10" s="55">
        <v>16</v>
      </c>
      <c r="GB10" s="56">
        <v>270</v>
      </c>
      <c r="GC10" s="55">
        <v>10</v>
      </c>
      <c r="GD10" s="56">
        <v>278</v>
      </c>
      <c r="GE10" s="55">
        <v>14</v>
      </c>
      <c r="GF10" s="56">
        <v>270</v>
      </c>
      <c r="GG10" s="55">
        <v>9</v>
      </c>
      <c r="GH10" s="56">
        <v>300</v>
      </c>
      <c r="GI10" s="55">
        <v>10</v>
      </c>
      <c r="GJ10" s="56">
        <v>290</v>
      </c>
      <c r="GK10" s="55">
        <v>12</v>
      </c>
      <c r="GL10" s="56">
        <v>270</v>
      </c>
      <c r="GM10" s="55">
        <v>9</v>
      </c>
      <c r="GN10" s="56">
        <v>290</v>
      </c>
      <c r="GO10" s="55">
        <v>10</v>
      </c>
      <c r="GP10" s="56">
        <v>275</v>
      </c>
      <c r="GQ10" s="55">
        <v>7</v>
      </c>
      <c r="GR10" s="56">
        <v>290</v>
      </c>
      <c r="GS10" s="55">
        <v>10</v>
      </c>
      <c r="GT10" s="56">
        <v>298</v>
      </c>
      <c r="GU10" s="55">
        <v>10</v>
      </c>
      <c r="GV10" s="56">
        <v>310</v>
      </c>
      <c r="GW10" s="55">
        <v>10</v>
      </c>
      <c r="GX10" s="56">
        <v>263</v>
      </c>
      <c r="GY10" s="55">
        <v>8</v>
      </c>
      <c r="GZ10" s="56">
        <v>310</v>
      </c>
      <c r="HA10">
        <v>8</v>
      </c>
      <c r="HB10" s="56">
        <v>300</v>
      </c>
      <c r="HC10">
        <v>14</v>
      </c>
      <c r="HD10" s="56">
        <v>300</v>
      </c>
      <c r="HE10">
        <v>6</v>
      </c>
      <c r="HF10" s="56">
        <v>345</v>
      </c>
    </row>
    <row r="11" spans="1:214" x14ac:dyDescent="0.25">
      <c r="A11" s="53"/>
      <c r="B11" s="54" t="s">
        <v>750</v>
      </c>
      <c r="C11" s="55">
        <v>29</v>
      </c>
      <c r="D11" s="56">
        <v>130</v>
      </c>
      <c r="E11" s="55">
        <v>30</v>
      </c>
      <c r="F11" s="56">
        <v>123</v>
      </c>
      <c r="G11" s="55">
        <v>24</v>
      </c>
      <c r="H11" s="56">
        <v>120</v>
      </c>
      <c r="I11" s="55">
        <v>30</v>
      </c>
      <c r="J11" s="56">
        <v>143</v>
      </c>
      <c r="K11" s="55">
        <v>26</v>
      </c>
      <c r="L11" s="56">
        <v>138</v>
      </c>
      <c r="M11" s="55">
        <v>23</v>
      </c>
      <c r="N11" s="56">
        <v>145</v>
      </c>
      <c r="O11" s="55">
        <v>25</v>
      </c>
      <c r="P11" s="56">
        <v>145</v>
      </c>
      <c r="Q11" s="55">
        <v>23</v>
      </c>
      <c r="R11" s="56">
        <v>145</v>
      </c>
      <c r="S11" s="55">
        <v>24</v>
      </c>
      <c r="T11" s="56">
        <v>143</v>
      </c>
      <c r="U11" s="55">
        <v>31</v>
      </c>
      <c r="V11" s="56">
        <v>150</v>
      </c>
      <c r="W11" s="55">
        <v>17</v>
      </c>
      <c r="X11" s="56">
        <v>160</v>
      </c>
      <c r="Y11" s="55">
        <v>30</v>
      </c>
      <c r="Z11" s="56">
        <v>158</v>
      </c>
      <c r="AA11" s="55">
        <v>28</v>
      </c>
      <c r="AB11" s="56">
        <v>150</v>
      </c>
      <c r="AC11" s="55">
        <v>34</v>
      </c>
      <c r="AD11" s="56">
        <v>160</v>
      </c>
      <c r="AE11" s="55">
        <v>21</v>
      </c>
      <c r="AF11" s="56">
        <v>160</v>
      </c>
      <c r="AG11" s="55">
        <v>18</v>
      </c>
      <c r="AH11" s="56">
        <v>160</v>
      </c>
      <c r="AI11" s="55">
        <v>21</v>
      </c>
      <c r="AJ11" s="56">
        <v>157</v>
      </c>
      <c r="AK11" s="55">
        <v>23</v>
      </c>
      <c r="AL11" s="56">
        <v>160</v>
      </c>
      <c r="AM11" s="55">
        <v>22</v>
      </c>
      <c r="AN11" s="56">
        <v>170</v>
      </c>
      <c r="AO11" s="55">
        <v>23</v>
      </c>
      <c r="AP11" s="56">
        <v>170</v>
      </c>
      <c r="AQ11" s="55">
        <v>25</v>
      </c>
      <c r="AR11" s="56">
        <v>165</v>
      </c>
      <c r="AS11" s="55">
        <v>20</v>
      </c>
      <c r="AT11" s="56">
        <v>170</v>
      </c>
      <c r="AU11" s="55">
        <v>33</v>
      </c>
      <c r="AV11" s="56">
        <v>175</v>
      </c>
      <c r="AW11" s="55">
        <v>24</v>
      </c>
      <c r="AX11" s="56">
        <v>170</v>
      </c>
      <c r="AY11" s="55">
        <v>17</v>
      </c>
      <c r="AZ11" s="56">
        <v>160</v>
      </c>
      <c r="BA11" s="55">
        <v>28</v>
      </c>
      <c r="BB11" s="56">
        <v>173</v>
      </c>
      <c r="BC11" s="55">
        <v>17</v>
      </c>
      <c r="BD11" s="56">
        <v>180</v>
      </c>
      <c r="BE11" s="55">
        <v>27</v>
      </c>
      <c r="BF11" s="56">
        <v>180</v>
      </c>
      <c r="BG11" s="55">
        <v>23</v>
      </c>
      <c r="BH11" s="56">
        <v>200</v>
      </c>
      <c r="BI11" s="55">
        <v>23</v>
      </c>
      <c r="BJ11" s="56">
        <v>190</v>
      </c>
      <c r="BK11" s="55">
        <v>23</v>
      </c>
      <c r="BL11" s="56">
        <v>190</v>
      </c>
      <c r="BM11" s="55">
        <v>25</v>
      </c>
      <c r="BN11" s="56">
        <v>195</v>
      </c>
      <c r="BO11" s="55">
        <v>34</v>
      </c>
      <c r="BP11" s="56">
        <v>200</v>
      </c>
      <c r="BQ11" s="55">
        <v>27</v>
      </c>
      <c r="BR11" s="56">
        <v>200</v>
      </c>
      <c r="BS11" s="55">
        <v>18</v>
      </c>
      <c r="BT11" s="56">
        <v>225</v>
      </c>
      <c r="BU11" s="55">
        <v>26</v>
      </c>
      <c r="BV11" s="56">
        <v>210</v>
      </c>
      <c r="BW11" s="55">
        <v>32</v>
      </c>
      <c r="BX11" s="56">
        <v>218</v>
      </c>
      <c r="BY11" s="55">
        <v>22</v>
      </c>
      <c r="BZ11" s="56">
        <v>215</v>
      </c>
      <c r="CA11" s="55">
        <v>26</v>
      </c>
      <c r="CB11" s="56">
        <v>240</v>
      </c>
      <c r="CC11" s="55">
        <v>25</v>
      </c>
      <c r="CD11" s="56">
        <v>220</v>
      </c>
      <c r="CE11" s="55">
        <v>18</v>
      </c>
      <c r="CF11" s="56">
        <v>230</v>
      </c>
      <c r="CG11" s="55">
        <v>21</v>
      </c>
      <c r="CH11" s="56">
        <v>230</v>
      </c>
      <c r="CI11" s="55">
        <v>18</v>
      </c>
      <c r="CJ11" s="56">
        <v>250</v>
      </c>
      <c r="CK11" s="55">
        <v>28</v>
      </c>
      <c r="CL11" s="56">
        <v>248</v>
      </c>
      <c r="CM11" s="55">
        <v>26</v>
      </c>
      <c r="CN11" s="56">
        <v>255</v>
      </c>
      <c r="CO11" s="55">
        <v>31</v>
      </c>
      <c r="CP11" s="56">
        <v>240</v>
      </c>
      <c r="CQ11" s="55">
        <v>19</v>
      </c>
      <c r="CR11" s="56">
        <v>300</v>
      </c>
      <c r="CS11" s="55">
        <v>23</v>
      </c>
      <c r="CT11" s="56">
        <v>250</v>
      </c>
      <c r="CU11" s="55">
        <v>21</v>
      </c>
      <c r="CV11" s="56">
        <v>270</v>
      </c>
      <c r="CW11" s="55">
        <v>34</v>
      </c>
      <c r="CX11" s="56">
        <v>280</v>
      </c>
      <c r="CY11" s="55">
        <v>17</v>
      </c>
      <c r="CZ11" s="56">
        <v>290</v>
      </c>
      <c r="DA11" s="55">
        <v>29</v>
      </c>
      <c r="DB11" s="56">
        <v>290</v>
      </c>
      <c r="DC11" s="55">
        <v>20</v>
      </c>
      <c r="DD11" s="56">
        <v>260</v>
      </c>
      <c r="DE11" s="55">
        <v>17</v>
      </c>
      <c r="DF11" s="56">
        <v>290</v>
      </c>
      <c r="DG11" s="55">
        <v>15</v>
      </c>
      <c r="DH11" s="56">
        <v>290</v>
      </c>
      <c r="DI11" s="55">
        <v>17</v>
      </c>
      <c r="DJ11" s="56">
        <v>270</v>
      </c>
      <c r="DK11" s="55">
        <v>23</v>
      </c>
      <c r="DL11" s="56">
        <v>300</v>
      </c>
      <c r="DM11" s="55">
        <v>28</v>
      </c>
      <c r="DN11" s="56">
        <v>300</v>
      </c>
      <c r="DO11" s="55">
        <v>13</v>
      </c>
      <c r="DP11" s="56">
        <v>300</v>
      </c>
      <c r="DQ11" s="55">
        <v>18</v>
      </c>
      <c r="DR11" s="56">
        <v>283</v>
      </c>
      <c r="DS11" s="55">
        <v>19</v>
      </c>
      <c r="DT11" s="56">
        <v>320</v>
      </c>
      <c r="DU11" s="55">
        <v>26</v>
      </c>
      <c r="DV11" s="56">
        <v>285</v>
      </c>
      <c r="DW11" s="55">
        <v>24</v>
      </c>
      <c r="DX11" s="56">
        <v>300</v>
      </c>
      <c r="DY11" s="55">
        <v>26</v>
      </c>
      <c r="DZ11" s="56">
        <v>318</v>
      </c>
      <c r="EA11" s="55">
        <v>20</v>
      </c>
      <c r="EB11" s="56">
        <v>310</v>
      </c>
      <c r="EC11" s="55">
        <v>21</v>
      </c>
      <c r="ED11" s="56">
        <v>335</v>
      </c>
      <c r="EE11" s="55">
        <v>19</v>
      </c>
      <c r="EF11" s="56">
        <v>330</v>
      </c>
      <c r="EG11" s="55">
        <v>18</v>
      </c>
      <c r="EH11" s="56">
        <v>338</v>
      </c>
      <c r="EI11" s="55">
        <v>29</v>
      </c>
      <c r="EJ11" s="56">
        <v>300</v>
      </c>
      <c r="EK11" s="55">
        <v>20</v>
      </c>
      <c r="EL11" s="56">
        <v>340</v>
      </c>
      <c r="EM11" s="55">
        <v>17</v>
      </c>
      <c r="EN11" s="56">
        <v>340</v>
      </c>
      <c r="EO11" s="55">
        <v>29</v>
      </c>
      <c r="EP11" s="56">
        <v>330</v>
      </c>
      <c r="EQ11" s="55">
        <v>31</v>
      </c>
      <c r="ER11" s="56">
        <v>320</v>
      </c>
      <c r="ES11" s="55">
        <v>27</v>
      </c>
      <c r="ET11" s="56">
        <v>320</v>
      </c>
      <c r="EU11" s="55">
        <v>10</v>
      </c>
      <c r="EV11" s="56">
        <v>345</v>
      </c>
      <c r="EW11" s="55">
        <v>20</v>
      </c>
      <c r="EX11" s="56">
        <v>373</v>
      </c>
      <c r="EY11" s="55">
        <v>22</v>
      </c>
      <c r="EZ11" s="56">
        <v>350</v>
      </c>
      <c r="FA11" s="55">
        <v>21</v>
      </c>
      <c r="FB11" s="56">
        <v>350</v>
      </c>
      <c r="FC11" s="55">
        <v>10</v>
      </c>
      <c r="FD11" s="56">
        <v>360</v>
      </c>
      <c r="FE11" s="55">
        <v>15</v>
      </c>
      <c r="FF11" s="56">
        <v>380</v>
      </c>
      <c r="FG11" s="55">
        <v>14</v>
      </c>
      <c r="FH11" s="56">
        <v>370</v>
      </c>
      <c r="FI11" s="55">
        <v>29</v>
      </c>
      <c r="FJ11" s="56">
        <v>360</v>
      </c>
      <c r="FK11" s="55">
        <v>12</v>
      </c>
      <c r="FL11" s="56">
        <v>400</v>
      </c>
      <c r="FM11" s="55">
        <v>24</v>
      </c>
      <c r="FN11" s="56">
        <v>375</v>
      </c>
      <c r="FO11" s="55">
        <v>19</v>
      </c>
      <c r="FP11" s="56">
        <v>360</v>
      </c>
      <c r="FQ11" s="55">
        <v>20</v>
      </c>
      <c r="FR11" s="56">
        <v>365</v>
      </c>
      <c r="FS11" s="55">
        <v>15</v>
      </c>
      <c r="FT11" s="56">
        <v>400</v>
      </c>
      <c r="FU11" s="55">
        <v>10</v>
      </c>
      <c r="FV11" s="56">
        <v>420</v>
      </c>
      <c r="FW11" s="55">
        <v>13</v>
      </c>
      <c r="FX11" s="56">
        <v>410</v>
      </c>
      <c r="FY11" s="55">
        <v>12</v>
      </c>
      <c r="FZ11" s="56">
        <v>445</v>
      </c>
      <c r="GA11" s="55">
        <v>15</v>
      </c>
      <c r="GB11" s="56">
        <v>400</v>
      </c>
      <c r="GC11" s="55">
        <v>20</v>
      </c>
      <c r="GD11" s="56">
        <v>440</v>
      </c>
      <c r="GE11" s="55">
        <v>15</v>
      </c>
      <c r="GF11" s="56">
        <v>450</v>
      </c>
      <c r="GG11" s="55">
        <v>21</v>
      </c>
      <c r="GH11" s="56">
        <v>420</v>
      </c>
      <c r="GI11" s="55">
        <v>15</v>
      </c>
      <c r="GJ11" s="56">
        <v>430</v>
      </c>
      <c r="GK11" s="55">
        <v>9</v>
      </c>
      <c r="GL11" s="56">
        <v>460</v>
      </c>
      <c r="GM11" s="55">
        <v>17</v>
      </c>
      <c r="GN11" s="56">
        <v>490</v>
      </c>
      <c r="GO11" s="55">
        <v>10</v>
      </c>
      <c r="GP11" s="56">
        <v>450</v>
      </c>
      <c r="GQ11" s="55">
        <v>5</v>
      </c>
      <c r="GR11" s="56">
        <v>480</v>
      </c>
      <c r="GS11" s="55">
        <v>20</v>
      </c>
      <c r="GT11" s="56">
        <v>473</v>
      </c>
      <c r="GU11" s="55">
        <v>23</v>
      </c>
      <c r="GV11" s="56">
        <v>470</v>
      </c>
      <c r="GW11" s="55">
        <v>16</v>
      </c>
      <c r="GX11" s="56">
        <v>468</v>
      </c>
      <c r="GY11" s="55">
        <v>21</v>
      </c>
      <c r="GZ11" s="56">
        <v>283</v>
      </c>
      <c r="HA11">
        <v>22</v>
      </c>
      <c r="HB11" s="56">
        <v>450</v>
      </c>
      <c r="HC11">
        <v>24</v>
      </c>
      <c r="HD11" s="56">
        <v>284</v>
      </c>
      <c r="HE11">
        <v>9</v>
      </c>
      <c r="HF11" s="56">
        <v>480</v>
      </c>
    </row>
    <row r="12" spans="1:214" x14ac:dyDescent="0.25">
      <c r="A12" s="53"/>
      <c r="B12" s="54" t="s">
        <v>751</v>
      </c>
      <c r="C12" s="55">
        <v>122</v>
      </c>
      <c r="D12" s="56">
        <v>115</v>
      </c>
      <c r="E12" s="55">
        <v>123</v>
      </c>
      <c r="F12" s="56">
        <v>115</v>
      </c>
      <c r="G12" s="55">
        <v>126</v>
      </c>
      <c r="H12" s="56">
        <v>115</v>
      </c>
      <c r="I12" s="55">
        <v>166</v>
      </c>
      <c r="J12" s="56">
        <v>113</v>
      </c>
      <c r="K12" s="55">
        <v>101</v>
      </c>
      <c r="L12" s="56">
        <v>120</v>
      </c>
      <c r="M12" s="55">
        <v>106</v>
      </c>
      <c r="N12" s="56">
        <v>120</v>
      </c>
      <c r="O12" s="55">
        <v>122</v>
      </c>
      <c r="P12" s="56">
        <v>120</v>
      </c>
      <c r="Q12" s="55">
        <v>118</v>
      </c>
      <c r="R12" s="56">
        <v>125</v>
      </c>
      <c r="S12" s="55">
        <v>110</v>
      </c>
      <c r="T12" s="56">
        <v>130</v>
      </c>
      <c r="U12" s="55">
        <v>111</v>
      </c>
      <c r="V12" s="56">
        <v>125</v>
      </c>
      <c r="W12" s="55">
        <v>108</v>
      </c>
      <c r="X12" s="56">
        <v>128</v>
      </c>
      <c r="Y12" s="55">
        <v>118</v>
      </c>
      <c r="Z12" s="56">
        <v>133</v>
      </c>
      <c r="AA12" s="55">
        <v>90</v>
      </c>
      <c r="AB12" s="56">
        <v>140</v>
      </c>
      <c r="AC12" s="55">
        <v>106</v>
      </c>
      <c r="AD12" s="56">
        <v>140</v>
      </c>
      <c r="AE12" s="55">
        <v>106</v>
      </c>
      <c r="AF12" s="56">
        <v>140</v>
      </c>
      <c r="AG12" s="55">
        <v>131</v>
      </c>
      <c r="AH12" s="56">
        <v>140</v>
      </c>
      <c r="AI12" s="55">
        <v>90</v>
      </c>
      <c r="AJ12" s="56">
        <v>140</v>
      </c>
      <c r="AK12" s="55">
        <v>107</v>
      </c>
      <c r="AL12" s="56">
        <v>140</v>
      </c>
      <c r="AM12" s="55">
        <v>102</v>
      </c>
      <c r="AN12" s="56">
        <v>140</v>
      </c>
      <c r="AO12" s="55">
        <v>127</v>
      </c>
      <c r="AP12" s="56">
        <v>150</v>
      </c>
      <c r="AQ12" s="55">
        <v>99</v>
      </c>
      <c r="AR12" s="56">
        <v>150</v>
      </c>
      <c r="AS12" s="55">
        <v>104</v>
      </c>
      <c r="AT12" s="56">
        <v>158</v>
      </c>
      <c r="AU12" s="55">
        <v>110</v>
      </c>
      <c r="AV12" s="56">
        <v>153</v>
      </c>
      <c r="AW12" s="55">
        <v>108</v>
      </c>
      <c r="AX12" s="56">
        <v>150</v>
      </c>
      <c r="AY12" s="55">
        <v>81</v>
      </c>
      <c r="AZ12" s="56">
        <v>160</v>
      </c>
      <c r="BA12" s="55">
        <v>91</v>
      </c>
      <c r="BB12" s="56">
        <v>165</v>
      </c>
      <c r="BC12" s="55">
        <v>96</v>
      </c>
      <c r="BD12" s="56">
        <v>160</v>
      </c>
      <c r="BE12" s="55">
        <v>105</v>
      </c>
      <c r="BF12" s="56">
        <v>155</v>
      </c>
      <c r="BG12" s="55">
        <v>88</v>
      </c>
      <c r="BH12" s="56">
        <v>170</v>
      </c>
      <c r="BI12" s="55">
        <v>89</v>
      </c>
      <c r="BJ12" s="56">
        <v>180</v>
      </c>
      <c r="BK12" s="55">
        <v>94</v>
      </c>
      <c r="BL12" s="56">
        <v>180</v>
      </c>
      <c r="BM12" s="55">
        <v>124</v>
      </c>
      <c r="BN12" s="56">
        <v>170</v>
      </c>
      <c r="BO12" s="55">
        <v>82</v>
      </c>
      <c r="BP12" s="56">
        <v>175</v>
      </c>
      <c r="BQ12" s="55">
        <v>91</v>
      </c>
      <c r="BR12" s="56">
        <v>180</v>
      </c>
      <c r="BS12" s="55">
        <v>83</v>
      </c>
      <c r="BT12" s="56">
        <v>180</v>
      </c>
      <c r="BU12" s="55">
        <v>139</v>
      </c>
      <c r="BV12" s="56">
        <v>180</v>
      </c>
      <c r="BW12" s="55">
        <v>88</v>
      </c>
      <c r="BX12" s="56">
        <v>183</v>
      </c>
      <c r="BY12" s="55">
        <v>97</v>
      </c>
      <c r="BZ12" s="56">
        <v>180</v>
      </c>
      <c r="CA12" s="55">
        <v>104</v>
      </c>
      <c r="CB12" s="56">
        <v>190</v>
      </c>
      <c r="CC12" s="55">
        <v>100</v>
      </c>
      <c r="CD12" s="56">
        <v>190</v>
      </c>
      <c r="CE12" s="55">
        <v>94</v>
      </c>
      <c r="CF12" s="56">
        <v>200</v>
      </c>
      <c r="CG12" s="55">
        <v>88</v>
      </c>
      <c r="CH12" s="56">
        <v>195</v>
      </c>
      <c r="CI12" s="55">
        <v>75</v>
      </c>
      <c r="CJ12" s="56">
        <v>220</v>
      </c>
      <c r="CK12" s="55">
        <v>77</v>
      </c>
      <c r="CL12" s="56">
        <v>220</v>
      </c>
      <c r="CM12" s="55">
        <v>77</v>
      </c>
      <c r="CN12" s="56">
        <v>205</v>
      </c>
      <c r="CO12" s="55">
        <v>73</v>
      </c>
      <c r="CP12" s="56">
        <v>220</v>
      </c>
      <c r="CQ12" s="55">
        <v>101</v>
      </c>
      <c r="CR12" s="56">
        <v>240</v>
      </c>
      <c r="CS12" s="55">
        <v>82</v>
      </c>
      <c r="CT12" s="56">
        <v>233</v>
      </c>
      <c r="CU12" s="55">
        <v>87</v>
      </c>
      <c r="CV12" s="56">
        <v>220</v>
      </c>
      <c r="CW12" s="55">
        <v>98</v>
      </c>
      <c r="CX12" s="56">
        <v>233</v>
      </c>
      <c r="CY12" s="55">
        <v>101</v>
      </c>
      <c r="CZ12" s="56">
        <v>240</v>
      </c>
      <c r="DA12" s="55">
        <v>116</v>
      </c>
      <c r="DB12" s="56">
        <v>230</v>
      </c>
      <c r="DC12" s="55">
        <v>94</v>
      </c>
      <c r="DD12" s="56">
        <v>230</v>
      </c>
      <c r="DE12" s="55">
        <v>102</v>
      </c>
      <c r="DF12" s="56">
        <v>230</v>
      </c>
      <c r="DG12" s="55">
        <v>100</v>
      </c>
      <c r="DH12" s="56">
        <v>224</v>
      </c>
      <c r="DI12" s="55">
        <v>107</v>
      </c>
      <c r="DJ12" s="56">
        <v>230</v>
      </c>
      <c r="DK12" s="55">
        <v>98</v>
      </c>
      <c r="DL12" s="56">
        <v>230</v>
      </c>
      <c r="DM12" s="55">
        <v>86</v>
      </c>
      <c r="DN12" s="56">
        <v>230</v>
      </c>
      <c r="DO12" s="55">
        <v>111</v>
      </c>
      <c r="DP12" s="56">
        <v>225</v>
      </c>
      <c r="DQ12" s="55">
        <v>128</v>
      </c>
      <c r="DR12" s="56">
        <v>230</v>
      </c>
      <c r="DS12" s="55">
        <v>122</v>
      </c>
      <c r="DT12" s="56">
        <v>230</v>
      </c>
      <c r="DU12" s="55">
        <v>108</v>
      </c>
      <c r="DV12" s="56">
        <v>238</v>
      </c>
      <c r="DW12" s="55">
        <v>99</v>
      </c>
      <c r="DX12" s="56">
        <v>230</v>
      </c>
      <c r="DY12" s="55">
        <v>91</v>
      </c>
      <c r="DZ12" s="56">
        <v>240</v>
      </c>
      <c r="EA12" s="55">
        <v>96</v>
      </c>
      <c r="EB12" s="56">
        <v>240</v>
      </c>
      <c r="EC12" s="55">
        <v>92</v>
      </c>
      <c r="ED12" s="56">
        <v>220</v>
      </c>
      <c r="EE12" s="55">
        <v>102</v>
      </c>
      <c r="EF12" s="56">
        <v>230</v>
      </c>
      <c r="EG12" s="55">
        <v>116</v>
      </c>
      <c r="EH12" s="56">
        <v>235</v>
      </c>
      <c r="EI12" s="55">
        <v>93</v>
      </c>
      <c r="EJ12" s="56">
        <v>250</v>
      </c>
      <c r="EK12" s="55">
        <v>106</v>
      </c>
      <c r="EL12" s="56">
        <v>230</v>
      </c>
      <c r="EM12" s="55">
        <v>102</v>
      </c>
      <c r="EN12" s="56">
        <v>240</v>
      </c>
      <c r="EO12" s="55">
        <v>102</v>
      </c>
      <c r="EP12" s="56">
        <v>230</v>
      </c>
      <c r="EQ12" s="55">
        <v>82</v>
      </c>
      <c r="ER12" s="56">
        <v>240</v>
      </c>
      <c r="ES12" s="55">
        <v>87</v>
      </c>
      <c r="ET12" s="56">
        <v>250</v>
      </c>
      <c r="EU12" s="55">
        <v>88</v>
      </c>
      <c r="EV12" s="56">
        <v>250</v>
      </c>
      <c r="EW12" s="55">
        <v>94</v>
      </c>
      <c r="EX12" s="56">
        <v>240</v>
      </c>
      <c r="EY12" s="55">
        <v>84</v>
      </c>
      <c r="EZ12" s="56">
        <v>250</v>
      </c>
      <c r="FA12" s="55">
        <v>88</v>
      </c>
      <c r="FB12" s="56">
        <v>255</v>
      </c>
      <c r="FC12" s="55">
        <v>65</v>
      </c>
      <c r="FD12" s="56">
        <v>250</v>
      </c>
      <c r="FE12" s="55">
        <v>67</v>
      </c>
      <c r="FF12" s="56">
        <v>270</v>
      </c>
      <c r="FG12" s="55">
        <v>52</v>
      </c>
      <c r="FH12" s="56">
        <v>260</v>
      </c>
      <c r="FI12" s="55">
        <v>70</v>
      </c>
      <c r="FJ12" s="56">
        <v>260</v>
      </c>
      <c r="FK12" s="55">
        <v>65</v>
      </c>
      <c r="FL12" s="56">
        <v>280</v>
      </c>
      <c r="FM12" s="55">
        <v>84</v>
      </c>
      <c r="FN12" s="56">
        <v>270</v>
      </c>
      <c r="FO12" s="55">
        <v>56</v>
      </c>
      <c r="FP12" s="56">
        <v>275</v>
      </c>
      <c r="FQ12" s="55">
        <v>66</v>
      </c>
      <c r="FR12" s="56">
        <v>280</v>
      </c>
      <c r="FS12" s="55">
        <v>46</v>
      </c>
      <c r="FT12" s="56">
        <v>290</v>
      </c>
      <c r="FU12" s="55">
        <v>65</v>
      </c>
      <c r="FV12" s="56">
        <v>300</v>
      </c>
      <c r="FW12" s="55">
        <v>54</v>
      </c>
      <c r="FX12" s="56">
        <v>300</v>
      </c>
      <c r="FY12" s="55">
        <v>68</v>
      </c>
      <c r="FZ12" s="56">
        <v>300</v>
      </c>
      <c r="GA12" s="55">
        <v>52</v>
      </c>
      <c r="GB12" s="56">
        <v>320</v>
      </c>
      <c r="GC12" s="55">
        <v>58</v>
      </c>
      <c r="GD12" s="56">
        <v>320</v>
      </c>
      <c r="GE12" s="55">
        <v>49</v>
      </c>
      <c r="GF12" s="56">
        <v>350</v>
      </c>
      <c r="GG12" s="55">
        <v>59</v>
      </c>
      <c r="GH12" s="56">
        <v>320</v>
      </c>
      <c r="GI12" s="55">
        <v>58</v>
      </c>
      <c r="GJ12" s="56">
        <v>350</v>
      </c>
      <c r="GK12" s="55">
        <v>54</v>
      </c>
      <c r="GL12" s="56">
        <v>380</v>
      </c>
      <c r="GM12" s="55">
        <v>45</v>
      </c>
      <c r="GN12" s="56">
        <v>380</v>
      </c>
      <c r="GO12" s="55">
        <v>64</v>
      </c>
      <c r="GP12" s="56">
        <v>368</v>
      </c>
      <c r="GQ12" s="55">
        <v>47</v>
      </c>
      <c r="GR12" s="56">
        <v>400</v>
      </c>
      <c r="GS12" s="55">
        <v>78</v>
      </c>
      <c r="GT12" s="56">
        <v>400</v>
      </c>
      <c r="GU12" s="55">
        <v>53</v>
      </c>
      <c r="GV12" s="56">
        <v>380</v>
      </c>
      <c r="GW12" s="55">
        <v>55</v>
      </c>
      <c r="GX12" s="56">
        <v>400</v>
      </c>
      <c r="GY12" s="55">
        <v>48</v>
      </c>
      <c r="GZ12" s="56">
        <v>400</v>
      </c>
      <c r="HA12">
        <v>57</v>
      </c>
      <c r="HB12" s="56">
        <v>430</v>
      </c>
      <c r="HC12">
        <v>64</v>
      </c>
      <c r="HD12" s="56">
        <v>420</v>
      </c>
      <c r="HE12">
        <v>60</v>
      </c>
      <c r="HF12" s="56">
        <v>420</v>
      </c>
    </row>
    <row r="13" spans="1:214" x14ac:dyDescent="0.25">
      <c r="A13" s="57"/>
      <c r="B13" s="57" t="s">
        <v>752</v>
      </c>
      <c r="C13" s="58">
        <v>598</v>
      </c>
      <c r="D13" s="59">
        <v>120</v>
      </c>
      <c r="E13" s="58">
        <v>566</v>
      </c>
      <c r="F13" s="59">
        <v>120</v>
      </c>
      <c r="G13" s="58">
        <v>602</v>
      </c>
      <c r="H13" s="59">
        <v>120</v>
      </c>
      <c r="I13" s="58">
        <v>710</v>
      </c>
      <c r="J13" s="59">
        <v>125</v>
      </c>
      <c r="K13" s="58">
        <v>555</v>
      </c>
      <c r="L13" s="59">
        <v>130</v>
      </c>
      <c r="M13" s="58">
        <v>580</v>
      </c>
      <c r="N13" s="59">
        <v>130</v>
      </c>
      <c r="O13" s="58">
        <v>592</v>
      </c>
      <c r="P13" s="59">
        <v>130</v>
      </c>
      <c r="Q13" s="58">
        <v>633</v>
      </c>
      <c r="R13" s="59">
        <v>130</v>
      </c>
      <c r="S13" s="58">
        <v>553</v>
      </c>
      <c r="T13" s="59">
        <v>130</v>
      </c>
      <c r="U13" s="58">
        <v>572</v>
      </c>
      <c r="V13" s="59">
        <v>135</v>
      </c>
      <c r="W13" s="58">
        <v>526</v>
      </c>
      <c r="X13" s="59">
        <v>135</v>
      </c>
      <c r="Y13" s="58">
        <v>636</v>
      </c>
      <c r="Z13" s="59">
        <v>140</v>
      </c>
      <c r="AA13" s="58">
        <v>486</v>
      </c>
      <c r="AB13" s="59">
        <v>140</v>
      </c>
      <c r="AC13" s="58">
        <v>570</v>
      </c>
      <c r="AD13" s="59">
        <v>140</v>
      </c>
      <c r="AE13" s="58">
        <v>512</v>
      </c>
      <c r="AF13" s="59">
        <v>140</v>
      </c>
      <c r="AG13" s="58">
        <v>658</v>
      </c>
      <c r="AH13" s="59">
        <v>145</v>
      </c>
      <c r="AI13" s="58">
        <v>490</v>
      </c>
      <c r="AJ13" s="59">
        <v>150</v>
      </c>
      <c r="AK13" s="58">
        <v>534</v>
      </c>
      <c r="AL13" s="59">
        <v>145</v>
      </c>
      <c r="AM13" s="58">
        <v>513</v>
      </c>
      <c r="AN13" s="59">
        <v>150</v>
      </c>
      <c r="AO13" s="58">
        <v>605</v>
      </c>
      <c r="AP13" s="59">
        <v>150</v>
      </c>
      <c r="AQ13" s="58">
        <v>464</v>
      </c>
      <c r="AR13" s="59">
        <v>155</v>
      </c>
      <c r="AS13" s="58">
        <v>549</v>
      </c>
      <c r="AT13" s="59">
        <v>155</v>
      </c>
      <c r="AU13" s="58">
        <v>537</v>
      </c>
      <c r="AV13" s="59">
        <v>160</v>
      </c>
      <c r="AW13" s="58">
        <v>577</v>
      </c>
      <c r="AX13" s="59">
        <v>160</v>
      </c>
      <c r="AY13" s="58">
        <v>516</v>
      </c>
      <c r="AZ13" s="59">
        <v>160</v>
      </c>
      <c r="BA13" s="58">
        <v>522</v>
      </c>
      <c r="BB13" s="59">
        <v>165</v>
      </c>
      <c r="BC13" s="58">
        <v>478</v>
      </c>
      <c r="BD13" s="59">
        <v>165</v>
      </c>
      <c r="BE13" s="58">
        <v>568</v>
      </c>
      <c r="BF13" s="59">
        <v>170</v>
      </c>
      <c r="BG13" s="58">
        <v>451</v>
      </c>
      <c r="BH13" s="59">
        <v>170</v>
      </c>
      <c r="BI13" s="58">
        <v>478</v>
      </c>
      <c r="BJ13" s="59">
        <v>175</v>
      </c>
      <c r="BK13" s="58">
        <v>492</v>
      </c>
      <c r="BL13" s="59">
        <v>180</v>
      </c>
      <c r="BM13" s="58">
        <v>571</v>
      </c>
      <c r="BN13" s="59">
        <v>180</v>
      </c>
      <c r="BO13" s="58">
        <v>448</v>
      </c>
      <c r="BP13" s="59">
        <v>180</v>
      </c>
      <c r="BQ13" s="58">
        <v>465</v>
      </c>
      <c r="BR13" s="59">
        <v>185</v>
      </c>
      <c r="BS13" s="58">
        <v>473</v>
      </c>
      <c r="BT13" s="59">
        <v>185</v>
      </c>
      <c r="BU13" s="58">
        <v>616</v>
      </c>
      <c r="BV13" s="59">
        <v>197</v>
      </c>
      <c r="BW13" s="58">
        <v>532</v>
      </c>
      <c r="BX13" s="59">
        <v>195</v>
      </c>
      <c r="BY13" s="58">
        <v>494</v>
      </c>
      <c r="BZ13" s="59">
        <v>200</v>
      </c>
      <c r="CA13" s="58">
        <v>490</v>
      </c>
      <c r="CB13" s="59">
        <v>200</v>
      </c>
      <c r="CC13" s="58">
        <v>535</v>
      </c>
      <c r="CD13" s="59">
        <v>205</v>
      </c>
      <c r="CE13" s="58">
        <v>499</v>
      </c>
      <c r="CF13" s="59">
        <v>210</v>
      </c>
      <c r="CG13" s="58">
        <v>489</v>
      </c>
      <c r="CH13" s="59">
        <v>220</v>
      </c>
      <c r="CI13" s="58">
        <v>459</v>
      </c>
      <c r="CJ13" s="59">
        <v>230</v>
      </c>
      <c r="CK13" s="58">
        <v>555</v>
      </c>
      <c r="CL13" s="59">
        <v>230</v>
      </c>
      <c r="CM13" s="58">
        <v>436</v>
      </c>
      <c r="CN13" s="59">
        <v>230</v>
      </c>
      <c r="CO13" s="58">
        <v>502</v>
      </c>
      <c r="CP13" s="59">
        <v>230</v>
      </c>
      <c r="CQ13" s="58">
        <v>506</v>
      </c>
      <c r="CR13" s="59">
        <v>245</v>
      </c>
      <c r="CS13" s="58">
        <v>561</v>
      </c>
      <c r="CT13" s="59">
        <v>250</v>
      </c>
      <c r="CU13" s="58">
        <v>484</v>
      </c>
      <c r="CV13" s="59">
        <v>245</v>
      </c>
      <c r="CW13" s="58">
        <v>524</v>
      </c>
      <c r="CX13" s="59">
        <v>250</v>
      </c>
      <c r="CY13" s="58">
        <v>508</v>
      </c>
      <c r="CZ13" s="59">
        <v>260</v>
      </c>
      <c r="DA13" s="58">
        <v>644</v>
      </c>
      <c r="DB13" s="59">
        <v>260</v>
      </c>
      <c r="DC13" s="58">
        <v>491</v>
      </c>
      <c r="DD13" s="59">
        <v>250</v>
      </c>
      <c r="DE13" s="58">
        <v>514</v>
      </c>
      <c r="DF13" s="59">
        <v>250</v>
      </c>
      <c r="DG13" s="58">
        <v>542</v>
      </c>
      <c r="DH13" s="59">
        <v>250</v>
      </c>
      <c r="DI13" s="58">
        <v>663</v>
      </c>
      <c r="DJ13" s="59">
        <v>260</v>
      </c>
      <c r="DK13" s="58">
        <v>571</v>
      </c>
      <c r="DL13" s="59">
        <v>250</v>
      </c>
      <c r="DM13" s="58">
        <v>578</v>
      </c>
      <c r="DN13" s="59">
        <v>256</v>
      </c>
      <c r="DO13" s="58">
        <v>554</v>
      </c>
      <c r="DP13" s="59">
        <v>260</v>
      </c>
      <c r="DQ13" s="58">
        <v>685</v>
      </c>
      <c r="DR13" s="59">
        <v>260</v>
      </c>
      <c r="DS13" s="58">
        <v>573</v>
      </c>
      <c r="DT13" s="59">
        <v>270</v>
      </c>
      <c r="DU13" s="58">
        <v>567</v>
      </c>
      <c r="DV13" s="59">
        <v>260</v>
      </c>
      <c r="DW13" s="58">
        <v>565</v>
      </c>
      <c r="DX13" s="59">
        <v>260</v>
      </c>
      <c r="DY13" s="58">
        <v>631</v>
      </c>
      <c r="DZ13" s="59">
        <v>270</v>
      </c>
      <c r="EA13" s="58">
        <v>561</v>
      </c>
      <c r="EB13" s="59">
        <v>260</v>
      </c>
      <c r="EC13" s="58">
        <v>567</v>
      </c>
      <c r="ED13" s="59">
        <v>260</v>
      </c>
      <c r="EE13" s="58">
        <v>567</v>
      </c>
      <c r="EF13" s="59">
        <v>265</v>
      </c>
      <c r="EG13" s="58">
        <v>648</v>
      </c>
      <c r="EH13" s="59">
        <v>270</v>
      </c>
      <c r="EI13" s="58">
        <v>571</v>
      </c>
      <c r="EJ13" s="59">
        <v>270</v>
      </c>
      <c r="EK13" s="58">
        <v>592</v>
      </c>
      <c r="EL13" s="59">
        <v>270</v>
      </c>
      <c r="EM13" s="58">
        <v>533</v>
      </c>
      <c r="EN13" s="59">
        <v>280</v>
      </c>
      <c r="EO13" s="58">
        <v>606</v>
      </c>
      <c r="EP13" s="59">
        <v>280</v>
      </c>
      <c r="EQ13" s="58">
        <v>564</v>
      </c>
      <c r="ER13" s="59">
        <v>280</v>
      </c>
      <c r="ES13" s="58">
        <v>588</v>
      </c>
      <c r="ET13" s="59">
        <v>280</v>
      </c>
      <c r="EU13" s="58">
        <v>511</v>
      </c>
      <c r="EV13" s="59">
        <v>280</v>
      </c>
      <c r="EW13" s="58">
        <v>587</v>
      </c>
      <c r="EX13" s="59">
        <v>290</v>
      </c>
      <c r="EY13" s="58">
        <v>516</v>
      </c>
      <c r="EZ13" s="59">
        <v>290</v>
      </c>
      <c r="FA13" s="58">
        <v>552</v>
      </c>
      <c r="FB13" s="59">
        <v>290</v>
      </c>
      <c r="FC13" s="58">
        <v>433</v>
      </c>
      <c r="FD13" s="59">
        <v>300</v>
      </c>
      <c r="FE13" s="58">
        <v>477</v>
      </c>
      <c r="FF13" s="59">
        <v>300</v>
      </c>
      <c r="FG13" s="58">
        <v>433</v>
      </c>
      <c r="FH13" s="59">
        <v>310</v>
      </c>
      <c r="FI13" s="58">
        <v>496</v>
      </c>
      <c r="FJ13" s="59">
        <v>300</v>
      </c>
      <c r="FK13" s="58">
        <v>432</v>
      </c>
      <c r="FL13" s="59">
        <v>320</v>
      </c>
      <c r="FM13" s="58">
        <v>599</v>
      </c>
      <c r="FN13" s="59">
        <v>330</v>
      </c>
      <c r="FO13" s="58">
        <v>420</v>
      </c>
      <c r="FP13" s="59">
        <v>300</v>
      </c>
      <c r="FQ13" s="58">
        <v>506</v>
      </c>
      <c r="FR13" s="59">
        <v>320</v>
      </c>
      <c r="FS13" s="58">
        <v>447</v>
      </c>
      <c r="FT13" s="59">
        <v>330</v>
      </c>
      <c r="FU13" s="58">
        <v>483</v>
      </c>
      <c r="FV13" s="59">
        <v>330</v>
      </c>
      <c r="FW13" s="58">
        <v>394</v>
      </c>
      <c r="FX13" s="59">
        <v>335</v>
      </c>
      <c r="FY13" s="58">
        <v>451</v>
      </c>
      <c r="FZ13" s="59">
        <v>350</v>
      </c>
      <c r="GA13" s="58">
        <v>412</v>
      </c>
      <c r="GB13" s="59">
        <v>350</v>
      </c>
      <c r="GC13" s="58">
        <v>457</v>
      </c>
      <c r="GD13" s="59">
        <v>360</v>
      </c>
      <c r="GE13" s="58">
        <v>407</v>
      </c>
      <c r="GF13" s="59">
        <v>370</v>
      </c>
      <c r="GG13" s="58">
        <v>466</v>
      </c>
      <c r="GH13" s="59">
        <v>370</v>
      </c>
      <c r="GI13" s="58">
        <v>453</v>
      </c>
      <c r="GJ13" s="59">
        <v>380</v>
      </c>
      <c r="GK13" s="58">
        <v>420</v>
      </c>
      <c r="GL13" s="59">
        <v>385</v>
      </c>
      <c r="GM13" s="58">
        <v>413</v>
      </c>
      <c r="GN13" s="59">
        <v>395</v>
      </c>
      <c r="GO13" s="58">
        <v>431</v>
      </c>
      <c r="GP13" s="59">
        <v>390</v>
      </c>
      <c r="GQ13" s="58">
        <v>383</v>
      </c>
      <c r="GR13" s="59">
        <v>400</v>
      </c>
      <c r="GS13" s="58">
        <v>462</v>
      </c>
      <c r="GT13" s="59">
        <v>410</v>
      </c>
      <c r="GU13" s="58">
        <v>433</v>
      </c>
      <c r="GV13" s="59">
        <v>410</v>
      </c>
      <c r="GW13" s="58">
        <v>459</v>
      </c>
      <c r="GX13" s="59">
        <v>420</v>
      </c>
      <c r="GY13" s="58">
        <v>420</v>
      </c>
      <c r="GZ13" s="59">
        <v>420</v>
      </c>
      <c r="HA13" s="6">
        <v>477</v>
      </c>
      <c r="HB13" s="59">
        <v>420</v>
      </c>
      <c r="HC13" s="6">
        <v>405</v>
      </c>
      <c r="HD13" s="59">
        <v>420</v>
      </c>
      <c r="HE13" s="6">
        <v>376</v>
      </c>
      <c r="HF13" s="59">
        <v>425</v>
      </c>
    </row>
    <row r="14" spans="1:214" s="10" customFormat="1" x14ac:dyDescent="0.25">
      <c r="A14" s="53" t="s">
        <v>753</v>
      </c>
      <c r="B14" s="54" t="s">
        <v>754</v>
      </c>
      <c r="C14" s="55">
        <v>8</v>
      </c>
      <c r="D14" s="56">
        <v>100</v>
      </c>
      <c r="E14" s="55">
        <v>12</v>
      </c>
      <c r="F14" s="56">
        <v>93</v>
      </c>
      <c r="G14" s="55">
        <v>16</v>
      </c>
      <c r="H14" s="56">
        <v>95</v>
      </c>
      <c r="I14" s="55">
        <v>22</v>
      </c>
      <c r="J14" s="56">
        <v>95</v>
      </c>
      <c r="K14" s="55">
        <v>13</v>
      </c>
      <c r="L14" s="56">
        <v>95</v>
      </c>
      <c r="M14" s="55">
        <v>22</v>
      </c>
      <c r="N14" s="56">
        <v>95</v>
      </c>
      <c r="O14" s="55">
        <v>17</v>
      </c>
      <c r="P14" s="56">
        <v>95</v>
      </c>
      <c r="Q14" s="55">
        <v>10</v>
      </c>
      <c r="R14" s="56">
        <v>98</v>
      </c>
      <c r="S14" s="55">
        <v>13</v>
      </c>
      <c r="T14" s="56">
        <v>100</v>
      </c>
      <c r="U14" s="55">
        <v>15</v>
      </c>
      <c r="V14" s="56">
        <v>100</v>
      </c>
      <c r="W14" s="55">
        <v>15</v>
      </c>
      <c r="X14" s="56">
        <v>110</v>
      </c>
      <c r="Y14" s="55">
        <v>12</v>
      </c>
      <c r="Z14" s="56">
        <v>100</v>
      </c>
      <c r="AA14" s="55">
        <v>13</v>
      </c>
      <c r="AB14" s="56">
        <v>110</v>
      </c>
      <c r="AC14" s="55">
        <v>16</v>
      </c>
      <c r="AD14" s="56">
        <v>110</v>
      </c>
      <c r="AE14" s="55">
        <v>15</v>
      </c>
      <c r="AF14" s="56">
        <v>110</v>
      </c>
      <c r="AG14" s="55">
        <v>16</v>
      </c>
      <c r="AH14" s="56">
        <v>110</v>
      </c>
      <c r="AI14" s="55">
        <v>24</v>
      </c>
      <c r="AJ14" s="56">
        <v>113</v>
      </c>
      <c r="AK14" s="55">
        <v>11</v>
      </c>
      <c r="AL14" s="56">
        <v>110</v>
      </c>
      <c r="AM14" s="55">
        <v>12</v>
      </c>
      <c r="AN14" s="56">
        <v>115</v>
      </c>
      <c r="AO14" s="55">
        <v>17</v>
      </c>
      <c r="AP14" s="56">
        <v>115</v>
      </c>
      <c r="AQ14" s="55">
        <v>16</v>
      </c>
      <c r="AR14" s="56">
        <v>113</v>
      </c>
      <c r="AS14" s="55">
        <v>10</v>
      </c>
      <c r="AT14" s="56">
        <v>115</v>
      </c>
      <c r="AU14" s="55">
        <v>17</v>
      </c>
      <c r="AV14" s="56">
        <v>115</v>
      </c>
      <c r="AW14" s="55">
        <v>10</v>
      </c>
      <c r="AX14" s="56">
        <v>123</v>
      </c>
      <c r="AY14" s="55">
        <v>10</v>
      </c>
      <c r="AZ14" s="56">
        <v>133</v>
      </c>
      <c r="BA14" s="55">
        <v>16</v>
      </c>
      <c r="BB14" s="56">
        <v>125</v>
      </c>
      <c r="BC14" s="55">
        <v>10</v>
      </c>
      <c r="BD14" s="56">
        <v>130</v>
      </c>
      <c r="BE14" s="55">
        <v>13</v>
      </c>
      <c r="BF14" s="56">
        <v>130</v>
      </c>
      <c r="BG14" s="55">
        <v>14</v>
      </c>
      <c r="BH14" s="56">
        <v>130</v>
      </c>
      <c r="BI14" s="55">
        <v>10</v>
      </c>
      <c r="BJ14" s="56">
        <v>123</v>
      </c>
      <c r="BK14" s="55">
        <v>12</v>
      </c>
      <c r="BL14" s="56">
        <v>138</v>
      </c>
      <c r="BM14" s="55">
        <v>12</v>
      </c>
      <c r="BN14" s="56">
        <v>128</v>
      </c>
      <c r="BO14" s="55">
        <v>7</v>
      </c>
      <c r="BP14" s="56">
        <v>130</v>
      </c>
      <c r="BQ14" s="55">
        <v>11</v>
      </c>
      <c r="BR14" s="56">
        <v>145</v>
      </c>
      <c r="BS14" s="55">
        <v>9</v>
      </c>
      <c r="BT14" s="56">
        <v>135</v>
      </c>
      <c r="BU14" s="55">
        <v>16</v>
      </c>
      <c r="BV14" s="56">
        <v>140</v>
      </c>
      <c r="BW14" s="55">
        <v>14</v>
      </c>
      <c r="BX14" s="56">
        <v>150</v>
      </c>
      <c r="BY14" s="55">
        <v>19</v>
      </c>
      <c r="BZ14" s="56">
        <v>160</v>
      </c>
      <c r="CA14" s="55">
        <v>17</v>
      </c>
      <c r="CB14" s="56">
        <v>140</v>
      </c>
      <c r="CC14" s="55">
        <v>15</v>
      </c>
      <c r="CD14" s="56">
        <v>150</v>
      </c>
      <c r="CE14" s="55">
        <v>7</v>
      </c>
      <c r="CF14" s="56">
        <v>140</v>
      </c>
      <c r="CG14" s="55">
        <v>16</v>
      </c>
      <c r="CH14" s="56">
        <v>160</v>
      </c>
      <c r="CI14" s="55">
        <v>13</v>
      </c>
      <c r="CJ14" s="56">
        <v>165</v>
      </c>
      <c r="CK14" s="55">
        <v>17</v>
      </c>
      <c r="CL14" s="56">
        <v>160</v>
      </c>
      <c r="CM14" s="55">
        <v>10</v>
      </c>
      <c r="CN14" s="56">
        <v>163</v>
      </c>
      <c r="CO14" s="55">
        <v>10</v>
      </c>
      <c r="CP14" s="56">
        <v>155</v>
      </c>
      <c r="CQ14" s="55">
        <v>11</v>
      </c>
      <c r="CR14" s="56">
        <v>160</v>
      </c>
      <c r="CS14" s="55">
        <v>18</v>
      </c>
      <c r="CT14" s="56">
        <v>160</v>
      </c>
      <c r="CU14" s="55">
        <v>14</v>
      </c>
      <c r="CV14" s="56">
        <v>228</v>
      </c>
      <c r="CW14" s="55">
        <v>16</v>
      </c>
      <c r="CX14" s="56">
        <v>170</v>
      </c>
      <c r="CY14" s="55">
        <v>11</v>
      </c>
      <c r="CZ14" s="56">
        <v>200</v>
      </c>
      <c r="DA14" s="55">
        <v>18</v>
      </c>
      <c r="DB14" s="56">
        <v>195</v>
      </c>
      <c r="DC14" s="55">
        <v>17</v>
      </c>
      <c r="DD14" s="56">
        <v>180</v>
      </c>
      <c r="DE14" s="55">
        <v>22</v>
      </c>
      <c r="DF14" s="56">
        <v>190</v>
      </c>
      <c r="DG14" s="55">
        <v>17</v>
      </c>
      <c r="DH14" s="56">
        <v>200</v>
      </c>
      <c r="DI14" s="55">
        <v>25</v>
      </c>
      <c r="DJ14" s="56">
        <v>190</v>
      </c>
      <c r="DK14" s="55">
        <v>14</v>
      </c>
      <c r="DL14" s="56">
        <v>220</v>
      </c>
      <c r="DM14" s="55">
        <v>15</v>
      </c>
      <c r="DN14" s="56">
        <v>220</v>
      </c>
      <c r="DO14" s="55">
        <v>15</v>
      </c>
      <c r="DP14" s="56">
        <v>190</v>
      </c>
      <c r="DQ14" s="55">
        <v>16</v>
      </c>
      <c r="DR14" s="56">
        <v>208</v>
      </c>
      <c r="DS14" s="55">
        <v>10</v>
      </c>
      <c r="DT14" s="56">
        <v>210</v>
      </c>
      <c r="DU14" s="55">
        <v>7</v>
      </c>
      <c r="DV14" s="56">
        <v>230</v>
      </c>
      <c r="DW14" s="55">
        <v>10</v>
      </c>
      <c r="DX14" s="56">
        <v>220</v>
      </c>
      <c r="DY14" s="55">
        <v>16</v>
      </c>
      <c r="DZ14" s="56">
        <v>193</v>
      </c>
      <c r="EA14" s="55">
        <v>6</v>
      </c>
      <c r="EB14" s="56">
        <v>213</v>
      </c>
      <c r="EC14" s="55">
        <v>16</v>
      </c>
      <c r="ED14" s="56">
        <v>230</v>
      </c>
      <c r="EE14" s="55">
        <v>18</v>
      </c>
      <c r="EF14" s="56">
        <v>230</v>
      </c>
      <c r="EG14" s="55">
        <v>11</v>
      </c>
      <c r="EH14" s="56">
        <v>210</v>
      </c>
      <c r="EI14" s="55">
        <v>13</v>
      </c>
      <c r="EJ14" s="56">
        <v>200</v>
      </c>
      <c r="EK14" s="55">
        <v>13</v>
      </c>
      <c r="EL14" s="56">
        <v>205</v>
      </c>
      <c r="EM14" s="55">
        <v>10</v>
      </c>
      <c r="EN14" s="56">
        <v>195</v>
      </c>
      <c r="EO14" s="55">
        <v>12</v>
      </c>
      <c r="EP14" s="56">
        <v>180</v>
      </c>
      <c r="EQ14" s="55">
        <v>14</v>
      </c>
      <c r="ER14" s="56">
        <v>200</v>
      </c>
      <c r="ES14" s="55">
        <v>24</v>
      </c>
      <c r="ET14" s="56">
        <v>260</v>
      </c>
      <c r="EU14" s="55">
        <v>16</v>
      </c>
      <c r="EV14" s="56">
        <v>220</v>
      </c>
      <c r="EW14" s="55">
        <v>15</v>
      </c>
      <c r="EX14" s="56">
        <v>220</v>
      </c>
      <c r="EY14" s="55">
        <v>13</v>
      </c>
      <c r="EZ14" s="56">
        <v>350</v>
      </c>
      <c r="FA14" s="55">
        <v>10</v>
      </c>
      <c r="FB14" s="56">
        <v>200</v>
      </c>
      <c r="FC14" s="55">
        <v>12</v>
      </c>
      <c r="FD14" s="56">
        <v>228</v>
      </c>
      <c r="FE14" s="55">
        <v>15</v>
      </c>
      <c r="FF14" s="56">
        <v>230</v>
      </c>
      <c r="FG14" s="55">
        <v>8</v>
      </c>
      <c r="FH14" s="56">
        <v>215</v>
      </c>
      <c r="FI14" s="55">
        <v>7</v>
      </c>
      <c r="FJ14" s="56">
        <v>250</v>
      </c>
      <c r="FK14" s="55">
        <v>11</v>
      </c>
      <c r="FL14" s="56">
        <v>250</v>
      </c>
      <c r="FM14" s="55">
        <v>9</v>
      </c>
      <c r="FN14" s="56">
        <v>245</v>
      </c>
      <c r="FO14" s="55">
        <v>7</v>
      </c>
      <c r="FP14" s="56">
        <v>250</v>
      </c>
      <c r="FQ14" s="55">
        <v>9</v>
      </c>
      <c r="FR14" s="56">
        <v>250</v>
      </c>
      <c r="FS14" s="55">
        <v>12</v>
      </c>
      <c r="FT14" s="56">
        <v>255</v>
      </c>
      <c r="FU14" s="55">
        <v>20</v>
      </c>
      <c r="FV14" s="56">
        <v>295</v>
      </c>
      <c r="FW14" s="55">
        <v>11</v>
      </c>
      <c r="FX14" s="56">
        <v>270</v>
      </c>
      <c r="FY14" s="55">
        <v>6</v>
      </c>
      <c r="FZ14" s="56">
        <v>285</v>
      </c>
      <c r="GA14" s="55">
        <v>14</v>
      </c>
      <c r="GB14" s="56">
        <v>263</v>
      </c>
      <c r="GC14" s="55" t="s">
        <v>2</v>
      </c>
      <c r="GD14" s="56" t="s">
        <v>2</v>
      </c>
      <c r="GE14" s="55">
        <v>10</v>
      </c>
      <c r="GF14" s="56">
        <v>295</v>
      </c>
      <c r="GG14" s="55">
        <v>5</v>
      </c>
      <c r="GH14" s="56">
        <v>250</v>
      </c>
      <c r="GI14" s="55" t="s">
        <v>2</v>
      </c>
      <c r="GJ14" s="56" t="s">
        <v>2</v>
      </c>
      <c r="GK14" s="55">
        <v>8</v>
      </c>
      <c r="GL14" s="56">
        <v>280</v>
      </c>
      <c r="GM14" s="55">
        <v>11</v>
      </c>
      <c r="GN14" s="56">
        <v>330</v>
      </c>
      <c r="GO14" s="55">
        <v>7</v>
      </c>
      <c r="GP14" s="56">
        <v>290</v>
      </c>
      <c r="GQ14" s="55">
        <v>8</v>
      </c>
      <c r="GR14" s="56">
        <v>310</v>
      </c>
      <c r="GS14" s="55">
        <v>16</v>
      </c>
      <c r="GT14" s="56">
        <v>335</v>
      </c>
      <c r="GU14" s="55">
        <v>12</v>
      </c>
      <c r="GV14" s="56">
        <v>345</v>
      </c>
      <c r="GW14" s="55">
        <v>5</v>
      </c>
      <c r="GX14" s="56">
        <v>335</v>
      </c>
      <c r="GY14" s="55">
        <v>7</v>
      </c>
      <c r="GZ14" s="56">
        <v>320</v>
      </c>
      <c r="HA14" s="7">
        <v>8</v>
      </c>
      <c r="HB14" s="56">
        <v>318</v>
      </c>
      <c r="HC14" s="7">
        <v>9</v>
      </c>
      <c r="HD14" s="56">
        <v>340</v>
      </c>
      <c r="HE14" s="7">
        <v>10</v>
      </c>
      <c r="HF14" s="56">
        <v>340</v>
      </c>
    </row>
    <row r="15" spans="1:214" x14ac:dyDescent="0.25">
      <c r="A15" s="53"/>
      <c r="B15" s="54" t="s">
        <v>755</v>
      </c>
      <c r="C15" s="55">
        <v>165</v>
      </c>
      <c r="D15" s="56">
        <v>125</v>
      </c>
      <c r="E15" s="55">
        <v>160</v>
      </c>
      <c r="F15" s="56">
        <v>125</v>
      </c>
      <c r="G15" s="55">
        <v>194</v>
      </c>
      <c r="H15" s="56">
        <v>130</v>
      </c>
      <c r="I15" s="55">
        <v>257</v>
      </c>
      <c r="J15" s="56">
        <v>125</v>
      </c>
      <c r="K15" s="55">
        <v>145</v>
      </c>
      <c r="L15" s="56">
        <v>130</v>
      </c>
      <c r="M15" s="55">
        <v>175</v>
      </c>
      <c r="N15" s="56">
        <v>130</v>
      </c>
      <c r="O15" s="55">
        <v>170</v>
      </c>
      <c r="P15" s="56">
        <v>125</v>
      </c>
      <c r="Q15" s="55">
        <v>221</v>
      </c>
      <c r="R15" s="56">
        <v>130</v>
      </c>
      <c r="S15" s="55">
        <v>147</v>
      </c>
      <c r="T15" s="56">
        <v>135</v>
      </c>
      <c r="U15" s="55">
        <v>162</v>
      </c>
      <c r="V15" s="56">
        <v>135</v>
      </c>
      <c r="W15" s="55">
        <v>160</v>
      </c>
      <c r="X15" s="56">
        <v>140</v>
      </c>
      <c r="Y15" s="55">
        <v>212</v>
      </c>
      <c r="Z15" s="56">
        <v>140</v>
      </c>
      <c r="AA15" s="55">
        <v>143</v>
      </c>
      <c r="AB15" s="56">
        <v>140</v>
      </c>
      <c r="AC15" s="55">
        <v>148</v>
      </c>
      <c r="AD15" s="56">
        <v>140</v>
      </c>
      <c r="AE15" s="55">
        <v>140</v>
      </c>
      <c r="AF15" s="56">
        <v>145</v>
      </c>
      <c r="AG15" s="55">
        <v>199</v>
      </c>
      <c r="AH15" s="56">
        <v>140</v>
      </c>
      <c r="AI15" s="55">
        <v>146</v>
      </c>
      <c r="AJ15" s="56">
        <v>145</v>
      </c>
      <c r="AK15" s="55">
        <v>137</v>
      </c>
      <c r="AL15" s="56">
        <v>150</v>
      </c>
      <c r="AM15" s="55">
        <v>165</v>
      </c>
      <c r="AN15" s="56">
        <v>145</v>
      </c>
      <c r="AO15" s="55">
        <v>187</v>
      </c>
      <c r="AP15" s="56">
        <v>150</v>
      </c>
      <c r="AQ15" s="55">
        <v>120</v>
      </c>
      <c r="AR15" s="56">
        <v>150</v>
      </c>
      <c r="AS15" s="55">
        <v>155</v>
      </c>
      <c r="AT15" s="56">
        <v>150</v>
      </c>
      <c r="AU15" s="55">
        <v>173</v>
      </c>
      <c r="AV15" s="56">
        <v>155</v>
      </c>
      <c r="AW15" s="55">
        <v>180</v>
      </c>
      <c r="AX15" s="56">
        <v>150</v>
      </c>
      <c r="AY15" s="55">
        <v>161</v>
      </c>
      <c r="AZ15" s="56">
        <v>155</v>
      </c>
      <c r="BA15" s="55">
        <v>159</v>
      </c>
      <c r="BB15" s="56">
        <v>155</v>
      </c>
      <c r="BC15" s="55">
        <v>157</v>
      </c>
      <c r="BD15" s="56">
        <v>160</v>
      </c>
      <c r="BE15" s="55">
        <v>198</v>
      </c>
      <c r="BF15" s="56">
        <v>156</v>
      </c>
      <c r="BG15" s="55">
        <v>122</v>
      </c>
      <c r="BH15" s="56">
        <v>160</v>
      </c>
      <c r="BI15" s="55">
        <v>135</v>
      </c>
      <c r="BJ15" s="56">
        <v>160</v>
      </c>
      <c r="BK15" s="55">
        <v>140</v>
      </c>
      <c r="BL15" s="56">
        <v>165</v>
      </c>
      <c r="BM15" s="55">
        <v>192</v>
      </c>
      <c r="BN15" s="56">
        <v>160</v>
      </c>
      <c r="BO15" s="55">
        <v>144</v>
      </c>
      <c r="BP15" s="56">
        <v>165</v>
      </c>
      <c r="BQ15" s="55">
        <v>140</v>
      </c>
      <c r="BR15" s="56">
        <v>160</v>
      </c>
      <c r="BS15" s="55">
        <v>121</v>
      </c>
      <c r="BT15" s="56">
        <v>175</v>
      </c>
      <c r="BU15" s="55">
        <v>185</v>
      </c>
      <c r="BV15" s="56">
        <v>170</v>
      </c>
      <c r="BW15" s="55">
        <v>152</v>
      </c>
      <c r="BX15" s="56">
        <v>173</v>
      </c>
      <c r="BY15" s="55">
        <v>133</v>
      </c>
      <c r="BZ15" s="56">
        <v>175</v>
      </c>
      <c r="CA15" s="55">
        <v>145</v>
      </c>
      <c r="CB15" s="56">
        <v>180</v>
      </c>
      <c r="CC15" s="55">
        <v>149</v>
      </c>
      <c r="CD15" s="56">
        <v>180</v>
      </c>
      <c r="CE15" s="55">
        <v>108</v>
      </c>
      <c r="CF15" s="56">
        <v>183</v>
      </c>
      <c r="CG15" s="55">
        <v>147</v>
      </c>
      <c r="CH15" s="56">
        <v>180</v>
      </c>
      <c r="CI15" s="55">
        <v>146</v>
      </c>
      <c r="CJ15" s="56">
        <v>190</v>
      </c>
      <c r="CK15" s="55">
        <v>191</v>
      </c>
      <c r="CL15" s="56">
        <v>200</v>
      </c>
      <c r="CM15" s="55">
        <v>134</v>
      </c>
      <c r="CN15" s="56">
        <v>191</v>
      </c>
      <c r="CO15" s="55">
        <v>114</v>
      </c>
      <c r="CP15" s="56">
        <v>200</v>
      </c>
      <c r="CQ15" s="55">
        <v>174</v>
      </c>
      <c r="CR15" s="56">
        <v>210</v>
      </c>
      <c r="CS15" s="55">
        <v>175</v>
      </c>
      <c r="CT15" s="56">
        <v>220</v>
      </c>
      <c r="CU15" s="55">
        <v>154</v>
      </c>
      <c r="CV15" s="56">
        <v>220</v>
      </c>
      <c r="CW15" s="55">
        <v>152</v>
      </c>
      <c r="CX15" s="56">
        <v>220</v>
      </c>
      <c r="CY15" s="55">
        <v>143</v>
      </c>
      <c r="CZ15" s="56">
        <v>220</v>
      </c>
      <c r="DA15" s="55">
        <v>185</v>
      </c>
      <c r="DB15" s="56">
        <v>220</v>
      </c>
      <c r="DC15" s="55">
        <v>168</v>
      </c>
      <c r="DD15" s="56">
        <v>220</v>
      </c>
      <c r="DE15" s="55">
        <v>125</v>
      </c>
      <c r="DF15" s="56">
        <v>215</v>
      </c>
      <c r="DG15" s="55">
        <v>141</v>
      </c>
      <c r="DH15" s="56">
        <v>225</v>
      </c>
      <c r="DI15" s="55">
        <v>193</v>
      </c>
      <c r="DJ15" s="56">
        <v>220</v>
      </c>
      <c r="DK15" s="55">
        <v>126</v>
      </c>
      <c r="DL15" s="56">
        <v>228</v>
      </c>
      <c r="DM15" s="55">
        <v>153</v>
      </c>
      <c r="DN15" s="56">
        <v>225</v>
      </c>
      <c r="DO15" s="55">
        <v>170</v>
      </c>
      <c r="DP15" s="56">
        <v>230</v>
      </c>
      <c r="DQ15" s="55">
        <v>202</v>
      </c>
      <c r="DR15" s="56">
        <v>225</v>
      </c>
      <c r="DS15" s="55">
        <v>169</v>
      </c>
      <c r="DT15" s="56">
        <v>230</v>
      </c>
      <c r="DU15" s="55">
        <v>147</v>
      </c>
      <c r="DV15" s="56">
        <v>225</v>
      </c>
      <c r="DW15" s="55">
        <v>170</v>
      </c>
      <c r="DX15" s="56">
        <v>237</v>
      </c>
      <c r="DY15" s="55">
        <v>188</v>
      </c>
      <c r="DZ15" s="56">
        <v>225</v>
      </c>
      <c r="EA15" s="55">
        <v>184</v>
      </c>
      <c r="EB15" s="56">
        <v>230</v>
      </c>
      <c r="EC15" s="55">
        <v>175</v>
      </c>
      <c r="ED15" s="56">
        <v>230</v>
      </c>
      <c r="EE15" s="55">
        <v>174</v>
      </c>
      <c r="EF15" s="56">
        <v>234</v>
      </c>
      <c r="EG15" s="55">
        <v>188</v>
      </c>
      <c r="EH15" s="56">
        <v>238</v>
      </c>
      <c r="EI15" s="55">
        <v>169</v>
      </c>
      <c r="EJ15" s="56">
        <v>225</v>
      </c>
      <c r="EK15" s="55">
        <v>174</v>
      </c>
      <c r="EL15" s="56">
        <v>235</v>
      </c>
      <c r="EM15" s="55">
        <v>140</v>
      </c>
      <c r="EN15" s="56">
        <v>240</v>
      </c>
      <c r="EO15" s="55">
        <v>184</v>
      </c>
      <c r="EP15" s="56">
        <v>240</v>
      </c>
      <c r="EQ15" s="55">
        <v>170</v>
      </c>
      <c r="ER15" s="56">
        <v>240</v>
      </c>
      <c r="ES15" s="55">
        <v>132</v>
      </c>
      <c r="ET15" s="56">
        <v>230</v>
      </c>
      <c r="EU15" s="55">
        <v>156</v>
      </c>
      <c r="EV15" s="56">
        <v>250</v>
      </c>
      <c r="EW15" s="55">
        <v>197</v>
      </c>
      <c r="EX15" s="56">
        <v>245</v>
      </c>
      <c r="EY15" s="55">
        <v>135</v>
      </c>
      <c r="EZ15" s="56">
        <v>240</v>
      </c>
      <c r="FA15" s="55">
        <v>129</v>
      </c>
      <c r="FB15" s="56">
        <v>250</v>
      </c>
      <c r="FC15" s="55">
        <v>139</v>
      </c>
      <c r="FD15" s="56">
        <v>255</v>
      </c>
      <c r="FE15" s="55">
        <v>170</v>
      </c>
      <c r="FF15" s="56">
        <v>260</v>
      </c>
      <c r="FG15" s="55">
        <v>125</v>
      </c>
      <c r="FH15" s="56">
        <v>250</v>
      </c>
      <c r="FI15" s="55">
        <v>134</v>
      </c>
      <c r="FJ15" s="56">
        <v>255</v>
      </c>
      <c r="FK15" s="55">
        <v>129</v>
      </c>
      <c r="FL15" s="56">
        <v>265</v>
      </c>
      <c r="FM15" s="55">
        <v>155</v>
      </c>
      <c r="FN15" s="56">
        <v>260</v>
      </c>
      <c r="FO15" s="55">
        <v>133</v>
      </c>
      <c r="FP15" s="56">
        <v>260</v>
      </c>
      <c r="FQ15" s="55">
        <v>113</v>
      </c>
      <c r="FR15" s="56">
        <v>270</v>
      </c>
      <c r="FS15" s="55">
        <v>104</v>
      </c>
      <c r="FT15" s="56">
        <v>270</v>
      </c>
      <c r="FU15" s="55">
        <v>114</v>
      </c>
      <c r="FV15" s="56">
        <v>273</v>
      </c>
      <c r="FW15" s="55">
        <v>118</v>
      </c>
      <c r="FX15" s="56">
        <v>275</v>
      </c>
      <c r="FY15" s="55">
        <v>113</v>
      </c>
      <c r="FZ15" s="56">
        <v>280</v>
      </c>
      <c r="GA15" s="55">
        <v>86</v>
      </c>
      <c r="GB15" s="56">
        <v>290</v>
      </c>
      <c r="GC15" s="55">
        <v>120</v>
      </c>
      <c r="GD15" s="56">
        <v>298</v>
      </c>
      <c r="GE15" s="55">
        <v>111</v>
      </c>
      <c r="GF15" s="56">
        <v>300</v>
      </c>
      <c r="GG15" s="55">
        <v>115</v>
      </c>
      <c r="GH15" s="56">
        <v>310</v>
      </c>
      <c r="GI15" s="55">
        <v>113</v>
      </c>
      <c r="GJ15" s="56">
        <v>310</v>
      </c>
      <c r="GK15" s="55">
        <v>127</v>
      </c>
      <c r="GL15" s="56">
        <v>310</v>
      </c>
      <c r="GM15" s="55">
        <v>128</v>
      </c>
      <c r="GN15" s="56">
        <v>330</v>
      </c>
      <c r="GO15" s="55">
        <v>89</v>
      </c>
      <c r="GP15" s="56">
        <v>330</v>
      </c>
      <c r="GQ15" s="55">
        <v>88</v>
      </c>
      <c r="GR15" s="56">
        <v>333</v>
      </c>
      <c r="GS15" s="55">
        <v>109</v>
      </c>
      <c r="GT15" s="56">
        <v>340</v>
      </c>
      <c r="GU15" s="55">
        <v>101</v>
      </c>
      <c r="GV15" s="56">
        <v>340</v>
      </c>
      <c r="GW15" s="55">
        <v>104</v>
      </c>
      <c r="GX15" s="56">
        <v>343</v>
      </c>
      <c r="GY15" s="55">
        <v>113</v>
      </c>
      <c r="GZ15" s="56">
        <v>350</v>
      </c>
      <c r="HA15">
        <v>97</v>
      </c>
      <c r="HB15" s="56">
        <v>360</v>
      </c>
      <c r="HC15">
        <v>114</v>
      </c>
      <c r="HD15" s="56">
        <v>350</v>
      </c>
      <c r="HE15">
        <v>93</v>
      </c>
      <c r="HF15" s="56">
        <v>360</v>
      </c>
    </row>
    <row r="16" spans="1:214" x14ac:dyDescent="0.25">
      <c r="A16" s="53"/>
      <c r="B16" s="54" t="s">
        <v>756</v>
      </c>
      <c r="C16" s="55" t="s">
        <v>2</v>
      </c>
      <c r="D16" s="56" t="s">
        <v>2</v>
      </c>
      <c r="E16" s="55" t="s">
        <v>2</v>
      </c>
      <c r="F16" s="56" t="s">
        <v>2</v>
      </c>
      <c r="G16" s="55" t="s">
        <v>2</v>
      </c>
      <c r="H16" s="56" t="s">
        <v>2</v>
      </c>
      <c r="I16" s="55" t="s">
        <v>2</v>
      </c>
      <c r="J16" s="56" t="s">
        <v>2</v>
      </c>
      <c r="K16" s="55" t="s">
        <v>2</v>
      </c>
      <c r="L16" s="56" t="s">
        <v>2</v>
      </c>
      <c r="M16" s="55" t="s">
        <v>2</v>
      </c>
      <c r="N16" s="56" t="s">
        <v>2</v>
      </c>
      <c r="O16" s="55" t="s">
        <v>2</v>
      </c>
      <c r="P16" s="56" t="s">
        <v>2</v>
      </c>
      <c r="Q16" s="55" t="s">
        <v>2</v>
      </c>
      <c r="R16" s="56" t="s">
        <v>2</v>
      </c>
      <c r="S16" s="55" t="s">
        <v>2</v>
      </c>
      <c r="T16" s="56" t="s">
        <v>2</v>
      </c>
      <c r="U16" s="55" t="s">
        <v>2</v>
      </c>
      <c r="V16" s="56" t="s">
        <v>2</v>
      </c>
      <c r="W16" s="55" t="s">
        <v>2</v>
      </c>
      <c r="X16" s="56" t="s">
        <v>2</v>
      </c>
      <c r="Y16" s="55" t="s">
        <v>2</v>
      </c>
      <c r="Z16" s="56" t="s">
        <v>2</v>
      </c>
      <c r="AA16" s="55" t="s">
        <v>2</v>
      </c>
      <c r="AB16" s="56" t="s">
        <v>2</v>
      </c>
      <c r="AC16" s="55" t="s">
        <v>2</v>
      </c>
      <c r="AD16" s="56" t="s">
        <v>2</v>
      </c>
      <c r="AE16" s="55" t="s">
        <v>2</v>
      </c>
      <c r="AF16" s="56" t="s">
        <v>2</v>
      </c>
      <c r="AG16" s="55" t="s">
        <v>2</v>
      </c>
      <c r="AH16" s="56" t="s">
        <v>2</v>
      </c>
      <c r="AI16" s="55" t="s">
        <v>2</v>
      </c>
      <c r="AJ16" s="56" t="s">
        <v>2</v>
      </c>
      <c r="AK16" s="55" t="s">
        <v>2</v>
      </c>
      <c r="AL16" s="56" t="s">
        <v>2</v>
      </c>
      <c r="AM16" s="55" t="s">
        <v>2</v>
      </c>
      <c r="AN16" s="56" t="s">
        <v>2</v>
      </c>
      <c r="AO16" s="55" t="s">
        <v>2</v>
      </c>
      <c r="AP16" s="56" t="s">
        <v>2</v>
      </c>
      <c r="AQ16" s="55" t="s">
        <v>2</v>
      </c>
      <c r="AR16" s="56" t="s">
        <v>2</v>
      </c>
      <c r="AS16" s="55" t="s">
        <v>2</v>
      </c>
      <c r="AT16" s="56" t="s">
        <v>2</v>
      </c>
      <c r="AU16" s="55" t="s">
        <v>2</v>
      </c>
      <c r="AV16" s="56" t="s">
        <v>2</v>
      </c>
      <c r="AW16" s="55" t="s">
        <v>2</v>
      </c>
      <c r="AX16" s="56" t="s">
        <v>2</v>
      </c>
      <c r="AY16" s="55">
        <v>5</v>
      </c>
      <c r="AZ16" s="56">
        <v>160</v>
      </c>
      <c r="BA16" s="55" t="s">
        <v>2</v>
      </c>
      <c r="BB16" s="56" t="s">
        <v>2</v>
      </c>
      <c r="BC16" s="55" t="s">
        <v>2</v>
      </c>
      <c r="BD16" s="56" t="s">
        <v>2</v>
      </c>
      <c r="BE16" s="55" t="s">
        <v>2</v>
      </c>
      <c r="BF16" s="56" t="s">
        <v>2</v>
      </c>
      <c r="BG16" s="55" t="s">
        <v>2</v>
      </c>
      <c r="BH16" s="56" t="s">
        <v>2</v>
      </c>
      <c r="BI16" s="55" t="s">
        <v>2</v>
      </c>
      <c r="BJ16" s="56" t="s">
        <v>2</v>
      </c>
      <c r="BK16" s="55" t="s">
        <v>2</v>
      </c>
      <c r="BL16" s="56" t="s">
        <v>2</v>
      </c>
      <c r="BM16" s="55" t="s">
        <v>2</v>
      </c>
      <c r="BN16" s="56" t="s">
        <v>2</v>
      </c>
      <c r="BO16" s="55" t="s">
        <v>2</v>
      </c>
      <c r="BP16" s="56" t="s">
        <v>2</v>
      </c>
      <c r="BQ16" s="55" t="s">
        <v>2</v>
      </c>
      <c r="BR16" s="56" t="s">
        <v>2</v>
      </c>
      <c r="BS16" s="55" t="s">
        <v>2</v>
      </c>
      <c r="BT16" s="56" t="s">
        <v>2</v>
      </c>
      <c r="BU16" s="55" t="s">
        <v>2</v>
      </c>
      <c r="BV16" s="56" t="s">
        <v>2</v>
      </c>
      <c r="BW16" s="55" t="s">
        <v>2</v>
      </c>
      <c r="BX16" s="56" t="s">
        <v>2</v>
      </c>
      <c r="BY16" s="55" t="s">
        <v>2</v>
      </c>
      <c r="BZ16" s="56" t="s">
        <v>2</v>
      </c>
      <c r="CA16" s="55" t="s">
        <v>2</v>
      </c>
      <c r="CB16" s="56" t="s">
        <v>2</v>
      </c>
      <c r="CC16" s="55" t="s">
        <v>2</v>
      </c>
      <c r="CD16" s="56" t="s">
        <v>2</v>
      </c>
      <c r="CE16" s="55" t="s">
        <v>2</v>
      </c>
      <c r="CF16" s="56" t="s">
        <v>2</v>
      </c>
      <c r="CG16" s="55" t="s">
        <v>2</v>
      </c>
      <c r="CH16" s="56" t="s">
        <v>2</v>
      </c>
      <c r="CI16" s="55" t="s">
        <v>2</v>
      </c>
      <c r="CJ16" s="56" t="s">
        <v>2</v>
      </c>
      <c r="CK16" s="55" t="s">
        <v>2</v>
      </c>
      <c r="CL16" s="56" t="s">
        <v>2</v>
      </c>
      <c r="CM16" s="55" t="s">
        <v>2</v>
      </c>
      <c r="CN16" s="56" t="s">
        <v>2</v>
      </c>
      <c r="CO16" s="55" t="s">
        <v>2</v>
      </c>
      <c r="CP16" s="56" t="s">
        <v>2</v>
      </c>
      <c r="CQ16" s="55" t="s">
        <v>2</v>
      </c>
      <c r="CR16" s="56" t="s">
        <v>2</v>
      </c>
      <c r="CS16" s="55" t="s">
        <v>2</v>
      </c>
      <c r="CT16" s="56" t="s">
        <v>2</v>
      </c>
      <c r="CU16" s="55">
        <v>6</v>
      </c>
      <c r="CV16" s="56">
        <v>255</v>
      </c>
      <c r="CW16" s="55" t="s">
        <v>2</v>
      </c>
      <c r="CX16" s="56" t="s">
        <v>2</v>
      </c>
      <c r="CY16" s="55" t="s">
        <v>2</v>
      </c>
      <c r="CZ16" s="56" t="s">
        <v>2</v>
      </c>
      <c r="DA16" s="55" t="s">
        <v>2</v>
      </c>
      <c r="DB16" s="56" t="s">
        <v>2</v>
      </c>
      <c r="DC16" s="55" t="s">
        <v>2</v>
      </c>
      <c r="DD16" s="56" t="s">
        <v>2</v>
      </c>
      <c r="DE16" s="55" t="s">
        <v>2</v>
      </c>
      <c r="DF16" s="56" t="s">
        <v>2</v>
      </c>
      <c r="DG16" s="55" t="s">
        <v>2</v>
      </c>
      <c r="DH16" s="56" t="s">
        <v>2</v>
      </c>
      <c r="DI16" s="55">
        <v>6</v>
      </c>
      <c r="DJ16" s="56">
        <v>278</v>
      </c>
      <c r="DK16" s="55">
        <v>10</v>
      </c>
      <c r="DL16" s="56">
        <v>270</v>
      </c>
      <c r="DM16" s="55" t="s">
        <v>2</v>
      </c>
      <c r="DN16" s="56" t="s">
        <v>2</v>
      </c>
      <c r="DO16" s="55">
        <v>8</v>
      </c>
      <c r="DP16" s="56">
        <v>278</v>
      </c>
      <c r="DQ16" s="55">
        <v>7</v>
      </c>
      <c r="DR16" s="56">
        <v>270</v>
      </c>
      <c r="DS16" s="55" t="s">
        <v>2</v>
      </c>
      <c r="DT16" s="56" t="s">
        <v>2</v>
      </c>
      <c r="DU16" s="55" t="s">
        <v>2</v>
      </c>
      <c r="DV16" s="56" t="s">
        <v>2</v>
      </c>
      <c r="DW16" s="55" t="s">
        <v>2</v>
      </c>
      <c r="DX16" s="56" t="s">
        <v>2</v>
      </c>
      <c r="DY16" s="55">
        <v>8</v>
      </c>
      <c r="DZ16" s="56">
        <v>275</v>
      </c>
      <c r="EA16" s="55" t="s">
        <v>2</v>
      </c>
      <c r="EB16" s="56" t="s">
        <v>2</v>
      </c>
      <c r="EC16" s="55" t="s">
        <v>2</v>
      </c>
      <c r="ED16" s="56" t="s">
        <v>2</v>
      </c>
      <c r="EE16" s="55" t="s">
        <v>2</v>
      </c>
      <c r="EF16" s="56" t="s">
        <v>2</v>
      </c>
      <c r="EG16" s="55">
        <v>6</v>
      </c>
      <c r="EH16" s="56">
        <v>290</v>
      </c>
      <c r="EI16" s="55" t="s">
        <v>2</v>
      </c>
      <c r="EJ16" s="56" t="s">
        <v>2</v>
      </c>
      <c r="EK16" s="55">
        <v>6</v>
      </c>
      <c r="EL16" s="56">
        <v>273</v>
      </c>
      <c r="EM16" s="55" t="s">
        <v>2</v>
      </c>
      <c r="EN16" s="56" t="s">
        <v>2</v>
      </c>
      <c r="EO16" s="55" t="s">
        <v>2</v>
      </c>
      <c r="EP16" s="56" t="s">
        <v>2</v>
      </c>
      <c r="EQ16" s="55" t="s">
        <v>2</v>
      </c>
      <c r="ER16" s="56" t="s">
        <v>2</v>
      </c>
      <c r="ES16" s="55" t="s">
        <v>2</v>
      </c>
      <c r="ET16" s="56" t="s">
        <v>2</v>
      </c>
      <c r="EU16" s="55" t="s">
        <v>2</v>
      </c>
      <c r="EV16" s="56" t="s">
        <v>2</v>
      </c>
      <c r="EW16" s="55" t="s">
        <v>2</v>
      </c>
      <c r="EX16" s="56" t="s">
        <v>2</v>
      </c>
      <c r="EY16" s="55" t="s">
        <v>2</v>
      </c>
      <c r="EZ16" s="56" t="s">
        <v>2</v>
      </c>
      <c r="FA16" s="55" t="s">
        <v>2</v>
      </c>
      <c r="FB16" s="56" t="s">
        <v>2</v>
      </c>
      <c r="FC16" s="55">
        <v>5</v>
      </c>
      <c r="FD16" s="56">
        <v>315</v>
      </c>
      <c r="FE16" s="55" t="s">
        <v>2</v>
      </c>
      <c r="FF16" s="56" t="s">
        <v>2</v>
      </c>
      <c r="FG16" s="55" t="s">
        <v>2</v>
      </c>
      <c r="FH16" s="56" t="s">
        <v>2</v>
      </c>
      <c r="FI16" s="55" t="s">
        <v>2</v>
      </c>
      <c r="FJ16" s="56" t="s">
        <v>2</v>
      </c>
      <c r="FK16" s="55" t="s">
        <v>2</v>
      </c>
      <c r="FL16" s="56" t="s">
        <v>2</v>
      </c>
      <c r="FM16" s="55" t="s">
        <v>2</v>
      </c>
      <c r="FN16" s="56" t="s">
        <v>2</v>
      </c>
      <c r="FO16" s="55" t="s">
        <v>2</v>
      </c>
      <c r="FP16" s="56" t="s">
        <v>2</v>
      </c>
      <c r="FQ16" s="55" t="s">
        <v>2</v>
      </c>
      <c r="FR16" s="56" t="s">
        <v>2</v>
      </c>
      <c r="FS16" s="55" t="s">
        <v>2</v>
      </c>
      <c r="FT16" s="56" t="s">
        <v>2</v>
      </c>
      <c r="FU16" s="55" t="s">
        <v>2</v>
      </c>
      <c r="FV16" s="56" t="s">
        <v>2</v>
      </c>
      <c r="FW16" s="55" t="s">
        <v>2</v>
      </c>
      <c r="FX16" s="56" t="s">
        <v>2</v>
      </c>
      <c r="FY16" s="55" t="s">
        <v>2</v>
      </c>
      <c r="FZ16" s="56" t="s">
        <v>2</v>
      </c>
      <c r="GA16" s="55" t="s">
        <v>2</v>
      </c>
      <c r="GB16" s="56" t="s">
        <v>2</v>
      </c>
      <c r="GC16" s="55" t="s">
        <v>2</v>
      </c>
      <c r="GD16" s="56" t="s">
        <v>2</v>
      </c>
      <c r="GE16" s="55" t="s">
        <v>2</v>
      </c>
      <c r="GF16" s="56" t="s">
        <v>2</v>
      </c>
      <c r="GG16" s="55" t="s">
        <v>2</v>
      </c>
      <c r="GH16" s="56" t="s">
        <v>2</v>
      </c>
      <c r="GI16" s="55" t="s">
        <v>2</v>
      </c>
      <c r="GJ16" s="56" t="s">
        <v>2</v>
      </c>
      <c r="GK16" s="55" t="s">
        <v>2</v>
      </c>
      <c r="GL16" s="56" t="s">
        <v>2</v>
      </c>
      <c r="GM16" s="55" t="s">
        <v>2</v>
      </c>
      <c r="GN16" s="56" t="s">
        <v>2</v>
      </c>
      <c r="GO16" s="55">
        <v>5</v>
      </c>
      <c r="GP16" s="56">
        <v>400</v>
      </c>
      <c r="GQ16" s="55" t="s">
        <v>2</v>
      </c>
      <c r="GR16" s="56" t="s">
        <v>2</v>
      </c>
      <c r="GS16" s="55" t="s">
        <v>2</v>
      </c>
      <c r="GT16" s="56" t="s">
        <v>2</v>
      </c>
      <c r="GU16" s="55" t="s">
        <v>2</v>
      </c>
      <c r="GV16" s="56" t="s">
        <v>2</v>
      </c>
      <c r="GW16" s="55" t="s">
        <v>2</v>
      </c>
      <c r="GX16" s="56" t="s">
        <v>2</v>
      </c>
      <c r="GY16" s="55" t="s">
        <v>2</v>
      </c>
      <c r="GZ16" s="56" t="s">
        <v>2</v>
      </c>
      <c r="HA16" t="s">
        <v>2</v>
      </c>
      <c r="HB16" s="56" t="s">
        <v>2</v>
      </c>
      <c r="HC16">
        <v>5</v>
      </c>
      <c r="HD16" s="56">
        <v>380</v>
      </c>
      <c r="HE16">
        <v>5</v>
      </c>
      <c r="HF16" s="56">
        <v>400</v>
      </c>
    </row>
    <row r="17" spans="1:214" x14ac:dyDescent="0.25">
      <c r="A17" s="53"/>
      <c r="B17" s="54" t="s">
        <v>757</v>
      </c>
      <c r="C17" s="55" t="s">
        <v>2</v>
      </c>
      <c r="D17" s="56" t="s">
        <v>2</v>
      </c>
      <c r="E17" s="55">
        <v>7</v>
      </c>
      <c r="F17" s="56">
        <v>100</v>
      </c>
      <c r="G17" s="55" t="s">
        <v>2</v>
      </c>
      <c r="H17" s="56" t="s">
        <v>2</v>
      </c>
      <c r="I17" s="55">
        <v>7</v>
      </c>
      <c r="J17" s="56">
        <v>100</v>
      </c>
      <c r="K17" s="55" t="s">
        <v>2</v>
      </c>
      <c r="L17" s="56" t="s">
        <v>2</v>
      </c>
      <c r="M17" s="55" t="s">
        <v>2</v>
      </c>
      <c r="N17" s="56" t="s">
        <v>2</v>
      </c>
      <c r="O17" s="55" t="s">
        <v>2</v>
      </c>
      <c r="P17" s="56" t="s">
        <v>2</v>
      </c>
      <c r="Q17" s="55" t="s">
        <v>2</v>
      </c>
      <c r="R17" s="56" t="s">
        <v>2</v>
      </c>
      <c r="S17" s="55" t="s">
        <v>2</v>
      </c>
      <c r="T17" s="56" t="s">
        <v>2</v>
      </c>
      <c r="U17" s="55" t="s">
        <v>2</v>
      </c>
      <c r="V17" s="56" t="s">
        <v>2</v>
      </c>
      <c r="W17" s="55" t="s">
        <v>2</v>
      </c>
      <c r="X17" s="56" t="s">
        <v>2</v>
      </c>
      <c r="Y17" s="55" t="s">
        <v>2</v>
      </c>
      <c r="Z17" s="56" t="s">
        <v>2</v>
      </c>
      <c r="AA17" s="55" t="s">
        <v>2</v>
      </c>
      <c r="AB17" s="56" t="s">
        <v>2</v>
      </c>
      <c r="AC17" s="55" t="s">
        <v>2</v>
      </c>
      <c r="AD17" s="56" t="s">
        <v>2</v>
      </c>
      <c r="AE17" s="55">
        <v>5</v>
      </c>
      <c r="AF17" s="56">
        <v>120</v>
      </c>
      <c r="AG17" s="55">
        <v>5</v>
      </c>
      <c r="AH17" s="56">
        <v>125</v>
      </c>
      <c r="AI17" s="55">
        <v>5</v>
      </c>
      <c r="AJ17" s="56">
        <v>150</v>
      </c>
      <c r="AK17" s="55" t="s">
        <v>2</v>
      </c>
      <c r="AL17" s="56" t="s">
        <v>2</v>
      </c>
      <c r="AM17" s="55" t="s">
        <v>2</v>
      </c>
      <c r="AN17" s="56" t="s">
        <v>2</v>
      </c>
      <c r="AO17" s="55">
        <v>7</v>
      </c>
      <c r="AP17" s="56">
        <v>155</v>
      </c>
      <c r="AQ17" s="55" t="s">
        <v>2</v>
      </c>
      <c r="AR17" s="56" t="s">
        <v>2</v>
      </c>
      <c r="AS17" s="55">
        <v>8</v>
      </c>
      <c r="AT17" s="56">
        <v>120</v>
      </c>
      <c r="AU17" s="55" t="s">
        <v>2</v>
      </c>
      <c r="AV17" s="56" t="s">
        <v>2</v>
      </c>
      <c r="AW17" s="55" t="s">
        <v>2</v>
      </c>
      <c r="AX17" s="56" t="s">
        <v>2</v>
      </c>
      <c r="AY17" s="55" t="s">
        <v>2</v>
      </c>
      <c r="AZ17" s="56" t="s">
        <v>2</v>
      </c>
      <c r="BA17" s="55" t="s">
        <v>2</v>
      </c>
      <c r="BB17" s="56" t="s">
        <v>2</v>
      </c>
      <c r="BC17" s="55">
        <v>5</v>
      </c>
      <c r="BD17" s="56">
        <v>160</v>
      </c>
      <c r="BE17" s="55" t="s">
        <v>2</v>
      </c>
      <c r="BF17" s="56" t="s">
        <v>2</v>
      </c>
      <c r="BG17" s="55" t="s">
        <v>2</v>
      </c>
      <c r="BH17" s="56" t="s">
        <v>2</v>
      </c>
      <c r="BI17" s="55" t="s">
        <v>2</v>
      </c>
      <c r="BJ17" s="56" t="s">
        <v>2</v>
      </c>
      <c r="BK17" s="55" t="s">
        <v>2</v>
      </c>
      <c r="BL17" s="56" t="s">
        <v>2</v>
      </c>
      <c r="BM17" s="55" t="s">
        <v>2</v>
      </c>
      <c r="BN17" s="56" t="s">
        <v>2</v>
      </c>
      <c r="BO17" s="55">
        <v>5</v>
      </c>
      <c r="BP17" s="56">
        <v>185</v>
      </c>
      <c r="BQ17" s="55" t="s">
        <v>2</v>
      </c>
      <c r="BR17" s="56" t="s">
        <v>2</v>
      </c>
      <c r="BS17" s="55">
        <v>7</v>
      </c>
      <c r="BT17" s="56">
        <v>190</v>
      </c>
      <c r="BU17" s="55">
        <v>9</v>
      </c>
      <c r="BV17" s="56">
        <v>220</v>
      </c>
      <c r="BW17" s="55" t="s">
        <v>2</v>
      </c>
      <c r="BX17" s="56" t="s">
        <v>2</v>
      </c>
      <c r="BY17" s="55">
        <v>7</v>
      </c>
      <c r="BZ17" s="56">
        <v>220</v>
      </c>
      <c r="CA17" s="55">
        <v>11</v>
      </c>
      <c r="CB17" s="56">
        <v>220</v>
      </c>
      <c r="CC17" s="55">
        <v>9</v>
      </c>
      <c r="CD17" s="56">
        <v>160</v>
      </c>
      <c r="CE17" s="55" t="s">
        <v>2</v>
      </c>
      <c r="CF17" s="56" t="s">
        <v>2</v>
      </c>
      <c r="CG17" s="55">
        <v>8</v>
      </c>
      <c r="CH17" s="56">
        <v>200</v>
      </c>
      <c r="CI17" s="55">
        <v>6</v>
      </c>
      <c r="CJ17" s="56">
        <v>185</v>
      </c>
      <c r="CK17" s="55">
        <v>6</v>
      </c>
      <c r="CL17" s="56">
        <v>223</v>
      </c>
      <c r="CM17" s="55">
        <v>7</v>
      </c>
      <c r="CN17" s="56">
        <v>250</v>
      </c>
      <c r="CO17" s="55">
        <v>5</v>
      </c>
      <c r="CP17" s="56">
        <v>180</v>
      </c>
      <c r="CQ17" s="55">
        <v>8</v>
      </c>
      <c r="CR17" s="56">
        <v>235</v>
      </c>
      <c r="CS17" s="55">
        <v>6</v>
      </c>
      <c r="CT17" s="56">
        <v>280</v>
      </c>
      <c r="CU17" s="55">
        <v>7</v>
      </c>
      <c r="CV17" s="56">
        <v>250</v>
      </c>
      <c r="CW17" s="55">
        <v>6</v>
      </c>
      <c r="CX17" s="56">
        <v>218</v>
      </c>
      <c r="CY17" s="55">
        <v>15</v>
      </c>
      <c r="CZ17" s="56">
        <v>270</v>
      </c>
      <c r="DA17" s="55">
        <v>7</v>
      </c>
      <c r="DB17" s="56">
        <v>250</v>
      </c>
      <c r="DC17" s="55">
        <v>5</v>
      </c>
      <c r="DD17" s="56">
        <v>195</v>
      </c>
      <c r="DE17" s="55" t="s">
        <v>2</v>
      </c>
      <c r="DF17" s="56" t="s">
        <v>2</v>
      </c>
      <c r="DG17" s="55">
        <v>5</v>
      </c>
      <c r="DH17" s="56">
        <v>290</v>
      </c>
      <c r="DI17" s="55">
        <v>7</v>
      </c>
      <c r="DJ17" s="56">
        <v>290</v>
      </c>
      <c r="DK17" s="55">
        <v>7</v>
      </c>
      <c r="DL17" s="56">
        <v>290</v>
      </c>
      <c r="DM17" s="55" t="s">
        <v>2</v>
      </c>
      <c r="DN17" s="56" t="s">
        <v>2</v>
      </c>
      <c r="DO17" s="55">
        <v>6</v>
      </c>
      <c r="DP17" s="56">
        <v>253</v>
      </c>
      <c r="DQ17" s="55" t="s">
        <v>2</v>
      </c>
      <c r="DR17" s="56" t="s">
        <v>2</v>
      </c>
      <c r="DS17" s="55">
        <v>11</v>
      </c>
      <c r="DT17" s="56">
        <v>280</v>
      </c>
      <c r="DU17" s="55">
        <v>11</v>
      </c>
      <c r="DV17" s="56">
        <v>260</v>
      </c>
      <c r="DW17" s="55">
        <v>8</v>
      </c>
      <c r="DX17" s="56">
        <v>260</v>
      </c>
      <c r="DY17" s="55">
        <v>6</v>
      </c>
      <c r="DZ17" s="56">
        <v>260</v>
      </c>
      <c r="EA17" s="55">
        <v>10</v>
      </c>
      <c r="EB17" s="56">
        <v>260</v>
      </c>
      <c r="EC17" s="55">
        <v>11</v>
      </c>
      <c r="ED17" s="56">
        <v>245</v>
      </c>
      <c r="EE17" s="55">
        <v>9</v>
      </c>
      <c r="EF17" s="56">
        <v>260</v>
      </c>
      <c r="EG17" s="55">
        <v>6</v>
      </c>
      <c r="EH17" s="56">
        <v>315</v>
      </c>
      <c r="EI17" s="55">
        <v>7</v>
      </c>
      <c r="EJ17" s="56">
        <v>230</v>
      </c>
      <c r="EK17" s="55">
        <v>5</v>
      </c>
      <c r="EL17" s="56">
        <v>290</v>
      </c>
      <c r="EM17" s="55">
        <v>10</v>
      </c>
      <c r="EN17" s="56">
        <v>285</v>
      </c>
      <c r="EO17" s="55">
        <v>5</v>
      </c>
      <c r="EP17" s="56">
        <v>320</v>
      </c>
      <c r="EQ17" s="55">
        <v>10</v>
      </c>
      <c r="ER17" s="56">
        <v>308</v>
      </c>
      <c r="ES17" s="55">
        <v>6</v>
      </c>
      <c r="ET17" s="56">
        <v>245</v>
      </c>
      <c r="EU17" s="55">
        <v>13</v>
      </c>
      <c r="EV17" s="56">
        <v>300</v>
      </c>
      <c r="EW17" s="55">
        <v>6</v>
      </c>
      <c r="EX17" s="56">
        <v>235</v>
      </c>
      <c r="EY17" s="55">
        <v>12</v>
      </c>
      <c r="EZ17" s="56">
        <v>315</v>
      </c>
      <c r="FA17" s="55">
        <v>5</v>
      </c>
      <c r="FB17" s="56">
        <v>240</v>
      </c>
      <c r="FC17" s="55" t="s">
        <v>2</v>
      </c>
      <c r="FD17" s="56" t="s">
        <v>2</v>
      </c>
      <c r="FE17" s="55">
        <v>6</v>
      </c>
      <c r="FF17" s="56">
        <v>308</v>
      </c>
      <c r="FG17" s="55">
        <v>5</v>
      </c>
      <c r="FH17" s="56">
        <v>295</v>
      </c>
      <c r="FI17" s="55" t="s">
        <v>2</v>
      </c>
      <c r="FJ17" s="56" t="s">
        <v>2</v>
      </c>
      <c r="FK17" s="55">
        <v>5</v>
      </c>
      <c r="FL17" s="56">
        <v>300</v>
      </c>
      <c r="FM17" s="55">
        <v>8</v>
      </c>
      <c r="FN17" s="56">
        <v>308</v>
      </c>
      <c r="FO17" s="55" t="s">
        <v>2</v>
      </c>
      <c r="FP17" s="56" t="s">
        <v>2</v>
      </c>
      <c r="FQ17" s="55">
        <v>7</v>
      </c>
      <c r="FR17" s="56">
        <v>325</v>
      </c>
      <c r="FS17" s="55">
        <v>6</v>
      </c>
      <c r="FT17" s="56">
        <v>288</v>
      </c>
      <c r="FU17" s="55">
        <v>10</v>
      </c>
      <c r="FV17" s="56">
        <v>303</v>
      </c>
      <c r="FW17" s="55" t="s">
        <v>2</v>
      </c>
      <c r="FX17" s="56" t="s">
        <v>2</v>
      </c>
      <c r="FY17" s="55">
        <v>6</v>
      </c>
      <c r="FZ17" s="56">
        <v>345</v>
      </c>
      <c r="GA17" s="55" t="s">
        <v>2</v>
      </c>
      <c r="GB17" s="56" t="s">
        <v>2</v>
      </c>
      <c r="GC17" s="55" t="s">
        <v>2</v>
      </c>
      <c r="GD17" s="56" t="s">
        <v>2</v>
      </c>
      <c r="GE17" s="55" t="s">
        <v>2</v>
      </c>
      <c r="GF17" s="56" t="s">
        <v>2</v>
      </c>
      <c r="GG17" s="55" t="s">
        <v>2</v>
      </c>
      <c r="GH17" s="56" t="s">
        <v>2</v>
      </c>
      <c r="GI17" s="55">
        <v>7</v>
      </c>
      <c r="GJ17" s="56">
        <v>360</v>
      </c>
      <c r="GK17" s="55">
        <v>6</v>
      </c>
      <c r="GL17" s="56">
        <v>330</v>
      </c>
      <c r="GM17" s="55" t="s">
        <v>2</v>
      </c>
      <c r="GN17" s="56" t="s">
        <v>2</v>
      </c>
      <c r="GO17" s="55" t="s">
        <v>2</v>
      </c>
      <c r="GP17" s="56" t="s">
        <v>2</v>
      </c>
      <c r="GQ17" s="55" t="s">
        <v>2</v>
      </c>
      <c r="GR17" s="56" t="s">
        <v>2</v>
      </c>
      <c r="GS17" s="55">
        <v>5</v>
      </c>
      <c r="GT17" s="56">
        <v>350</v>
      </c>
      <c r="GU17" s="55">
        <v>12</v>
      </c>
      <c r="GV17" s="56">
        <v>355</v>
      </c>
      <c r="GW17" s="55">
        <v>8</v>
      </c>
      <c r="GX17" s="56">
        <v>335</v>
      </c>
      <c r="GY17" s="55">
        <v>8</v>
      </c>
      <c r="GZ17" s="56">
        <v>405</v>
      </c>
      <c r="HA17">
        <v>6</v>
      </c>
      <c r="HB17" s="56">
        <v>375</v>
      </c>
      <c r="HC17">
        <v>7</v>
      </c>
      <c r="HD17" s="56">
        <v>400</v>
      </c>
      <c r="HE17" t="s">
        <v>2</v>
      </c>
      <c r="HF17" s="56" t="s">
        <v>2</v>
      </c>
    </row>
    <row r="18" spans="1:214" x14ac:dyDescent="0.25">
      <c r="A18" s="53"/>
      <c r="B18" s="54" t="s">
        <v>758</v>
      </c>
      <c r="C18" s="55" t="s">
        <v>2</v>
      </c>
      <c r="D18" s="56" t="s">
        <v>2</v>
      </c>
      <c r="E18" s="55" t="s">
        <v>2</v>
      </c>
      <c r="F18" s="56" t="s">
        <v>2</v>
      </c>
      <c r="G18" s="55" t="s">
        <v>2</v>
      </c>
      <c r="H18" s="56" t="s">
        <v>2</v>
      </c>
      <c r="I18" s="55" t="s">
        <v>2</v>
      </c>
      <c r="J18" s="56" t="s">
        <v>2</v>
      </c>
      <c r="K18" s="55" t="s">
        <v>2</v>
      </c>
      <c r="L18" s="56" t="s">
        <v>2</v>
      </c>
      <c r="M18" s="55" t="s">
        <v>2</v>
      </c>
      <c r="N18" s="56" t="s">
        <v>2</v>
      </c>
      <c r="O18" s="55" t="s">
        <v>2</v>
      </c>
      <c r="P18" s="56" t="s">
        <v>2</v>
      </c>
      <c r="Q18" s="55" t="s">
        <v>2</v>
      </c>
      <c r="R18" s="56" t="s">
        <v>2</v>
      </c>
      <c r="S18" s="55" t="s">
        <v>2</v>
      </c>
      <c r="T18" s="56" t="s">
        <v>2</v>
      </c>
      <c r="U18" s="55" t="s">
        <v>2</v>
      </c>
      <c r="V18" s="56" t="s">
        <v>2</v>
      </c>
      <c r="W18" s="55" t="s">
        <v>2</v>
      </c>
      <c r="X18" s="56" t="s">
        <v>2</v>
      </c>
      <c r="Y18" s="55" t="s">
        <v>2</v>
      </c>
      <c r="Z18" s="56" t="s">
        <v>2</v>
      </c>
      <c r="AA18" s="55" t="s">
        <v>2</v>
      </c>
      <c r="AB18" s="56" t="s">
        <v>2</v>
      </c>
      <c r="AC18" s="55" t="s">
        <v>2</v>
      </c>
      <c r="AD18" s="56" t="s">
        <v>2</v>
      </c>
      <c r="AE18" s="55" t="s">
        <v>2</v>
      </c>
      <c r="AF18" s="56" t="s">
        <v>2</v>
      </c>
      <c r="AG18" s="55" t="s">
        <v>2</v>
      </c>
      <c r="AH18" s="56" t="s">
        <v>2</v>
      </c>
      <c r="AI18" s="55" t="s">
        <v>2</v>
      </c>
      <c r="AJ18" s="56" t="s">
        <v>2</v>
      </c>
      <c r="AK18" s="55" t="s">
        <v>2</v>
      </c>
      <c r="AL18" s="56" t="s">
        <v>2</v>
      </c>
      <c r="AM18" s="55" t="s">
        <v>2</v>
      </c>
      <c r="AN18" s="56" t="s">
        <v>2</v>
      </c>
      <c r="AO18" s="55" t="s">
        <v>2</v>
      </c>
      <c r="AP18" s="56" t="s">
        <v>2</v>
      </c>
      <c r="AQ18" s="55" t="s">
        <v>2</v>
      </c>
      <c r="AR18" s="56" t="s">
        <v>2</v>
      </c>
      <c r="AS18" s="55" t="s">
        <v>2</v>
      </c>
      <c r="AT18" s="56" t="s">
        <v>2</v>
      </c>
      <c r="AU18" s="55" t="s">
        <v>2</v>
      </c>
      <c r="AV18" s="56" t="s">
        <v>2</v>
      </c>
      <c r="AW18" s="55" t="s">
        <v>2</v>
      </c>
      <c r="AX18" s="56" t="s">
        <v>2</v>
      </c>
      <c r="AY18" s="55" t="s">
        <v>2</v>
      </c>
      <c r="AZ18" s="56" t="s">
        <v>2</v>
      </c>
      <c r="BA18" s="55" t="s">
        <v>2</v>
      </c>
      <c r="BB18" s="56" t="s">
        <v>2</v>
      </c>
      <c r="BC18" s="55" t="s">
        <v>2</v>
      </c>
      <c r="BD18" s="56" t="s">
        <v>2</v>
      </c>
      <c r="BE18" s="55" t="s">
        <v>2</v>
      </c>
      <c r="BF18" s="56" t="s">
        <v>2</v>
      </c>
      <c r="BG18" s="55" t="s">
        <v>2</v>
      </c>
      <c r="BH18" s="56" t="s">
        <v>2</v>
      </c>
      <c r="BI18" s="55" t="s">
        <v>2</v>
      </c>
      <c r="BJ18" s="56" t="s">
        <v>2</v>
      </c>
      <c r="BK18" s="55" t="s">
        <v>2</v>
      </c>
      <c r="BL18" s="56" t="s">
        <v>2</v>
      </c>
      <c r="BM18" s="55" t="s">
        <v>2</v>
      </c>
      <c r="BN18" s="56" t="s">
        <v>2</v>
      </c>
      <c r="BO18" s="55" t="s">
        <v>2</v>
      </c>
      <c r="BP18" s="56" t="s">
        <v>2</v>
      </c>
      <c r="BQ18" s="55" t="s">
        <v>2</v>
      </c>
      <c r="BR18" s="56" t="s">
        <v>2</v>
      </c>
      <c r="BS18" s="55" t="s">
        <v>2</v>
      </c>
      <c r="BT18" s="56" t="s">
        <v>2</v>
      </c>
      <c r="BU18" s="55" t="s">
        <v>2</v>
      </c>
      <c r="BV18" s="56" t="s">
        <v>2</v>
      </c>
      <c r="BW18" s="55" t="s">
        <v>2</v>
      </c>
      <c r="BX18" s="56" t="s">
        <v>2</v>
      </c>
      <c r="BY18" s="55" t="s">
        <v>2</v>
      </c>
      <c r="BZ18" s="56" t="s">
        <v>2</v>
      </c>
      <c r="CA18" s="55" t="s">
        <v>2</v>
      </c>
      <c r="CB18" s="56" t="s">
        <v>2</v>
      </c>
      <c r="CC18" s="55" t="s">
        <v>2</v>
      </c>
      <c r="CD18" s="56" t="s">
        <v>2</v>
      </c>
      <c r="CE18" s="55" t="s">
        <v>2</v>
      </c>
      <c r="CF18" s="56" t="s">
        <v>2</v>
      </c>
      <c r="CG18" s="55" t="s">
        <v>2</v>
      </c>
      <c r="CH18" s="56" t="s">
        <v>2</v>
      </c>
      <c r="CI18" s="55" t="s">
        <v>2</v>
      </c>
      <c r="CJ18" s="56" t="s">
        <v>2</v>
      </c>
      <c r="CK18" s="55" t="s">
        <v>2</v>
      </c>
      <c r="CL18" s="56" t="s">
        <v>2</v>
      </c>
      <c r="CM18" s="55" t="s">
        <v>2</v>
      </c>
      <c r="CN18" s="56" t="s">
        <v>2</v>
      </c>
      <c r="CO18" s="55" t="s">
        <v>2</v>
      </c>
      <c r="CP18" s="56" t="s">
        <v>2</v>
      </c>
      <c r="CQ18" s="55" t="s">
        <v>2</v>
      </c>
      <c r="CR18" s="56" t="s">
        <v>2</v>
      </c>
      <c r="CS18" s="55" t="s">
        <v>2</v>
      </c>
      <c r="CT18" s="56" t="s">
        <v>2</v>
      </c>
      <c r="CU18" s="55" t="s">
        <v>2</v>
      </c>
      <c r="CV18" s="56" t="s">
        <v>2</v>
      </c>
      <c r="CW18" s="55" t="s">
        <v>2</v>
      </c>
      <c r="CX18" s="56" t="s">
        <v>2</v>
      </c>
      <c r="CY18" s="55" t="s">
        <v>2</v>
      </c>
      <c r="CZ18" s="56" t="s">
        <v>2</v>
      </c>
      <c r="DA18" s="55" t="s">
        <v>2</v>
      </c>
      <c r="DB18" s="56" t="s">
        <v>2</v>
      </c>
      <c r="DC18" s="55" t="s">
        <v>2</v>
      </c>
      <c r="DD18" s="56" t="s">
        <v>2</v>
      </c>
      <c r="DE18" s="55" t="s">
        <v>2</v>
      </c>
      <c r="DF18" s="56" t="s">
        <v>2</v>
      </c>
      <c r="DG18" s="55" t="s">
        <v>2</v>
      </c>
      <c r="DH18" s="56" t="s">
        <v>2</v>
      </c>
      <c r="DI18" s="55" t="s">
        <v>2</v>
      </c>
      <c r="DJ18" s="56" t="s">
        <v>2</v>
      </c>
      <c r="DK18" s="55" t="s">
        <v>2</v>
      </c>
      <c r="DL18" s="56" t="s">
        <v>2</v>
      </c>
      <c r="DM18" s="55" t="s">
        <v>2</v>
      </c>
      <c r="DN18" s="56" t="s">
        <v>2</v>
      </c>
      <c r="DO18" s="55" t="s">
        <v>2</v>
      </c>
      <c r="DP18" s="56" t="s">
        <v>2</v>
      </c>
      <c r="DQ18" s="55" t="s">
        <v>2</v>
      </c>
      <c r="DR18" s="56" t="s">
        <v>2</v>
      </c>
      <c r="DS18" s="55" t="s">
        <v>2</v>
      </c>
      <c r="DT18" s="56" t="s">
        <v>2</v>
      </c>
      <c r="DU18" s="55" t="s">
        <v>2</v>
      </c>
      <c r="DV18" s="56" t="s">
        <v>2</v>
      </c>
      <c r="DW18" s="55" t="s">
        <v>2</v>
      </c>
      <c r="DX18" s="56" t="s">
        <v>2</v>
      </c>
      <c r="DY18" s="55" t="s">
        <v>2</v>
      </c>
      <c r="DZ18" s="56" t="s">
        <v>2</v>
      </c>
      <c r="EA18" s="55" t="s">
        <v>2</v>
      </c>
      <c r="EB18" s="56" t="s">
        <v>2</v>
      </c>
      <c r="EC18" s="55" t="s">
        <v>2</v>
      </c>
      <c r="ED18" s="56" t="s">
        <v>2</v>
      </c>
      <c r="EE18" s="55" t="s">
        <v>2</v>
      </c>
      <c r="EF18" s="56" t="s">
        <v>2</v>
      </c>
      <c r="EG18" s="55" t="s">
        <v>2</v>
      </c>
      <c r="EH18" s="56" t="s">
        <v>2</v>
      </c>
      <c r="EI18" s="55" t="s">
        <v>2</v>
      </c>
      <c r="EJ18" s="56" t="s">
        <v>2</v>
      </c>
      <c r="EK18" s="55" t="s">
        <v>2</v>
      </c>
      <c r="EL18" s="56" t="s">
        <v>2</v>
      </c>
      <c r="EM18" s="55" t="s">
        <v>2</v>
      </c>
      <c r="EN18" s="56" t="s">
        <v>2</v>
      </c>
      <c r="EO18" s="55" t="s">
        <v>2</v>
      </c>
      <c r="EP18" s="56" t="s">
        <v>2</v>
      </c>
      <c r="EQ18" s="55" t="s">
        <v>2</v>
      </c>
      <c r="ER18" s="56" t="s">
        <v>2</v>
      </c>
      <c r="ES18" s="55" t="s">
        <v>2</v>
      </c>
      <c r="ET18" s="56" t="s">
        <v>2</v>
      </c>
      <c r="EU18" s="55" t="s">
        <v>2</v>
      </c>
      <c r="EV18" s="56" t="s">
        <v>2</v>
      </c>
      <c r="EW18" s="55" t="s">
        <v>2</v>
      </c>
      <c r="EX18" s="56" t="s">
        <v>2</v>
      </c>
      <c r="EY18" s="55" t="s">
        <v>2</v>
      </c>
      <c r="EZ18" s="56" t="s">
        <v>2</v>
      </c>
      <c r="FA18" s="55" t="s">
        <v>2</v>
      </c>
      <c r="FB18" s="56" t="s">
        <v>2</v>
      </c>
      <c r="FC18" s="55" t="s">
        <v>2</v>
      </c>
      <c r="FD18" s="56" t="s">
        <v>2</v>
      </c>
      <c r="FE18" s="55" t="s">
        <v>2</v>
      </c>
      <c r="FF18" s="56" t="s">
        <v>2</v>
      </c>
      <c r="FG18" s="55" t="s">
        <v>2</v>
      </c>
      <c r="FH18" s="56" t="s">
        <v>2</v>
      </c>
      <c r="FI18" s="55">
        <v>5</v>
      </c>
      <c r="FJ18" s="56">
        <v>220</v>
      </c>
      <c r="FK18" s="55" t="s">
        <v>2</v>
      </c>
      <c r="FL18" s="56" t="s">
        <v>2</v>
      </c>
      <c r="FM18" s="55" t="s">
        <v>2</v>
      </c>
      <c r="FN18" s="56" t="s">
        <v>2</v>
      </c>
      <c r="FO18" s="55" t="s">
        <v>2</v>
      </c>
      <c r="FP18" s="56" t="s">
        <v>2</v>
      </c>
      <c r="FQ18" s="55" t="s">
        <v>2</v>
      </c>
      <c r="FR18" s="56" t="s">
        <v>2</v>
      </c>
      <c r="FS18" s="55" t="s">
        <v>2</v>
      </c>
      <c r="FT18" s="56" t="s">
        <v>2</v>
      </c>
      <c r="FU18" s="55" t="s">
        <v>2</v>
      </c>
      <c r="FV18" s="56" t="s">
        <v>2</v>
      </c>
      <c r="FW18" s="55" t="s">
        <v>2</v>
      </c>
      <c r="FX18" s="56" t="s">
        <v>2</v>
      </c>
      <c r="FY18" s="55" t="s">
        <v>2</v>
      </c>
      <c r="FZ18" s="56" t="s">
        <v>2</v>
      </c>
      <c r="GA18" s="55" t="s">
        <v>2</v>
      </c>
      <c r="GB18" s="56" t="s">
        <v>2</v>
      </c>
      <c r="GC18" s="55" t="s">
        <v>2</v>
      </c>
      <c r="GD18" s="56" t="s">
        <v>2</v>
      </c>
      <c r="GE18" s="55" t="s">
        <v>2</v>
      </c>
      <c r="GF18" s="56" t="s">
        <v>2</v>
      </c>
      <c r="GG18" s="55" t="s">
        <v>2</v>
      </c>
      <c r="GH18" s="56" t="s">
        <v>2</v>
      </c>
      <c r="GI18" s="55" t="s">
        <v>2</v>
      </c>
      <c r="GJ18" s="56" t="s">
        <v>2</v>
      </c>
      <c r="GK18" s="55" t="s">
        <v>2</v>
      </c>
      <c r="GL18" s="56" t="s">
        <v>2</v>
      </c>
      <c r="GM18" s="55" t="s">
        <v>2</v>
      </c>
      <c r="GN18" s="56" t="s">
        <v>2</v>
      </c>
      <c r="GO18" s="55" t="s">
        <v>2</v>
      </c>
      <c r="GP18" s="56" t="s">
        <v>2</v>
      </c>
      <c r="GQ18" s="55" t="s">
        <v>2</v>
      </c>
      <c r="GR18" s="56" t="s">
        <v>2</v>
      </c>
      <c r="GS18" s="55" t="s">
        <v>2</v>
      </c>
      <c r="GT18" s="56" t="s">
        <v>2</v>
      </c>
      <c r="GU18" s="55" t="s">
        <v>2</v>
      </c>
      <c r="GV18" s="56" t="s">
        <v>2</v>
      </c>
      <c r="GW18" s="55" t="s">
        <v>2</v>
      </c>
      <c r="GX18" s="56" t="s">
        <v>2</v>
      </c>
      <c r="GY18" s="55" t="s">
        <v>2</v>
      </c>
      <c r="GZ18" s="56" t="s">
        <v>2</v>
      </c>
      <c r="HA18" t="s">
        <v>2</v>
      </c>
      <c r="HB18" s="56" t="s">
        <v>2</v>
      </c>
      <c r="HC18" t="s">
        <v>2</v>
      </c>
      <c r="HD18" s="56" t="s">
        <v>2</v>
      </c>
      <c r="HE18" t="s">
        <v>2</v>
      </c>
      <c r="HF18" s="56" t="s">
        <v>2</v>
      </c>
    </row>
    <row r="19" spans="1:214" x14ac:dyDescent="0.25">
      <c r="A19" s="53"/>
      <c r="B19" s="54" t="s">
        <v>759</v>
      </c>
      <c r="C19" s="55">
        <v>50</v>
      </c>
      <c r="D19" s="56">
        <v>98</v>
      </c>
      <c r="E19" s="55">
        <v>70</v>
      </c>
      <c r="F19" s="56">
        <v>105</v>
      </c>
      <c r="G19" s="55">
        <v>48</v>
      </c>
      <c r="H19" s="56">
        <v>113</v>
      </c>
      <c r="I19" s="55">
        <v>63</v>
      </c>
      <c r="J19" s="56">
        <v>100</v>
      </c>
      <c r="K19" s="55">
        <v>53</v>
      </c>
      <c r="L19" s="56">
        <v>105</v>
      </c>
      <c r="M19" s="55">
        <v>66</v>
      </c>
      <c r="N19" s="56">
        <v>115</v>
      </c>
      <c r="O19" s="55">
        <v>55</v>
      </c>
      <c r="P19" s="56">
        <v>120</v>
      </c>
      <c r="Q19" s="55">
        <v>46</v>
      </c>
      <c r="R19" s="56">
        <v>110</v>
      </c>
      <c r="S19" s="55">
        <v>43</v>
      </c>
      <c r="T19" s="56">
        <v>110</v>
      </c>
      <c r="U19" s="55">
        <v>44</v>
      </c>
      <c r="V19" s="56">
        <v>118</v>
      </c>
      <c r="W19" s="55">
        <v>53</v>
      </c>
      <c r="X19" s="56">
        <v>120</v>
      </c>
      <c r="Y19" s="55">
        <v>49</v>
      </c>
      <c r="Z19" s="56">
        <v>120</v>
      </c>
      <c r="AA19" s="55">
        <v>38</v>
      </c>
      <c r="AB19" s="56">
        <v>115</v>
      </c>
      <c r="AC19" s="55">
        <v>55</v>
      </c>
      <c r="AD19" s="56">
        <v>125</v>
      </c>
      <c r="AE19" s="55">
        <v>31</v>
      </c>
      <c r="AF19" s="56">
        <v>120</v>
      </c>
      <c r="AG19" s="55">
        <v>64</v>
      </c>
      <c r="AH19" s="56">
        <v>125</v>
      </c>
      <c r="AI19" s="55">
        <v>32</v>
      </c>
      <c r="AJ19" s="56">
        <v>130</v>
      </c>
      <c r="AK19" s="55">
        <v>50</v>
      </c>
      <c r="AL19" s="56">
        <v>128</v>
      </c>
      <c r="AM19" s="55">
        <v>50</v>
      </c>
      <c r="AN19" s="56">
        <v>130</v>
      </c>
      <c r="AO19" s="55">
        <v>43</v>
      </c>
      <c r="AP19" s="56">
        <v>130</v>
      </c>
      <c r="AQ19" s="55">
        <v>39</v>
      </c>
      <c r="AR19" s="56">
        <v>135</v>
      </c>
      <c r="AS19" s="55">
        <v>38</v>
      </c>
      <c r="AT19" s="56">
        <v>130</v>
      </c>
      <c r="AU19" s="55">
        <v>55</v>
      </c>
      <c r="AV19" s="56">
        <v>135</v>
      </c>
      <c r="AW19" s="55">
        <v>66</v>
      </c>
      <c r="AX19" s="56">
        <v>138</v>
      </c>
      <c r="AY19" s="55">
        <v>42</v>
      </c>
      <c r="AZ19" s="56">
        <v>138</v>
      </c>
      <c r="BA19" s="55">
        <v>29</v>
      </c>
      <c r="BB19" s="56">
        <v>140</v>
      </c>
      <c r="BC19" s="55">
        <v>34</v>
      </c>
      <c r="BD19" s="56">
        <v>150</v>
      </c>
      <c r="BE19" s="55">
        <v>52</v>
      </c>
      <c r="BF19" s="56">
        <v>145</v>
      </c>
      <c r="BG19" s="55">
        <v>34</v>
      </c>
      <c r="BH19" s="56">
        <v>150</v>
      </c>
      <c r="BI19" s="55">
        <v>41</v>
      </c>
      <c r="BJ19" s="56">
        <v>150</v>
      </c>
      <c r="BK19" s="55">
        <v>25</v>
      </c>
      <c r="BL19" s="56">
        <v>140</v>
      </c>
      <c r="BM19" s="55">
        <v>53</v>
      </c>
      <c r="BN19" s="56">
        <v>145</v>
      </c>
      <c r="BO19" s="55">
        <v>43</v>
      </c>
      <c r="BP19" s="56">
        <v>140</v>
      </c>
      <c r="BQ19" s="55">
        <v>40</v>
      </c>
      <c r="BR19" s="56">
        <v>150</v>
      </c>
      <c r="BS19" s="55">
        <v>35</v>
      </c>
      <c r="BT19" s="56">
        <v>140</v>
      </c>
      <c r="BU19" s="55">
        <v>59</v>
      </c>
      <c r="BV19" s="56">
        <v>145</v>
      </c>
      <c r="BW19" s="55">
        <v>43</v>
      </c>
      <c r="BX19" s="56">
        <v>140</v>
      </c>
      <c r="BY19" s="55">
        <v>40</v>
      </c>
      <c r="BZ19" s="56">
        <v>158</v>
      </c>
      <c r="CA19" s="55">
        <v>34</v>
      </c>
      <c r="CB19" s="56">
        <v>153</v>
      </c>
      <c r="CC19" s="55">
        <v>39</v>
      </c>
      <c r="CD19" s="56">
        <v>160</v>
      </c>
      <c r="CE19" s="55">
        <v>38</v>
      </c>
      <c r="CF19" s="56">
        <v>160</v>
      </c>
      <c r="CG19" s="55">
        <v>42</v>
      </c>
      <c r="CH19" s="56">
        <v>155</v>
      </c>
      <c r="CI19" s="55">
        <v>37</v>
      </c>
      <c r="CJ19" s="56">
        <v>160</v>
      </c>
      <c r="CK19" s="55">
        <v>43</v>
      </c>
      <c r="CL19" s="56">
        <v>175</v>
      </c>
      <c r="CM19" s="55">
        <v>37</v>
      </c>
      <c r="CN19" s="56">
        <v>165</v>
      </c>
      <c r="CO19" s="55">
        <v>35</v>
      </c>
      <c r="CP19" s="56">
        <v>160</v>
      </c>
      <c r="CQ19" s="55">
        <v>37</v>
      </c>
      <c r="CR19" s="56">
        <v>180</v>
      </c>
      <c r="CS19" s="55">
        <v>53</v>
      </c>
      <c r="CT19" s="56">
        <v>170</v>
      </c>
      <c r="CU19" s="55">
        <v>37</v>
      </c>
      <c r="CV19" s="56">
        <v>170</v>
      </c>
      <c r="CW19" s="55">
        <v>34</v>
      </c>
      <c r="CX19" s="56">
        <v>175</v>
      </c>
      <c r="CY19" s="55">
        <v>33</v>
      </c>
      <c r="CZ19" s="56">
        <v>170</v>
      </c>
      <c r="DA19" s="55">
        <v>55</v>
      </c>
      <c r="DB19" s="56">
        <v>180</v>
      </c>
      <c r="DC19" s="55">
        <v>34</v>
      </c>
      <c r="DD19" s="56">
        <v>178</v>
      </c>
      <c r="DE19" s="55">
        <v>42</v>
      </c>
      <c r="DF19" s="56">
        <v>180</v>
      </c>
      <c r="DG19" s="55">
        <v>40</v>
      </c>
      <c r="DH19" s="56">
        <v>180</v>
      </c>
      <c r="DI19" s="55">
        <v>47</v>
      </c>
      <c r="DJ19" s="56">
        <v>195</v>
      </c>
      <c r="DK19" s="55">
        <v>31</v>
      </c>
      <c r="DL19" s="56">
        <v>220</v>
      </c>
      <c r="DM19" s="55">
        <v>40</v>
      </c>
      <c r="DN19" s="56">
        <v>190</v>
      </c>
      <c r="DO19" s="55">
        <v>39</v>
      </c>
      <c r="DP19" s="56">
        <v>180</v>
      </c>
      <c r="DQ19" s="55">
        <v>54</v>
      </c>
      <c r="DR19" s="56">
        <v>198</v>
      </c>
      <c r="DS19" s="55">
        <v>42</v>
      </c>
      <c r="DT19" s="56">
        <v>203</v>
      </c>
      <c r="DU19" s="55">
        <v>30</v>
      </c>
      <c r="DV19" s="56">
        <v>220</v>
      </c>
      <c r="DW19" s="55">
        <v>34</v>
      </c>
      <c r="DX19" s="56">
        <v>210</v>
      </c>
      <c r="DY19" s="55">
        <v>48</v>
      </c>
      <c r="DZ19" s="56">
        <v>220</v>
      </c>
      <c r="EA19" s="55">
        <v>43</v>
      </c>
      <c r="EB19" s="56">
        <v>200</v>
      </c>
      <c r="EC19" s="55">
        <v>48</v>
      </c>
      <c r="ED19" s="56">
        <v>215</v>
      </c>
      <c r="EE19" s="55">
        <v>50</v>
      </c>
      <c r="EF19" s="56">
        <v>220</v>
      </c>
      <c r="EG19" s="55">
        <v>43</v>
      </c>
      <c r="EH19" s="56">
        <v>210</v>
      </c>
      <c r="EI19" s="55">
        <v>37</v>
      </c>
      <c r="EJ19" s="56">
        <v>195</v>
      </c>
      <c r="EK19" s="55">
        <v>47</v>
      </c>
      <c r="EL19" s="56">
        <v>205</v>
      </c>
      <c r="EM19" s="55">
        <v>30</v>
      </c>
      <c r="EN19" s="56">
        <v>200</v>
      </c>
      <c r="EO19" s="55">
        <v>53</v>
      </c>
      <c r="EP19" s="56">
        <v>195</v>
      </c>
      <c r="EQ19" s="55">
        <v>35</v>
      </c>
      <c r="ER19" s="56">
        <v>210</v>
      </c>
      <c r="ES19" s="55">
        <v>49</v>
      </c>
      <c r="ET19" s="56">
        <v>225</v>
      </c>
      <c r="EU19" s="55">
        <v>29</v>
      </c>
      <c r="EV19" s="56">
        <v>230</v>
      </c>
      <c r="EW19" s="55">
        <v>48</v>
      </c>
      <c r="EX19" s="56">
        <v>210</v>
      </c>
      <c r="EY19" s="55">
        <v>27</v>
      </c>
      <c r="EZ19" s="56">
        <v>210</v>
      </c>
      <c r="FA19" s="55">
        <v>45</v>
      </c>
      <c r="FB19" s="56">
        <v>210</v>
      </c>
      <c r="FC19" s="55">
        <v>36</v>
      </c>
      <c r="FD19" s="56">
        <v>235</v>
      </c>
      <c r="FE19" s="55">
        <v>36</v>
      </c>
      <c r="FF19" s="56">
        <v>215</v>
      </c>
      <c r="FG19" s="55">
        <v>36</v>
      </c>
      <c r="FH19" s="56">
        <v>230</v>
      </c>
      <c r="FI19" s="55">
        <v>37</v>
      </c>
      <c r="FJ19" s="56">
        <v>240</v>
      </c>
      <c r="FK19" s="55">
        <v>40</v>
      </c>
      <c r="FL19" s="56">
        <v>248</v>
      </c>
      <c r="FM19" s="55">
        <v>49</v>
      </c>
      <c r="FN19" s="56">
        <v>245</v>
      </c>
      <c r="FO19" s="55">
        <v>33</v>
      </c>
      <c r="FP19" s="56">
        <v>250</v>
      </c>
      <c r="FQ19" s="55">
        <v>37</v>
      </c>
      <c r="FR19" s="56">
        <v>235</v>
      </c>
      <c r="FS19" s="55">
        <v>28</v>
      </c>
      <c r="FT19" s="56">
        <v>260</v>
      </c>
      <c r="FU19" s="55">
        <v>33</v>
      </c>
      <c r="FV19" s="56">
        <v>260</v>
      </c>
      <c r="FW19" s="55">
        <v>32</v>
      </c>
      <c r="FX19" s="56">
        <v>280</v>
      </c>
      <c r="FY19" s="55">
        <v>42</v>
      </c>
      <c r="FZ19" s="56">
        <v>280</v>
      </c>
      <c r="GA19" s="55">
        <v>28</v>
      </c>
      <c r="GB19" s="56">
        <v>273</v>
      </c>
      <c r="GC19" s="55">
        <v>38</v>
      </c>
      <c r="GD19" s="56">
        <v>260</v>
      </c>
      <c r="GE19" s="55">
        <v>34</v>
      </c>
      <c r="GF19" s="56">
        <v>280</v>
      </c>
      <c r="GG19" s="55">
        <v>32</v>
      </c>
      <c r="GH19" s="56">
        <v>300</v>
      </c>
      <c r="GI19" s="55">
        <v>41</v>
      </c>
      <c r="GJ19" s="56">
        <v>300</v>
      </c>
      <c r="GK19" s="55">
        <v>33</v>
      </c>
      <c r="GL19" s="56">
        <v>310</v>
      </c>
      <c r="GM19" s="55">
        <v>23</v>
      </c>
      <c r="GN19" s="56">
        <v>310</v>
      </c>
      <c r="GO19" s="55">
        <v>29</v>
      </c>
      <c r="GP19" s="56">
        <v>300</v>
      </c>
      <c r="GQ19" s="55">
        <v>24</v>
      </c>
      <c r="GR19" s="56">
        <v>288</v>
      </c>
      <c r="GS19" s="55">
        <v>21</v>
      </c>
      <c r="GT19" s="56">
        <v>330</v>
      </c>
      <c r="GU19" s="55">
        <v>20</v>
      </c>
      <c r="GV19" s="56">
        <v>300</v>
      </c>
      <c r="GW19" s="55">
        <v>39</v>
      </c>
      <c r="GX19" s="56">
        <v>310</v>
      </c>
      <c r="GY19" s="55">
        <v>23</v>
      </c>
      <c r="GZ19" s="56">
        <v>315</v>
      </c>
      <c r="HA19">
        <v>27</v>
      </c>
      <c r="HB19" s="56">
        <v>300</v>
      </c>
      <c r="HC19">
        <v>17</v>
      </c>
      <c r="HD19" s="56">
        <v>320</v>
      </c>
      <c r="HE19">
        <v>20</v>
      </c>
      <c r="HF19" s="56">
        <v>350</v>
      </c>
    </row>
    <row r="20" spans="1:214" x14ac:dyDescent="0.25">
      <c r="A20" s="53"/>
      <c r="B20" s="54" t="s">
        <v>760</v>
      </c>
      <c r="C20" s="55">
        <v>13</v>
      </c>
      <c r="D20" s="56">
        <v>125</v>
      </c>
      <c r="E20" s="55">
        <v>16</v>
      </c>
      <c r="F20" s="56">
        <v>125</v>
      </c>
      <c r="G20" s="55">
        <v>10</v>
      </c>
      <c r="H20" s="56">
        <v>130</v>
      </c>
      <c r="I20" s="55">
        <v>17</v>
      </c>
      <c r="J20" s="56">
        <v>125</v>
      </c>
      <c r="K20" s="55">
        <v>19</v>
      </c>
      <c r="L20" s="56">
        <v>125</v>
      </c>
      <c r="M20" s="55">
        <v>25</v>
      </c>
      <c r="N20" s="56">
        <v>125</v>
      </c>
      <c r="O20" s="55">
        <v>15</v>
      </c>
      <c r="P20" s="56">
        <v>125</v>
      </c>
      <c r="Q20" s="55">
        <v>14</v>
      </c>
      <c r="R20" s="56">
        <v>125</v>
      </c>
      <c r="S20" s="55">
        <v>18</v>
      </c>
      <c r="T20" s="56">
        <v>130</v>
      </c>
      <c r="U20" s="55">
        <v>19</v>
      </c>
      <c r="V20" s="56">
        <v>125</v>
      </c>
      <c r="W20" s="55">
        <v>12</v>
      </c>
      <c r="X20" s="56">
        <v>130</v>
      </c>
      <c r="Y20" s="55">
        <v>11</v>
      </c>
      <c r="Z20" s="56">
        <v>135</v>
      </c>
      <c r="AA20" s="55">
        <v>17</v>
      </c>
      <c r="AB20" s="56">
        <v>135</v>
      </c>
      <c r="AC20" s="55">
        <v>11</v>
      </c>
      <c r="AD20" s="56">
        <v>125</v>
      </c>
      <c r="AE20" s="55">
        <v>14</v>
      </c>
      <c r="AF20" s="56">
        <v>135</v>
      </c>
      <c r="AG20" s="55">
        <v>17</v>
      </c>
      <c r="AH20" s="56">
        <v>140</v>
      </c>
      <c r="AI20" s="55">
        <v>11</v>
      </c>
      <c r="AJ20" s="56">
        <v>140</v>
      </c>
      <c r="AK20" s="55">
        <v>15</v>
      </c>
      <c r="AL20" s="56">
        <v>145</v>
      </c>
      <c r="AM20" s="55">
        <v>14</v>
      </c>
      <c r="AN20" s="56">
        <v>150</v>
      </c>
      <c r="AO20" s="55">
        <v>18</v>
      </c>
      <c r="AP20" s="56">
        <v>140</v>
      </c>
      <c r="AQ20" s="55">
        <v>16</v>
      </c>
      <c r="AR20" s="56">
        <v>147</v>
      </c>
      <c r="AS20" s="55">
        <v>17</v>
      </c>
      <c r="AT20" s="56">
        <v>145</v>
      </c>
      <c r="AU20" s="55">
        <v>17</v>
      </c>
      <c r="AV20" s="56">
        <v>160</v>
      </c>
      <c r="AW20" s="55">
        <v>18</v>
      </c>
      <c r="AX20" s="56">
        <v>155</v>
      </c>
      <c r="AY20" s="55">
        <v>26</v>
      </c>
      <c r="AZ20" s="56">
        <v>148</v>
      </c>
      <c r="BA20" s="55">
        <v>12</v>
      </c>
      <c r="BB20" s="56">
        <v>145</v>
      </c>
      <c r="BC20" s="55">
        <v>19</v>
      </c>
      <c r="BD20" s="56">
        <v>160</v>
      </c>
      <c r="BE20" s="55">
        <v>28</v>
      </c>
      <c r="BF20" s="56">
        <v>150</v>
      </c>
      <c r="BG20" s="55">
        <v>16</v>
      </c>
      <c r="BH20" s="56">
        <v>145</v>
      </c>
      <c r="BI20" s="55">
        <v>13</v>
      </c>
      <c r="BJ20" s="56">
        <v>150</v>
      </c>
      <c r="BK20" s="55">
        <v>19</v>
      </c>
      <c r="BL20" s="56">
        <v>150</v>
      </c>
      <c r="BM20" s="55">
        <v>21</v>
      </c>
      <c r="BN20" s="56">
        <v>160</v>
      </c>
      <c r="BO20" s="55">
        <v>17</v>
      </c>
      <c r="BP20" s="56">
        <v>160</v>
      </c>
      <c r="BQ20" s="55">
        <v>14</v>
      </c>
      <c r="BR20" s="56">
        <v>160</v>
      </c>
      <c r="BS20" s="55">
        <v>21</v>
      </c>
      <c r="BT20" s="56">
        <v>160</v>
      </c>
      <c r="BU20" s="55">
        <v>11</v>
      </c>
      <c r="BV20" s="56">
        <v>175</v>
      </c>
      <c r="BW20" s="55">
        <v>10</v>
      </c>
      <c r="BX20" s="56">
        <v>170</v>
      </c>
      <c r="BY20" s="55">
        <v>19</v>
      </c>
      <c r="BZ20" s="56">
        <v>175</v>
      </c>
      <c r="CA20" s="55">
        <v>18</v>
      </c>
      <c r="CB20" s="56">
        <v>178</v>
      </c>
      <c r="CC20" s="55">
        <v>23</v>
      </c>
      <c r="CD20" s="56">
        <v>180</v>
      </c>
      <c r="CE20" s="55">
        <v>5</v>
      </c>
      <c r="CF20" s="56">
        <v>190</v>
      </c>
      <c r="CG20" s="55">
        <v>12</v>
      </c>
      <c r="CH20" s="56">
        <v>193</v>
      </c>
      <c r="CI20" s="55">
        <v>8</v>
      </c>
      <c r="CJ20" s="56">
        <v>183</v>
      </c>
      <c r="CK20" s="55">
        <v>18</v>
      </c>
      <c r="CL20" s="56">
        <v>198</v>
      </c>
      <c r="CM20" s="55">
        <v>17</v>
      </c>
      <c r="CN20" s="56">
        <v>200</v>
      </c>
      <c r="CO20" s="55">
        <v>16</v>
      </c>
      <c r="CP20" s="56">
        <v>203</v>
      </c>
      <c r="CQ20" s="55">
        <v>14</v>
      </c>
      <c r="CR20" s="56">
        <v>205</v>
      </c>
      <c r="CS20" s="55">
        <v>13</v>
      </c>
      <c r="CT20" s="56">
        <v>210</v>
      </c>
      <c r="CU20" s="55">
        <v>6</v>
      </c>
      <c r="CV20" s="56">
        <v>217</v>
      </c>
      <c r="CW20" s="55">
        <v>16</v>
      </c>
      <c r="CX20" s="56">
        <v>215</v>
      </c>
      <c r="CY20" s="55">
        <v>10</v>
      </c>
      <c r="CZ20" s="56">
        <v>205</v>
      </c>
      <c r="DA20" s="55">
        <v>30</v>
      </c>
      <c r="DB20" s="56">
        <v>223</v>
      </c>
      <c r="DC20" s="55">
        <v>13</v>
      </c>
      <c r="DD20" s="56">
        <v>220</v>
      </c>
      <c r="DE20" s="55">
        <v>17</v>
      </c>
      <c r="DF20" s="56">
        <v>245</v>
      </c>
      <c r="DG20" s="55">
        <v>11</v>
      </c>
      <c r="DH20" s="56">
        <v>220</v>
      </c>
      <c r="DI20" s="55">
        <v>21</v>
      </c>
      <c r="DJ20" s="56">
        <v>230</v>
      </c>
      <c r="DK20" s="55">
        <v>15</v>
      </c>
      <c r="DL20" s="56">
        <v>220</v>
      </c>
      <c r="DM20" s="55">
        <v>24</v>
      </c>
      <c r="DN20" s="56">
        <v>220</v>
      </c>
      <c r="DO20" s="55">
        <v>21</v>
      </c>
      <c r="DP20" s="56">
        <v>220</v>
      </c>
      <c r="DQ20" s="55">
        <v>17</v>
      </c>
      <c r="DR20" s="56">
        <v>220</v>
      </c>
      <c r="DS20" s="55">
        <v>18</v>
      </c>
      <c r="DT20" s="56">
        <v>223</v>
      </c>
      <c r="DU20" s="55">
        <v>17</v>
      </c>
      <c r="DV20" s="56">
        <v>240</v>
      </c>
      <c r="DW20" s="55">
        <v>15</v>
      </c>
      <c r="DX20" s="56">
        <v>230</v>
      </c>
      <c r="DY20" s="55">
        <v>13</v>
      </c>
      <c r="DZ20" s="56">
        <v>230</v>
      </c>
      <c r="EA20" s="55">
        <v>15</v>
      </c>
      <c r="EB20" s="56">
        <v>250</v>
      </c>
      <c r="EC20" s="55">
        <v>26</v>
      </c>
      <c r="ED20" s="56">
        <v>240</v>
      </c>
      <c r="EE20" s="55">
        <v>13</v>
      </c>
      <c r="EF20" s="56">
        <v>260</v>
      </c>
      <c r="EG20" s="55">
        <v>14</v>
      </c>
      <c r="EH20" s="56">
        <v>240</v>
      </c>
      <c r="EI20" s="55">
        <v>18</v>
      </c>
      <c r="EJ20" s="56">
        <v>260</v>
      </c>
      <c r="EK20" s="55">
        <v>26</v>
      </c>
      <c r="EL20" s="56">
        <v>250</v>
      </c>
      <c r="EM20" s="55">
        <v>12</v>
      </c>
      <c r="EN20" s="56">
        <v>245</v>
      </c>
      <c r="EO20" s="55">
        <v>19</v>
      </c>
      <c r="EP20" s="56">
        <v>280</v>
      </c>
      <c r="EQ20" s="55">
        <v>16</v>
      </c>
      <c r="ER20" s="56">
        <v>250</v>
      </c>
      <c r="ES20" s="55">
        <v>26</v>
      </c>
      <c r="ET20" s="56">
        <v>278</v>
      </c>
      <c r="EU20" s="55">
        <v>11</v>
      </c>
      <c r="EV20" s="56">
        <v>280</v>
      </c>
      <c r="EW20" s="55">
        <v>13</v>
      </c>
      <c r="EX20" s="56">
        <v>288</v>
      </c>
      <c r="EY20" s="55">
        <v>19</v>
      </c>
      <c r="EZ20" s="56">
        <v>250</v>
      </c>
      <c r="FA20" s="55">
        <v>24</v>
      </c>
      <c r="FB20" s="56">
        <v>280</v>
      </c>
      <c r="FC20" s="55">
        <v>15</v>
      </c>
      <c r="FD20" s="56">
        <v>290</v>
      </c>
      <c r="FE20" s="55">
        <v>20</v>
      </c>
      <c r="FF20" s="56">
        <v>275</v>
      </c>
      <c r="FG20" s="55">
        <v>18</v>
      </c>
      <c r="FH20" s="56">
        <v>298</v>
      </c>
      <c r="FI20" s="55">
        <v>15</v>
      </c>
      <c r="FJ20" s="56">
        <v>275</v>
      </c>
      <c r="FK20" s="55">
        <v>16</v>
      </c>
      <c r="FL20" s="56">
        <v>285</v>
      </c>
      <c r="FM20" s="55">
        <v>18</v>
      </c>
      <c r="FN20" s="56">
        <v>280</v>
      </c>
      <c r="FO20" s="55">
        <v>25</v>
      </c>
      <c r="FP20" s="56">
        <v>300</v>
      </c>
      <c r="FQ20" s="55">
        <v>16</v>
      </c>
      <c r="FR20" s="56">
        <v>300</v>
      </c>
      <c r="FS20" s="55">
        <v>22</v>
      </c>
      <c r="FT20" s="56">
        <v>325</v>
      </c>
      <c r="FU20" s="55">
        <v>16</v>
      </c>
      <c r="FV20" s="56">
        <v>290</v>
      </c>
      <c r="FW20" s="55">
        <v>20</v>
      </c>
      <c r="FX20" s="56">
        <v>320</v>
      </c>
      <c r="FY20" s="55">
        <v>9</v>
      </c>
      <c r="FZ20" s="56">
        <v>330</v>
      </c>
      <c r="GA20" s="55">
        <v>13</v>
      </c>
      <c r="GB20" s="56">
        <v>315</v>
      </c>
      <c r="GC20" s="55">
        <v>12</v>
      </c>
      <c r="GD20" s="56">
        <v>320</v>
      </c>
      <c r="GE20" s="55">
        <v>19</v>
      </c>
      <c r="GF20" s="56">
        <v>350</v>
      </c>
      <c r="GG20" s="55">
        <v>14</v>
      </c>
      <c r="GH20" s="56">
        <v>350</v>
      </c>
      <c r="GI20" s="55">
        <v>15</v>
      </c>
      <c r="GJ20" s="56">
        <v>330</v>
      </c>
      <c r="GK20" s="55">
        <v>22</v>
      </c>
      <c r="GL20" s="56">
        <v>353</v>
      </c>
      <c r="GM20" s="55">
        <v>14</v>
      </c>
      <c r="GN20" s="56">
        <v>345</v>
      </c>
      <c r="GO20" s="55">
        <v>18</v>
      </c>
      <c r="GP20" s="56">
        <v>360</v>
      </c>
      <c r="GQ20" s="55">
        <v>19</v>
      </c>
      <c r="GR20" s="56">
        <v>330</v>
      </c>
      <c r="GS20" s="55">
        <v>11</v>
      </c>
      <c r="GT20" s="56">
        <v>345</v>
      </c>
      <c r="GU20" s="55">
        <v>20</v>
      </c>
      <c r="GV20" s="56">
        <v>380</v>
      </c>
      <c r="GW20" s="55">
        <v>8</v>
      </c>
      <c r="GX20" s="56">
        <v>380</v>
      </c>
      <c r="GY20" s="55">
        <v>14</v>
      </c>
      <c r="GZ20" s="56">
        <v>400</v>
      </c>
      <c r="HA20">
        <v>14</v>
      </c>
      <c r="HB20" s="56">
        <v>395</v>
      </c>
      <c r="HC20">
        <v>15</v>
      </c>
      <c r="HD20" s="56">
        <v>380</v>
      </c>
      <c r="HE20">
        <v>18</v>
      </c>
      <c r="HF20" s="56">
        <v>355</v>
      </c>
    </row>
    <row r="21" spans="1:214" x14ac:dyDescent="0.25">
      <c r="A21" s="53"/>
      <c r="B21" s="54" t="s">
        <v>761</v>
      </c>
      <c r="C21" s="55">
        <v>16</v>
      </c>
      <c r="D21" s="56">
        <v>93</v>
      </c>
      <c r="E21" s="55">
        <v>11</v>
      </c>
      <c r="F21" s="56">
        <v>95</v>
      </c>
      <c r="G21" s="55">
        <v>19</v>
      </c>
      <c r="H21" s="56">
        <v>95</v>
      </c>
      <c r="I21" s="55">
        <v>14</v>
      </c>
      <c r="J21" s="56">
        <v>95</v>
      </c>
      <c r="K21" s="55">
        <v>14</v>
      </c>
      <c r="L21" s="56">
        <v>98</v>
      </c>
      <c r="M21" s="55">
        <v>10</v>
      </c>
      <c r="N21" s="56">
        <v>90</v>
      </c>
      <c r="O21" s="55">
        <v>14</v>
      </c>
      <c r="P21" s="56">
        <v>100</v>
      </c>
      <c r="Q21" s="55">
        <v>15</v>
      </c>
      <c r="R21" s="56">
        <v>100</v>
      </c>
      <c r="S21" s="55">
        <v>18</v>
      </c>
      <c r="T21" s="56">
        <v>95</v>
      </c>
      <c r="U21" s="55">
        <v>10</v>
      </c>
      <c r="V21" s="56">
        <v>98</v>
      </c>
      <c r="W21" s="55">
        <v>9</v>
      </c>
      <c r="X21" s="56">
        <v>100</v>
      </c>
      <c r="Y21" s="55">
        <v>13</v>
      </c>
      <c r="Z21" s="56">
        <v>95</v>
      </c>
      <c r="AA21" s="55">
        <v>15</v>
      </c>
      <c r="AB21" s="56">
        <v>100</v>
      </c>
      <c r="AC21" s="55">
        <v>8</v>
      </c>
      <c r="AD21" s="56">
        <v>105</v>
      </c>
      <c r="AE21" s="55">
        <v>7</v>
      </c>
      <c r="AF21" s="56">
        <v>90</v>
      </c>
      <c r="AG21" s="55">
        <v>15</v>
      </c>
      <c r="AH21" s="56">
        <v>110</v>
      </c>
      <c r="AI21" s="55">
        <v>11</v>
      </c>
      <c r="AJ21" s="56">
        <v>100</v>
      </c>
      <c r="AK21" s="55">
        <v>11</v>
      </c>
      <c r="AL21" s="56">
        <v>100</v>
      </c>
      <c r="AM21" s="55">
        <v>12</v>
      </c>
      <c r="AN21" s="56">
        <v>100</v>
      </c>
      <c r="AO21" s="55">
        <v>13</v>
      </c>
      <c r="AP21" s="56">
        <v>100</v>
      </c>
      <c r="AQ21" s="55">
        <v>19</v>
      </c>
      <c r="AR21" s="56">
        <v>105</v>
      </c>
      <c r="AS21" s="55">
        <v>12</v>
      </c>
      <c r="AT21" s="56">
        <v>100</v>
      </c>
      <c r="AU21" s="55">
        <v>13</v>
      </c>
      <c r="AV21" s="56">
        <v>100</v>
      </c>
      <c r="AW21" s="55">
        <v>14</v>
      </c>
      <c r="AX21" s="56">
        <v>104</v>
      </c>
      <c r="AY21" s="55">
        <v>22</v>
      </c>
      <c r="AZ21" s="56">
        <v>100</v>
      </c>
      <c r="BA21" s="55">
        <v>14</v>
      </c>
      <c r="BB21" s="56">
        <v>113</v>
      </c>
      <c r="BC21" s="55">
        <v>10</v>
      </c>
      <c r="BD21" s="56">
        <v>113</v>
      </c>
      <c r="BE21" s="55">
        <v>13</v>
      </c>
      <c r="BF21" s="56">
        <v>110</v>
      </c>
      <c r="BG21" s="55">
        <v>8</v>
      </c>
      <c r="BH21" s="56">
        <v>110</v>
      </c>
      <c r="BI21" s="55">
        <v>8</v>
      </c>
      <c r="BJ21" s="56">
        <v>98</v>
      </c>
      <c r="BK21" s="55">
        <v>10</v>
      </c>
      <c r="BL21" s="56">
        <v>103</v>
      </c>
      <c r="BM21" s="55">
        <v>15</v>
      </c>
      <c r="BN21" s="56">
        <v>105</v>
      </c>
      <c r="BO21" s="55">
        <v>16</v>
      </c>
      <c r="BP21" s="56">
        <v>115</v>
      </c>
      <c r="BQ21" s="55">
        <v>12</v>
      </c>
      <c r="BR21" s="56">
        <v>115</v>
      </c>
      <c r="BS21" s="55">
        <v>11</v>
      </c>
      <c r="BT21" s="56">
        <v>110</v>
      </c>
      <c r="BU21" s="55">
        <v>13</v>
      </c>
      <c r="BV21" s="56">
        <v>110</v>
      </c>
      <c r="BW21" s="55">
        <v>14</v>
      </c>
      <c r="BX21" s="56">
        <v>105</v>
      </c>
      <c r="BY21" s="55">
        <v>17</v>
      </c>
      <c r="BZ21" s="56">
        <v>110</v>
      </c>
      <c r="CA21" s="55">
        <v>14</v>
      </c>
      <c r="CB21" s="56">
        <v>100</v>
      </c>
      <c r="CC21" s="55">
        <v>15</v>
      </c>
      <c r="CD21" s="56">
        <v>110</v>
      </c>
      <c r="CE21" s="55">
        <v>10</v>
      </c>
      <c r="CF21" s="56">
        <v>113</v>
      </c>
      <c r="CG21" s="55">
        <v>16</v>
      </c>
      <c r="CH21" s="56">
        <v>120</v>
      </c>
      <c r="CI21" s="55">
        <v>11</v>
      </c>
      <c r="CJ21" s="56">
        <v>120</v>
      </c>
      <c r="CK21" s="55">
        <v>16</v>
      </c>
      <c r="CL21" s="56">
        <v>128</v>
      </c>
      <c r="CM21" s="55">
        <v>10</v>
      </c>
      <c r="CN21" s="56">
        <v>120</v>
      </c>
      <c r="CO21" s="55">
        <v>16</v>
      </c>
      <c r="CP21" s="56">
        <v>125</v>
      </c>
      <c r="CQ21" s="55">
        <v>12</v>
      </c>
      <c r="CR21" s="56">
        <v>130</v>
      </c>
      <c r="CS21" s="55">
        <v>10</v>
      </c>
      <c r="CT21" s="56">
        <v>134</v>
      </c>
      <c r="CU21" s="55">
        <v>9</v>
      </c>
      <c r="CV21" s="56">
        <v>125</v>
      </c>
      <c r="CW21" s="55">
        <v>8</v>
      </c>
      <c r="CX21" s="56">
        <v>138</v>
      </c>
      <c r="CY21" s="55">
        <v>13</v>
      </c>
      <c r="CZ21" s="56">
        <v>140</v>
      </c>
      <c r="DA21" s="55">
        <v>10</v>
      </c>
      <c r="DB21" s="56">
        <v>130</v>
      </c>
      <c r="DC21" s="55">
        <v>6</v>
      </c>
      <c r="DD21" s="56">
        <v>145</v>
      </c>
      <c r="DE21" s="55">
        <v>14</v>
      </c>
      <c r="DF21" s="56">
        <v>148</v>
      </c>
      <c r="DG21" s="55">
        <v>12</v>
      </c>
      <c r="DH21" s="56">
        <v>147</v>
      </c>
      <c r="DI21" s="55">
        <v>11</v>
      </c>
      <c r="DJ21" s="56">
        <v>155</v>
      </c>
      <c r="DK21" s="55">
        <v>9</v>
      </c>
      <c r="DL21" s="56">
        <v>150</v>
      </c>
      <c r="DM21" s="55">
        <v>11</v>
      </c>
      <c r="DN21" s="56">
        <v>140</v>
      </c>
      <c r="DO21" s="55">
        <v>10</v>
      </c>
      <c r="DP21" s="56">
        <v>153</v>
      </c>
      <c r="DQ21" s="55">
        <v>10</v>
      </c>
      <c r="DR21" s="56">
        <v>150</v>
      </c>
      <c r="DS21" s="55">
        <v>13</v>
      </c>
      <c r="DT21" s="56">
        <v>150</v>
      </c>
      <c r="DU21" s="55">
        <v>8</v>
      </c>
      <c r="DV21" s="56">
        <v>150</v>
      </c>
      <c r="DW21" s="55">
        <v>9</v>
      </c>
      <c r="DX21" s="56">
        <v>170</v>
      </c>
      <c r="DY21" s="55">
        <v>13</v>
      </c>
      <c r="DZ21" s="56">
        <v>150</v>
      </c>
      <c r="EA21" s="55">
        <v>7</v>
      </c>
      <c r="EB21" s="56">
        <v>160</v>
      </c>
      <c r="EC21" s="55">
        <v>7</v>
      </c>
      <c r="ED21" s="56">
        <v>150</v>
      </c>
      <c r="EE21" s="55">
        <v>12</v>
      </c>
      <c r="EF21" s="56">
        <v>163</v>
      </c>
      <c r="EG21" s="55">
        <v>14</v>
      </c>
      <c r="EH21" s="56">
        <v>163</v>
      </c>
      <c r="EI21" s="55">
        <v>7</v>
      </c>
      <c r="EJ21" s="56">
        <v>155</v>
      </c>
      <c r="EK21" s="55">
        <v>13</v>
      </c>
      <c r="EL21" s="56">
        <v>165</v>
      </c>
      <c r="EM21" s="55">
        <v>14</v>
      </c>
      <c r="EN21" s="56">
        <v>160</v>
      </c>
      <c r="EO21" s="55">
        <v>9</v>
      </c>
      <c r="EP21" s="56">
        <v>180</v>
      </c>
      <c r="EQ21" s="55">
        <v>11</v>
      </c>
      <c r="ER21" s="56">
        <v>155</v>
      </c>
      <c r="ES21" s="55">
        <v>11</v>
      </c>
      <c r="ET21" s="56">
        <v>180</v>
      </c>
      <c r="EU21" s="55">
        <v>18</v>
      </c>
      <c r="EV21" s="56">
        <v>160</v>
      </c>
      <c r="EW21" s="55">
        <v>8</v>
      </c>
      <c r="EX21" s="56">
        <v>155</v>
      </c>
      <c r="EY21" s="55">
        <v>13</v>
      </c>
      <c r="EZ21" s="56">
        <v>160</v>
      </c>
      <c r="FA21" s="55">
        <v>9</v>
      </c>
      <c r="FB21" s="56">
        <v>170</v>
      </c>
      <c r="FC21" s="55">
        <v>11</v>
      </c>
      <c r="FD21" s="56">
        <v>170</v>
      </c>
      <c r="FE21" s="55">
        <v>13</v>
      </c>
      <c r="FF21" s="56">
        <v>170</v>
      </c>
      <c r="FG21" s="55">
        <v>12</v>
      </c>
      <c r="FH21" s="56">
        <v>168</v>
      </c>
      <c r="FI21" s="55">
        <v>5</v>
      </c>
      <c r="FJ21" s="56">
        <v>210</v>
      </c>
      <c r="FK21" s="55">
        <v>9</v>
      </c>
      <c r="FL21" s="56">
        <v>175</v>
      </c>
      <c r="FM21" s="55">
        <v>9</v>
      </c>
      <c r="FN21" s="56">
        <v>160</v>
      </c>
      <c r="FO21" s="55">
        <v>8</v>
      </c>
      <c r="FP21" s="56">
        <v>178</v>
      </c>
      <c r="FQ21" s="55" t="s">
        <v>2</v>
      </c>
      <c r="FR21" s="56" t="s">
        <v>2</v>
      </c>
      <c r="FS21" s="55" t="s">
        <v>2</v>
      </c>
      <c r="FT21" s="56" t="s">
        <v>2</v>
      </c>
      <c r="FU21" s="55">
        <v>7</v>
      </c>
      <c r="FV21" s="56">
        <v>210</v>
      </c>
      <c r="FW21" s="55">
        <v>9</v>
      </c>
      <c r="FX21" s="56">
        <v>185</v>
      </c>
      <c r="FY21" s="55">
        <v>9</v>
      </c>
      <c r="FZ21" s="56">
        <v>185</v>
      </c>
      <c r="GA21" s="55">
        <v>5</v>
      </c>
      <c r="GB21" s="56">
        <v>200</v>
      </c>
      <c r="GC21" s="55">
        <v>11</v>
      </c>
      <c r="GD21" s="56">
        <v>195</v>
      </c>
      <c r="GE21" s="55">
        <v>8</v>
      </c>
      <c r="GF21" s="56">
        <v>210</v>
      </c>
      <c r="GG21" s="55">
        <v>9</v>
      </c>
      <c r="GH21" s="56">
        <v>215</v>
      </c>
      <c r="GI21" s="55">
        <v>8</v>
      </c>
      <c r="GJ21" s="56">
        <v>225</v>
      </c>
      <c r="GK21" s="55">
        <v>8</v>
      </c>
      <c r="GL21" s="56">
        <v>235</v>
      </c>
      <c r="GM21" s="55">
        <v>9</v>
      </c>
      <c r="GN21" s="56">
        <v>250</v>
      </c>
      <c r="GO21" s="55">
        <v>6</v>
      </c>
      <c r="GP21" s="56">
        <v>263</v>
      </c>
      <c r="GQ21" s="55">
        <v>12</v>
      </c>
      <c r="GR21" s="56">
        <v>250</v>
      </c>
      <c r="GS21" s="55" t="s">
        <v>2</v>
      </c>
      <c r="GT21" s="56" t="s">
        <v>2</v>
      </c>
      <c r="GU21" s="55">
        <v>12</v>
      </c>
      <c r="GV21" s="56">
        <v>260</v>
      </c>
      <c r="GW21" s="55">
        <v>7</v>
      </c>
      <c r="GX21" s="56">
        <v>265</v>
      </c>
      <c r="GY21" s="55">
        <v>7</v>
      </c>
      <c r="GZ21" s="56">
        <v>255</v>
      </c>
      <c r="HA21">
        <v>9</v>
      </c>
      <c r="HB21" s="56">
        <v>288</v>
      </c>
      <c r="HC21" t="s">
        <v>2</v>
      </c>
      <c r="HD21" s="56" t="s">
        <v>2</v>
      </c>
      <c r="HE21">
        <v>6</v>
      </c>
      <c r="HF21" s="56">
        <v>258</v>
      </c>
    </row>
    <row r="22" spans="1:214" x14ac:dyDescent="0.25">
      <c r="A22" s="53"/>
      <c r="B22" s="54" t="s">
        <v>762</v>
      </c>
      <c r="C22" s="55" t="s">
        <v>2</v>
      </c>
      <c r="D22" s="56" t="s">
        <v>2</v>
      </c>
      <c r="E22" s="55" t="s">
        <v>2</v>
      </c>
      <c r="F22" s="56" t="s">
        <v>2</v>
      </c>
      <c r="G22" s="55" t="s">
        <v>2</v>
      </c>
      <c r="H22" s="56" t="s">
        <v>2</v>
      </c>
      <c r="I22" s="55" t="s">
        <v>2</v>
      </c>
      <c r="J22" s="56" t="s">
        <v>2</v>
      </c>
      <c r="K22" s="55" t="s">
        <v>2</v>
      </c>
      <c r="L22" s="56" t="s">
        <v>2</v>
      </c>
      <c r="M22" s="55" t="s">
        <v>2</v>
      </c>
      <c r="N22" s="56" t="s">
        <v>2</v>
      </c>
      <c r="O22" s="55" t="s">
        <v>2</v>
      </c>
      <c r="P22" s="56" t="s">
        <v>2</v>
      </c>
      <c r="Q22" s="55" t="s">
        <v>2</v>
      </c>
      <c r="R22" s="56" t="s">
        <v>2</v>
      </c>
      <c r="S22" s="55" t="s">
        <v>2</v>
      </c>
      <c r="T22" s="56" t="s">
        <v>2</v>
      </c>
      <c r="U22" s="55" t="s">
        <v>2</v>
      </c>
      <c r="V22" s="56" t="s">
        <v>2</v>
      </c>
      <c r="W22" s="55" t="s">
        <v>2</v>
      </c>
      <c r="X22" s="56" t="s">
        <v>2</v>
      </c>
      <c r="Y22" s="55" t="s">
        <v>2</v>
      </c>
      <c r="Z22" s="56" t="s">
        <v>2</v>
      </c>
      <c r="AA22" s="55" t="s">
        <v>2</v>
      </c>
      <c r="AB22" s="56" t="s">
        <v>2</v>
      </c>
      <c r="AC22" s="55" t="s">
        <v>2</v>
      </c>
      <c r="AD22" s="56" t="s">
        <v>2</v>
      </c>
      <c r="AE22" s="55" t="s">
        <v>2</v>
      </c>
      <c r="AF22" s="56" t="s">
        <v>2</v>
      </c>
      <c r="AG22" s="55" t="s">
        <v>2</v>
      </c>
      <c r="AH22" s="56" t="s">
        <v>2</v>
      </c>
      <c r="AI22" s="55" t="s">
        <v>2</v>
      </c>
      <c r="AJ22" s="56" t="s">
        <v>2</v>
      </c>
      <c r="AK22" s="55" t="s">
        <v>2</v>
      </c>
      <c r="AL22" s="56" t="s">
        <v>2</v>
      </c>
      <c r="AM22" s="55" t="s">
        <v>2</v>
      </c>
      <c r="AN22" s="56" t="s">
        <v>2</v>
      </c>
      <c r="AO22" s="55" t="s">
        <v>2</v>
      </c>
      <c r="AP22" s="56" t="s">
        <v>2</v>
      </c>
      <c r="AQ22" s="55" t="s">
        <v>2</v>
      </c>
      <c r="AR22" s="56" t="s">
        <v>2</v>
      </c>
      <c r="AS22" s="55" t="s">
        <v>2</v>
      </c>
      <c r="AT22" s="56" t="s">
        <v>2</v>
      </c>
      <c r="AU22" s="55" t="s">
        <v>2</v>
      </c>
      <c r="AV22" s="56" t="s">
        <v>2</v>
      </c>
      <c r="AW22" s="55" t="s">
        <v>2</v>
      </c>
      <c r="AX22" s="56" t="s">
        <v>2</v>
      </c>
      <c r="AY22" s="55" t="s">
        <v>2</v>
      </c>
      <c r="AZ22" s="56" t="s">
        <v>2</v>
      </c>
      <c r="BA22" s="55" t="s">
        <v>2</v>
      </c>
      <c r="BB22" s="56" t="s">
        <v>2</v>
      </c>
      <c r="BC22" s="55" t="s">
        <v>2</v>
      </c>
      <c r="BD22" s="56" t="s">
        <v>2</v>
      </c>
      <c r="BE22" s="55" t="s">
        <v>2</v>
      </c>
      <c r="BF22" s="56" t="s">
        <v>2</v>
      </c>
      <c r="BG22" s="55" t="s">
        <v>2</v>
      </c>
      <c r="BH22" s="56" t="s">
        <v>2</v>
      </c>
      <c r="BI22" s="55" t="s">
        <v>2</v>
      </c>
      <c r="BJ22" s="56" t="s">
        <v>2</v>
      </c>
      <c r="BK22" s="55" t="s">
        <v>2</v>
      </c>
      <c r="BL22" s="56" t="s">
        <v>2</v>
      </c>
      <c r="BM22" s="55" t="s">
        <v>2</v>
      </c>
      <c r="BN22" s="56" t="s">
        <v>2</v>
      </c>
      <c r="BO22" s="55" t="s">
        <v>2</v>
      </c>
      <c r="BP22" s="56" t="s">
        <v>2</v>
      </c>
      <c r="BQ22" s="55" t="s">
        <v>2</v>
      </c>
      <c r="BR22" s="56" t="s">
        <v>2</v>
      </c>
      <c r="BS22" s="55" t="s">
        <v>2</v>
      </c>
      <c r="BT22" s="56" t="s">
        <v>2</v>
      </c>
      <c r="BU22" s="55" t="s">
        <v>2</v>
      </c>
      <c r="BV22" s="56" t="s">
        <v>2</v>
      </c>
      <c r="BW22" s="55" t="s">
        <v>2</v>
      </c>
      <c r="BX22" s="56" t="s">
        <v>2</v>
      </c>
      <c r="BY22" s="55" t="s">
        <v>2</v>
      </c>
      <c r="BZ22" s="56" t="s">
        <v>2</v>
      </c>
      <c r="CA22" s="55" t="s">
        <v>2</v>
      </c>
      <c r="CB22" s="56" t="s">
        <v>2</v>
      </c>
      <c r="CC22" s="55" t="s">
        <v>2</v>
      </c>
      <c r="CD22" s="56" t="s">
        <v>2</v>
      </c>
      <c r="CE22" s="55" t="s">
        <v>2</v>
      </c>
      <c r="CF22" s="56" t="s">
        <v>2</v>
      </c>
      <c r="CG22" s="55" t="s">
        <v>2</v>
      </c>
      <c r="CH22" s="56" t="s">
        <v>2</v>
      </c>
      <c r="CI22" s="55" t="s">
        <v>2</v>
      </c>
      <c r="CJ22" s="56" t="s">
        <v>2</v>
      </c>
      <c r="CK22" s="55" t="s">
        <v>2</v>
      </c>
      <c r="CL22" s="56" t="s">
        <v>2</v>
      </c>
      <c r="CM22" s="55" t="s">
        <v>2</v>
      </c>
      <c r="CN22" s="56" t="s">
        <v>2</v>
      </c>
      <c r="CO22" s="55" t="s">
        <v>2</v>
      </c>
      <c r="CP22" s="56" t="s">
        <v>2</v>
      </c>
      <c r="CQ22" s="55" t="s">
        <v>2</v>
      </c>
      <c r="CR22" s="56" t="s">
        <v>2</v>
      </c>
      <c r="CS22" s="55" t="s">
        <v>2</v>
      </c>
      <c r="CT22" s="56" t="s">
        <v>2</v>
      </c>
      <c r="CU22" s="55" t="s">
        <v>2</v>
      </c>
      <c r="CV22" s="56" t="s">
        <v>2</v>
      </c>
      <c r="CW22" s="55" t="s">
        <v>2</v>
      </c>
      <c r="CX22" s="56" t="s">
        <v>2</v>
      </c>
      <c r="CY22" s="55" t="s">
        <v>2</v>
      </c>
      <c r="CZ22" s="56" t="s">
        <v>2</v>
      </c>
      <c r="DA22" s="55" t="s">
        <v>2</v>
      </c>
      <c r="DB22" s="56" t="s">
        <v>2</v>
      </c>
      <c r="DC22" s="55" t="s">
        <v>2</v>
      </c>
      <c r="DD22" s="56" t="s">
        <v>2</v>
      </c>
      <c r="DE22" s="55" t="s">
        <v>2</v>
      </c>
      <c r="DF22" s="56" t="s">
        <v>2</v>
      </c>
      <c r="DG22" s="55" t="s">
        <v>2</v>
      </c>
      <c r="DH22" s="56" t="s">
        <v>2</v>
      </c>
      <c r="DI22" s="55" t="s">
        <v>2</v>
      </c>
      <c r="DJ22" s="56" t="s">
        <v>2</v>
      </c>
      <c r="DK22" s="55" t="s">
        <v>2</v>
      </c>
      <c r="DL22" s="56" t="s">
        <v>2</v>
      </c>
      <c r="DM22" s="55" t="s">
        <v>2</v>
      </c>
      <c r="DN22" s="56" t="s">
        <v>2</v>
      </c>
      <c r="DO22" s="55" t="s">
        <v>2</v>
      </c>
      <c r="DP22" s="56" t="s">
        <v>2</v>
      </c>
      <c r="DQ22" s="55" t="s">
        <v>2</v>
      </c>
      <c r="DR22" s="56" t="s">
        <v>2</v>
      </c>
      <c r="DS22" s="55" t="s">
        <v>2</v>
      </c>
      <c r="DT22" s="56" t="s">
        <v>2</v>
      </c>
      <c r="DU22" s="55" t="s">
        <v>2</v>
      </c>
      <c r="DV22" s="56" t="s">
        <v>2</v>
      </c>
      <c r="DW22" s="55" t="s">
        <v>2</v>
      </c>
      <c r="DX22" s="56" t="s">
        <v>2</v>
      </c>
      <c r="DY22" s="55" t="s">
        <v>2</v>
      </c>
      <c r="DZ22" s="56" t="s">
        <v>2</v>
      </c>
      <c r="EA22" s="55" t="s">
        <v>2</v>
      </c>
      <c r="EB22" s="56" t="s">
        <v>2</v>
      </c>
      <c r="EC22" s="55" t="s">
        <v>2</v>
      </c>
      <c r="ED22" s="56" t="s">
        <v>2</v>
      </c>
      <c r="EE22" s="55" t="s">
        <v>2</v>
      </c>
      <c r="EF22" s="56" t="s">
        <v>2</v>
      </c>
      <c r="EG22" s="55" t="s">
        <v>2</v>
      </c>
      <c r="EH22" s="56" t="s">
        <v>2</v>
      </c>
      <c r="EI22" s="55" t="s">
        <v>2</v>
      </c>
      <c r="EJ22" s="56" t="s">
        <v>2</v>
      </c>
      <c r="EK22" s="55" t="s">
        <v>2</v>
      </c>
      <c r="EL22" s="56" t="s">
        <v>2</v>
      </c>
      <c r="EM22" s="55" t="s">
        <v>2</v>
      </c>
      <c r="EN22" s="56" t="s">
        <v>2</v>
      </c>
      <c r="EO22" s="55" t="s">
        <v>2</v>
      </c>
      <c r="EP22" s="56" t="s">
        <v>2</v>
      </c>
      <c r="EQ22" s="55" t="s">
        <v>2</v>
      </c>
      <c r="ER22" s="56" t="s">
        <v>2</v>
      </c>
      <c r="ES22" s="55" t="s">
        <v>2</v>
      </c>
      <c r="ET22" s="56" t="s">
        <v>2</v>
      </c>
      <c r="EU22" s="55" t="s">
        <v>2</v>
      </c>
      <c r="EV22" s="56" t="s">
        <v>2</v>
      </c>
      <c r="EW22" s="55" t="s">
        <v>2</v>
      </c>
      <c r="EX22" s="56" t="s">
        <v>2</v>
      </c>
      <c r="EY22" s="55" t="s">
        <v>2</v>
      </c>
      <c r="EZ22" s="56" t="s">
        <v>2</v>
      </c>
      <c r="FA22" s="55" t="s">
        <v>2</v>
      </c>
      <c r="FB22" s="56" t="s">
        <v>2</v>
      </c>
      <c r="FC22" s="55" t="s">
        <v>2</v>
      </c>
      <c r="FD22" s="56" t="s">
        <v>2</v>
      </c>
      <c r="FE22" s="55" t="s">
        <v>2</v>
      </c>
      <c r="FF22" s="56" t="s">
        <v>2</v>
      </c>
      <c r="FG22" s="55" t="s">
        <v>2</v>
      </c>
      <c r="FH22" s="56" t="s">
        <v>2</v>
      </c>
      <c r="FI22" s="55" t="s">
        <v>2</v>
      </c>
      <c r="FJ22" s="56" t="s">
        <v>2</v>
      </c>
      <c r="FK22" s="55" t="s">
        <v>2</v>
      </c>
      <c r="FL22" s="56" t="s">
        <v>2</v>
      </c>
      <c r="FM22" s="55" t="s">
        <v>2</v>
      </c>
      <c r="FN22" s="56" t="s">
        <v>2</v>
      </c>
      <c r="FO22" s="55" t="s">
        <v>2</v>
      </c>
      <c r="FP22" s="56" t="s">
        <v>2</v>
      </c>
      <c r="FQ22" s="55" t="s">
        <v>2</v>
      </c>
      <c r="FR22" s="56" t="s">
        <v>2</v>
      </c>
      <c r="FS22" s="55" t="s">
        <v>2</v>
      </c>
      <c r="FT22" s="56" t="s">
        <v>2</v>
      </c>
      <c r="FU22" s="55" t="s">
        <v>2</v>
      </c>
      <c r="FV22" s="56" t="s">
        <v>2</v>
      </c>
      <c r="FW22" s="55" t="s">
        <v>2</v>
      </c>
      <c r="FX22" s="56" t="s">
        <v>2</v>
      </c>
      <c r="FY22" s="55" t="s">
        <v>2</v>
      </c>
      <c r="FZ22" s="56" t="s">
        <v>2</v>
      </c>
      <c r="GA22" s="55" t="s">
        <v>2</v>
      </c>
      <c r="GB22" s="56" t="s">
        <v>2</v>
      </c>
      <c r="GC22" s="55" t="s">
        <v>2</v>
      </c>
      <c r="GD22" s="56" t="s">
        <v>2</v>
      </c>
      <c r="GE22" s="55" t="s">
        <v>2</v>
      </c>
      <c r="GF22" s="56" t="s">
        <v>2</v>
      </c>
      <c r="GG22" s="55" t="s">
        <v>2</v>
      </c>
      <c r="GH22" s="56" t="s">
        <v>2</v>
      </c>
      <c r="GI22" s="55" t="s">
        <v>2</v>
      </c>
      <c r="GJ22" s="56" t="s">
        <v>2</v>
      </c>
      <c r="GK22" s="55" t="s">
        <v>2</v>
      </c>
      <c r="GL22" s="56" t="s">
        <v>2</v>
      </c>
      <c r="GM22" s="55" t="s">
        <v>2</v>
      </c>
      <c r="GN22" s="56" t="s">
        <v>2</v>
      </c>
      <c r="GO22" s="55" t="s">
        <v>2</v>
      </c>
      <c r="GP22" s="56" t="s">
        <v>2</v>
      </c>
      <c r="GQ22" s="55" t="s">
        <v>2</v>
      </c>
      <c r="GR22" s="56" t="s">
        <v>2</v>
      </c>
      <c r="GS22" s="55" t="s">
        <v>2</v>
      </c>
      <c r="GT22" s="56" t="s">
        <v>2</v>
      </c>
      <c r="GU22" s="55" t="s">
        <v>2</v>
      </c>
      <c r="GV22" s="56" t="s">
        <v>2</v>
      </c>
      <c r="GW22" s="55" t="s">
        <v>2</v>
      </c>
      <c r="GX22" s="56" t="s">
        <v>2</v>
      </c>
      <c r="GY22" s="55" t="s">
        <v>2</v>
      </c>
      <c r="GZ22" s="56" t="s">
        <v>2</v>
      </c>
      <c r="HA22" t="s">
        <v>2</v>
      </c>
      <c r="HB22" s="56" t="s">
        <v>2</v>
      </c>
      <c r="HC22" t="s">
        <v>2</v>
      </c>
      <c r="HD22" s="56" t="s">
        <v>2</v>
      </c>
      <c r="HE22" t="s">
        <v>2</v>
      </c>
      <c r="HF22" s="56" t="s">
        <v>2</v>
      </c>
    </row>
    <row r="23" spans="1:214" x14ac:dyDescent="0.25">
      <c r="A23" s="53"/>
      <c r="B23" s="54" t="s">
        <v>763</v>
      </c>
      <c r="C23" s="55" t="s">
        <v>2</v>
      </c>
      <c r="D23" s="56" t="s">
        <v>2</v>
      </c>
      <c r="E23" s="55" t="s">
        <v>2</v>
      </c>
      <c r="F23" s="56" t="s">
        <v>2</v>
      </c>
      <c r="G23" s="55" t="s">
        <v>2</v>
      </c>
      <c r="H23" s="56" t="s">
        <v>2</v>
      </c>
      <c r="I23" s="55" t="s">
        <v>2</v>
      </c>
      <c r="J23" s="56" t="s">
        <v>2</v>
      </c>
      <c r="K23" s="55" t="s">
        <v>2</v>
      </c>
      <c r="L23" s="56" t="s">
        <v>2</v>
      </c>
      <c r="M23" s="55" t="s">
        <v>2</v>
      </c>
      <c r="N23" s="56" t="s">
        <v>2</v>
      </c>
      <c r="O23" s="55" t="s">
        <v>2</v>
      </c>
      <c r="P23" s="56" t="s">
        <v>2</v>
      </c>
      <c r="Q23" s="55" t="s">
        <v>2</v>
      </c>
      <c r="R23" s="56" t="s">
        <v>2</v>
      </c>
      <c r="S23" s="55" t="s">
        <v>2</v>
      </c>
      <c r="T23" s="56" t="s">
        <v>2</v>
      </c>
      <c r="U23" s="55" t="s">
        <v>2</v>
      </c>
      <c r="V23" s="56" t="s">
        <v>2</v>
      </c>
      <c r="W23" s="55" t="s">
        <v>2</v>
      </c>
      <c r="X23" s="56" t="s">
        <v>2</v>
      </c>
      <c r="Y23" s="55" t="s">
        <v>2</v>
      </c>
      <c r="Z23" s="56" t="s">
        <v>2</v>
      </c>
      <c r="AA23" s="55" t="s">
        <v>2</v>
      </c>
      <c r="AB23" s="56" t="s">
        <v>2</v>
      </c>
      <c r="AC23" s="55" t="s">
        <v>2</v>
      </c>
      <c r="AD23" s="56" t="s">
        <v>2</v>
      </c>
      <c r="AE23" s="55" t="s">
        <v>2</v>
      </c>
      <c r="AF23" s="56" t="s">
        <v>2</v>
      </c>
      <c r="AG23" s="55" t="s">
        <v>2</v>
      </c>
      <c r="AH23" s="56" t="s">
        <v>2</v>
      </c>
      <c r="AI23" s="55" t="s">
        <v>2</v>
      </c>
      <c r="AJ23" s="56" t="s">
        <v>2</v>
      </c>
      <c r="AK23" s="55" t="s">
        <v>2</v>
      </c>
      <c r="AL23" s="56" t="s">
        <v>2</v>
      </c>
      <c r="AM23" s="55" t="s">
        <v>2</v>
      </c>
      <c r="AN23" s="56" t="s">
        <v>2</v>
      </c>
      <c r="AO23" s="55" t="s">
        <v>2</v>
      </c>
      <c r="AP23" s="56" t="s">
        <v>2</v>
      </c>
      <c r="AQ23" s="55" t="s">
        <v>2</v>
      </c>
      <c r="AR23" s="56" t="s">
        <v>2</v>
      </c>
      <c r="AS23" s="55" t="s">
        <v>2</v>
      </c>
      <c r="AT23" s="56" t="s">
        <v>2</v>
      </c>
      <c r="AU23" s="55" t="s">
        <v>2</v>
      </c>
      <c r="AV23" s="56" t="s">
        <v>2</v>
      </c>
      <c r="AW23" s="55" t="s">
        <v>2</v>
      </c>
      <c r="AX23" s="56" t="s">
        <v>2</v>
      </c>
      <c r="AY23" s="55" t="s">
        <v>2</v>
      </c>
      <c r="AZ23" s="56" t="s">
        <v>2</v>
      </c>
      <c r="BA23" s="55" t="s">
        <v>2</v>
      </c>
      <c r="BB23" s="56" t="s">
        <v>2</v>
      </c>
      <c r="BC23" s="55" t="s">
        <v>2</v>
      </c>
      <c r="BD23" s="56" t="s">
        <v>2</v>
      </c>
      <c r="BE23" s="55" t="s">
        <v>2</v>
      </c>
      <c r="BF23" s="56" t="s">
        <v>2</v>
      </c>
      <c r="BG23" s="55" t="s">
        <v>2</v>
      </c>
      <c r="BH23" s="56" t="s">
        <v>2</v>
      </c>
      <c r="BI23" s="55" t="s">
        <v>2</v>
      </c>
      <c r="BJ23" s="56" t="s">
        <v>2</v>
      </c>
      <c r="BK23" s="55" t="s">
        <v>2</v>
      </c>
      <c r="BL23" s="56" t="s">
        <v>2</v>
      </c>
      <c r="BM23" s="55" t="s">
        <v>2</v>
      </c>
      <c r="BN23" s="56" t="s">
        <v>2</v>
      </c>
      <c r="BO23" s="55" t="s">
        <v>2</v>
      </c>
      <c r="BP23" s="56" t="s">
        <v>2</v>
      </c>
      <c r="BQ23" s="55" t="s">
        <v>2</v>
      </c>
      <c r="BR23" s="56" t="s">
        <v>2</v>
      </c>
      <c r="BS23" s="55" t="s">
        <v>2</v>
      </c>
      <c r="BT23" s="56" t="s">
        <v>2</v>
      </c>
      <c r="BU23" s="55" t="s">
        <v>2</v>
      </c>
      <c r="BV23" s="56" t="s">
        <v>2</v>
      </c>
      <c r="BW23" s="55" t="s">
        <v>2</v>
      </c>
      <c r="BX23" s="56" t="s">
        <v>2</v>
      </c>
      <c r="BY23" s="55" t="s">
        <v>2</v>
      </c>
      <c r="BZ23" s="56" t="s">
        <v>2</v>
      </c>
      <c r="CA23" s="55" t="s">
        <v>2</v>
      </c>
      <c r="CB23" s="56" t="s">
        <v>2</v>
      </c>
      <c r="CC23" s="55" t="s">
        <v>2</v>
      </c>
      <c r="CD23" s="56" t="s">
        <v>2</v>
      </c>
      <c r="CE23" s="55" t="s">
        <v>2</v>
      </c>
      <c r="CF23" s="56" t="s">
        <v>2</v>
      </c>
      <c r="CG23" s="55" t="s">
        <v>2</v>
      </c>
      <c r="CH23" s="56" t="s">
        <v>2</v>
      </c>
      <c r="CI23" s="55" t="s">
        <v>2</v>
      </c>
      <c r="CJ23" s="56" t="s">
        <v>2</v>
      </c>
      <c r="CK23" s="55" t="s">
        <v>2</v>
      </c>
      <c r="CL23" s="56" t="s">
        <v>2</v>
      </c>
      <c r="CM23" s="55" t="s">
        <v>2</v>
      </c>
      <c r="CN23" s="56" t="s">
        <v>2</v>
      </c>
      <c r="CO23" s="55" t="s">
        <v>2</v>
      </c>
      <c r="CP23" s="56" t="s">
        <v>2</v>
      </c>
      <c r="CQ23" s="55" t="s">
        <v>2</v>
      </c>
      <c r="CR23" s="56" t="s">
        <v>2</v>
      </c>
      <c r="CS23" s="55" t="s">
        <v>2</v>
      </c>
      <c r="CT23" s="56" t="s">
        <v>2</v>
      </c>
      <c r="CU23" s="55" t="s">
        <v>2</v>
      </c>
      <c r="CV23" s="56" t="s">
        <v>2</v>
      </c>
      <c r="CW23" s="55" t="s">
        <v>2</v>
      </c>
      <c r="CX23" s="56" t="s">
        <v>2</v>
      </c>
      <c r="CY23" s="55" t="s">
        <v>2</v>
      </c>
      <c r="CZ23" s="56" t="s">
        <v>2</v>
      </c>
      <c r="DA23" s="55" t="s">
        <v>2</v>
      </c>
      <c r="DB23" s="56" t="s">
        <v>2</v>
      </c>
      <c r="DC23" s="55" t="s">
        <v>2</v>
      </c>
      <c r="DD23" s="56" t="s">
        <v>2</v>
      </c>
      <c r="DE23" s="55" t="s">
        <v>2</v>
      </c>
      <c r="DF23" s="56" t="s">
        <v>2</v>
      </c>
      <c r="DG23" s="55" t="s">
        <v>2</v>
      </c>
      <c r="DH23" s="56" t="s">
        <v>2</v>
      </c>
      <c r="DI23" s="55" t="s">
        <v>2</v>
      </c>
      <c r="DJ23" s="56" t="s">
        <v>2</v>
      </c>
      <c r="DK23" s="55" t="s">
        <v>2</v>
      </c>
      <c r="DL23" s="56" t="s">
        <v>2</v>
      </c>
      <c r="DM23" s="55" t="s">
        <v>2</v>
      </c>
      <c r="DN23" s="56" t="s">
        <v>2</v>
      </c>
      <c r="DO23" s="55" t="s">
        <v>2</v>
      </c>
      <c r="DP23" s="56" t="s">
        <v>2</v>
      </c>
      <c r="DQ23" s="55" t="s">
        <v>2</v>
      </c>
      <c r="DR23" s="56" t="s">
        <v>2</v>
      </c>
      <c r="DS23" s="55" t="s">
        <v>2</v>
      </c>
      <c r="DT23" s="56" t="s">
        <v>2</v>
      </c>
      <c r="DU23" s="55" t="s">
        <v>2</v>
      </c>
      <c r="DV23" s="56" t="s">
        <v>2</v>
      </c>
      <c r="DW23" s="55" t="s">
        <v>2</v>
      </c>
      <c r="DX23" s="56" t="s">
        <v>2</v>
      </c>
      <c r="DY23" s="55" t="s">
        <v>2</v>
      </c>
      <c r="DZ23" s="56" t="s">
        <v>2</v>
      </c>
      <c r="EA23" s="55" t="s">
        <v>2</v>
      </c>
      <c r="EB23" s="56" t="s">
        <v>2</v>
      </c>
      <c r="EC23" s="55" t="s">
        <v>2</v>
      </c>
      <c r="ED23" s="56" t="s">
        <v>2</v>
      </c>
      <c r="EE23" s="55" t="s">
        <v>2</v>
      </c>
      <c r="EF23" s="56" t="s">
        <v>2</v>
      </c>
      <c r="EG23" s="55" t="s">
        <v>2</v>
      </c>
      <c r="EH23" s="56" t="s">
        <v>2</v>
      </c>
      <c r="EI23" s="55" t="s">
        <v>2</v>
      </c>
      <c r="EJ23" s="56" t="s">
        <v>2</v>
      </c>
      <c r="EK23" s="55" t="s">
        <v>2</v>
      </c>
      <c r="EL23" s="56" t="s">
        <v>2</v>
      </c>
      <c r="EM23" s="55" t="s">
        <v>2</v>
      </c>
      <c r="EN23" s="56" t="s">
        <v>2</v>
      </c>
      <c r="EO23" s="55" t="s">
        <v>2</v>
      </c>
      <c r="EP23" s="56" t="s">
        <v>2</v>
      </c>
      <c r="EQ23" s="55" t="s">
        <v>2</v>
      </c>
      <c r="ER23" s="56" t="s">
        <v>2</v>
      </c>
      <c r="ES23" s="55" t="s">
        <v>2</v>
      </c>
      <c r="ET23" s="56" t="s">
        <v>2</v>
      </c>
      <c r="EU23" s="55" t="s">
        <v>2</v>
      </c>
      <c r="EV23" s="56" t="s">
        <v>2</v>
      </c>
      <c r="EW23" s="55" t="s">
        <v>2</v>
      </c>
      <c r="EX23" s="56" t="s">
        <v>2</v>
      </c>
      <c r="EY23" s="55" t="s">
        <v>2</v>
      </c>
      <c r="EZ23" s="56" t="s">
        <v>2</v>
      </c>
      <c r="FA23" s="55" t="s">
        <v>2</v>
      </c>
      <c r="FB23" s="56" t="s">
        <v>2</v>
      </c>
      <c r="FC23" s="55" t="s">
        <v>2</v>
      </c>
      <c r="FD23" s="56" t="s">
        <v>2</v>
      </c>
      <c r="FE23" s="55" t="s">
        <v>2</v>
      </c>
      <c r="FF23" s="56" t="s">
        <v>2</v>
      </c>
      <c r="FG23" s="55" t="s">
        <v>2</v>
      </c>
      <c r="FH23" s="56" t="s">
        <v>2</v>
      </c>
      <c r="FI23" s="55" t="s">
        <v>2</v>
      </c>
      <c r="FJ23" s="56" t="s">
        <v>2</v>
      </c>
      <c r="FK23" s="55" t="s">
        <v>2</v>
      </c>
      <c r="FL23" s="56" t="s">
        <v>2</v>
      </c>
      <c r="FM23" s="55" t="s">
        <v>2</v>
      </c>
      <c r="FN23" s="56" t="s">
        <v>2</v>
      </c>
      <c r="FO23" s="55" t="s">
        <v>2</v>
      </c>
      <c r="FP23" s="56" t="s">
        <v>2</v>
      </c>
      <c r="FQ23" s="55" t="s">
        <v>2</v>
      </c>
      <c r="FR23" s="56" t="s">
        <v>2</v>
      </c>
      <c r="FS23" s="55" t="s">
        <v>2</v>
      </c>
      <c r="FT23" s="56" t="s">
        <v>2</v>
      </c>
      <c r="FU23" s="55" t="s">
        <v>2</v>
      </c>
      <c r="FV23" s="56" t="s">
        <v>2</v>
      </c>
      <c r="FW23" s="55" t="s">
        <v>2</v>
      </c>
      <c r="FX23" s="56" t="s">
        <v>2</v>
      </c>
      <c r="FY23" s="55" t="s">
        <v>2</v>
      </c>
      <c r="FZ23" s="56" t="s">
        <v>2</v>
      </c>
      <c r="GA23" s="55" t="s">
        <v>2</v>
      </c>
      <c r="GB23" s="56" t="s">
        <v>2</v>
      </c>
      <c r="GC23" s="55" t="s">
        <v>2</v>
      </c>
      <c r="GD23" s="56" t="s">
        <v>2</v>
      </c>
      <c r="GE23" s="55" t="s">
        <v>2</v>
      </c>
      <c r="GF23" s="56" t="s">
        <v>2</v>
      </c>
      <c r="GG23" s="55" t="s">
        <v>2</v>
      </c>
      <c r="GH23" s="56" t="s">
        <v>2</v>
      </c>
      <c r="GI23" s="55" t="s">
        <v>2</v>
      </c>
      <c r="GJ23" s="56" t="s">
        <v>2</v>
      </c>
      <c r="GK23" s="55" t="s">
        <v>2</v>
      </c>
      <c r="GL23" s="56" t="s">
        <v>2</v>
      </c>
      <c r="GM23" s="55" t="s">
        <v>2</v>
      </c>
      <c r="GN23" s="56" t="s">
        <v>2</v>
      </c>
      <c r="GO23" s="55" t="s">
        <v>2</v>
      </c>
      <c r="GP23" s="56" t="s">
        <v>2</v>
      </c>
      <c r="GQ23" s="55" t="s">
        <v>2</v>
      </c>
      <c r="GR23" s="56" t="s">
        <v>2</v>
      </c>
      <c r="GS23" s="55" t="s">
        <v>2</v>
      </c>
      <c r="GT23" s="56" t="s">
        <v>2</v>
      </c>
      <c r="GU23" s="55" t="s">
        <v>2</v>
      </c>
      <c r="GV23" s="56" t="s">
        <v>2</v>
      </c>
      <c r="GW23" s="55" t="s">
        <v>2</v>
      </c>
      <c r="GX23" s="56" t="s">
        <v>2</v>
      </c>
      <c r="GY23" s="55" t="s">
        <v>2</v>
      </c>
      <c r="GZ23" s="56" t="s">
        <v>2</v>
      </c>
      <c r="HA23" t="s">
        <v>2</v>
      </c>
      <c r="HB23" s="56" t="s">
        <v>2</v>
      </c>
      <c r="HC23" t="s">
        <v>2</v>
      </c>
      <c r="HD23" s="56" t="s">
        <v>2</v>
      </c>
      <c r="HE23" t="s">
        <v>2</v>
      </c>
      <c r="HF23" s="56" t="s">
        <v>2</v>
      </c>
    </row>
    <row r="24" spans="1:214" x14ac:dyDescent="0.25">
      <c r="A24" s="53"/>
      <c r="B24" s="54" t="s">
        <v>764</v>
      </c>
      <c r="C24" s="55" t="s">
        <v>2</v>
      </c>
      <c r="D24" s="56" t="s">
        <v>2</v>
      </c>
      <c r="E24" s="55" t="s">
        <v>2</v>
      </c>
      <c r="F24" s="56" t="s">
        <v>2</v>
      </c>
      <c r="G24" s="55" t="s">
        <v>2</v>
      </c>
      <c r="H24" s="56" t="s">
        <v>2</v>
      </c>
      <c r="I24" s="55" t="s">
        <v>2</v>
      </c>
      <c r="J24" s="56" t="s">
        <v>2</v>
      </c>
      <c r="K24" s="55" t="s">
        <v>2</v>
      </c>
      <c r="L24" s="56" t="s">
        <v>2</v>
      </c>
      <c r="M24" s="55" t="s">
        <v>2</v>
      </c>
      <c r="N24" s="56" t="s">
        <v>2</v>
      </c>
      <c r="O24" s="55" t="s">
        <v>2</v>
      </c>
      <c r="P24" s="56" t="s">
        <v>2</v>
      </c>
      <c r="Q24" s="55" t="s">
        <v>2</v>
      </c>
      <c r="R24" s="56" t="s">
        <v>2</v>
      </c>
      <c r="S24" s="55" t="s">
        <v>2</v>
      </c>
      <c r="T24" s="56" t="s">
        <v>2</v>
      </c>
      <c r="U24" s="55" t="s">
        <v>2</v>
      </c>
      <c r="V24" s="56" t="s">
        <v>2</v>
      </c>
      <c r="W24" s="55" t="s">
        <v>2</v>
      </c>
      <c r="X24" s="56" t="s">
        <v>2</v>
      </c>
      <c r="Y24" s="55" t="s">
        <v>2</v>
      </c>
      <c r="Z24" s="56" t="s">
        <v>2</v>
      </c>
      <c r="AA24" s="55" t="s">
        <v>2</v>
      </c>
      <c r="AB24" s="56" t="s">
        <v>2</v>
      </c>
      <c r="AC24" s="55" t="s">
        <v>2</v>
      </c>
      <c r="AD24" s="56" t="s">
        <v>2</v>
      </c>
      <c r="AE24" s="55" t="s">
        <v>2</v>
      </c>
      <c r="AF24" s="56" t="s">
        <v>2</v>
      </c>
      <c r="AG24" s="55" t="s">
        <v>2</v>
      </c>
      <c r="AH24" s="56" t="s">
        <v>2</v>
      </c>
      <c r="AI24" s="55" t="s">
        <v>2</v>
      </c>
      <c r="AJ24" s="56" t="s">
        <v>2</v>
      </c>
      <c r="AK24" s="55" t="s">
        <v>2</v>
      </c>
      <c r="AL24" s="56" t="s">
        <v>2</v>
      </c>
      <c r="AM24" s="55" t="s">
        <v>2</v>
      </c>
      <c r="AN24" s="56" t="s">
        <v>2</v>
      </c>
      <c r="AO24" s="55" t="s">
        <v>2</v>
      </c>
      <c r="AP24" s="56" t="s">
        <v>2</v>
      </c>
      <c r="AQ24" s="55" t="s">
        <v>2</v>
      </c>
      <c r="AR24" s="56" t="s">
        <v>2</v>
      </c>
      <c r="AS24" s="55" t="s">
        <v>2</v>
      </c>
      <c r="AT24" s="56" t="s">
        <v>2</v>
      </c>
      <c r="AU24" s="55" t="s">
        <v>2</v>
      </c>
      <c r="AV24" s="56" t="s">
        <v>2</v>
      </c>
      <c r="AW24" s="55" t="s">
        <v>2</v>
      </c>
      <c r="AX24" s="56" t="s">
        <v>2</v>
      </c>
      <c r="AY24" s="55" t="s">
        <v>2</v>
      </c>
      <c r="AZ24" s="56" t="s">
        <v>2</v>
      </c>
      <c r="BA24" s="55" t="s">
        <v>2</v>
      </c>
      <c r="BB24" s="56" t="s">
        <v>2</v>
      </c>
      <c r="BC24" s="55" t="s">
        <v>2</v>
      </c>
      <c r="BD24" s="56" t="s">
        <v>2</v>
      </c>
      <c r="BE24" s="55" t="s">
        <v>2</v>
      </c>
      <c r="BF24" s="56" t="s">
        <v>2</v>
      </c>
      <c r="BG24" s="55" t="s">
        <v>2</v>
      </c>
      <c r="BH24" s="56" t="s">
        <v>2</v>
      </c>
      <c r="BI24" s="55" t="s">
        <v>2</v>
      </c>
      <c r="BJ24" s="56" t="s">
        <v>2</v>
      </c>
      <c r="BK24" s="55" t="s">
        <v>2</v>
      </c>
      <c r="BL24" s="56" t="s">
        <v>2</v>
      </c>
      <c r="BM24" s="55" t="s">
        <v>2</v>
      </c>
      <c r="BN24" s="56" t="s">
        <v>2</v>
      </c>
      <c r="BO24" s="55" t="s">
        <v>2</v>
      </c>
      <c r="BP24" s="56" t="s">
        <v>2</v>
      </c>
      <c r="BQ24" s="55" t="s">
        <v>2</v>
      </c>
      <c r="BR24" s="56" t="s">
        <v>2</v>
      </c>
      <c r="BS24" s="55" t="s">
        <v>2</v>
      </c>
      <c r="BT24" s="56" t="s">
        <v>2</v>
      </c>
      <c r="BU24" s="55" t="s">
        <v>2</v>
      </c>
      <c r="BV24" s="56" t="s">
        <v>2</v>
      </c>
      <c r="BW24" s="55" t="s">
        <v>2</v>
      </c>
      <c r="BX24" s="56" t="s">
        <v>2</v>
      </c>
      <c r="BY24" s="55" t="s">
        <v>2</v>
      </c>
      <c r="BZ24" s="56" t="s">
        <v>2</v>
      </c>
      <c r="CA24" s="55" t="s">
        <v>2</v>
      </c>
      <c r="CB24" s="56" t="s">
        <v>2</v>
      </c>
      <c r="CC24" s="55" t="s">
        <v>2</v>
      </c>
      <c r="CD24" s="56" t="s">
        <v>2</v>
      </c>
      <c r="CE24" s="55" t="s">
        <v>2</v>
      </c>
      <c r="CF24" s="56" t="s">
        <v>2</v>
      </c>
      <c r="CG24" s="55" t="s">
        <v>2</v>
      </c>
      <c r="CH24" s="56" t="s">
        <v>2</v>
      </c>
      <c r="CI24" s="55" t="s">
        <v>2</v>
      </c>
      <c r="CJ24" s="56" t="s">
        <v>2</v>
      </c>
      <c r="CK24" s="55" t="s">
        <v>2</v>
      </c>
      <c r="CL24" s="56" t="s">
        <v>2</v>
      </c>
      <c r="CM24" s="55" t="s">
        <v>2</v>
      </c>
      <c r="CN24" s="56" t="s">
        <v>2</v>
      </c>
      <c r="CO24" s="55" t="s">
        <v>2</v>
      </c>
      <c r="CP24" s="56" t="s">
        <v>2</v>
      </c>
      <c r="CQ24" s="55" t="s">
        <v>2</v>
      </c>
      <c r="CR24" s="56" t="s">
        <v>2</v>
      </c>
      <c r="CS24" s="55" t="s">
        <v>2</v>
      </c>
      <c r="CT24" s="56" t="s">
        <v>2</v>
      </c>
      <c r="CU24" s="55" t="s">
        <v>2</v>
      </c>
      <c r="CV24" s="56" t="s">
        <v>2</v>
      </c>
      <c r="CW24" s="55" t="s">
        <v>2</v>
      </c>
      <c r="CX24" s="56" t="s">
        <v>2</v>
      </c>
      <c r="CY24" s="55" t="s">
        <v>2</v>
      </c>
      <c r="CZ24" s="56" t="s">
        <v>2</v>
      </c>
      <c r="DA24" s="55" t="s">
        <v>2</v>
      </c>
      <c r="DB24" s="56" t="s">
        <v>2</v>
      </c>
      <c r="DC24" s="55" t="s">
        <v>2</v>
      </c>
      <c r="DD24" s="56" t="s">
        <v>2</v>
      </c>
      <c r="DE24" s="55" t="s">
        <v>2</v>
      </c>
      <c r="DF24" s="56" t="s">
        <v>2</v>
      </c>
      <c r="DG24" s="55" t="s">
        <v>2</v>
      </c>
      <c r="DH24" s="56" t="s">
        <v>2</v>
      </c>
      <c r="DI24" s="55" t="s">
        <v>2</v>
      </c>
      <c r="DJ24" s="56" t="s">
        <v>2</v>
      </c>
      <c r="DK24" s="55" t="s">
        <v>2</v>
      </c>
      <c r="DL24" s="56" t="s">
        <v>2</v>
      </c>
      <c r="DM24" s="55" t="s">
        <v>2</v>
      </c>
      <c r="DN24" s="56" t="s">
        <v>2</v>
      </c>
      <c r="DO24" s="55" t="s">
        <v>2</v>
      </c>
      <c r="DP24" s="56" t="s">
        <v>2</v>
      </c>
      <c r="DQ24" s="55" t="s">
        <v>2</v>
      </c>
      <c r="DR24" s="56" t="s">
        <v>2</v>
      </c>
      <c r="DS24" s="55" t="s">
        <v>2</v>
      </c>
      <c r="DT24" s="56" t="s">
        <v>2</v>
      </c>
      <c r="DU24" s="55" t="s">
        <v>2</v>
      </c>
      <c r="DV24" s="56" t="s">
        <v>2</v>
      </c>
      <c r="DW24" s="55" t="s">
        <v>2</v>
      </c>
      <c r="DX24" s="56" t="s">
        <v>2</v>
      </c>
      <c r="DY24" s="55" t="s">
        <v>2</v>
      </c>
      <c r="DZ24" s="56" t="s">
        <v>2</v>
      </c>
      <c r="EA24" s="55" t="s">
        <v>2</v>
      </c>
      <c r="EB24" s="56" t="s">
        <v>2</v>
      </c>
      <c r="EC24" s="55" t="s">
        <v>2</v>
      </c>
      <c r="ED24" s="56" t="s">
        <v>2</v>
      </c>
      <c r="EE24" s="55" t="s">
        <v>2</v>
      </c>
      <c r="EF24" s="56" t="s">
        <v>2</v>
      </c>
      <c r="EG24" s="55" t="s">
        <v>2</v>
      </c>
      <c r="EH24" s="56" t="s">
        <v>2</v>
      </c>
      <c r="EI24" s="55" t="s">
        <v>2</v>
      </c>
      <c r="EJ24" s="56" t="s">
        <v>2</v>
      </c>
      <c r="EK24" s="55" t="s">
        <v>2</v>
      </c>
      <c r="EL24" s="56" t="s">
        <v>2</v>
      </c>
      <c r="EM24" s="55" t="s">
        <v>2</v>
      </c>
      <c r="EN24" s="56" t="s">
        <v>2</v>
      </c>
      <c r="EO24" s="55" t="s">
        <v>2</v>
      </c>
      <c r="EP24" s="56" t="s">
        <v>2</v>
      </c>
      <c r="EQ24" s="55" t="s">
        <v>2</v>
      </c>
      <c r="ER24" s="56" t="s">
        <v>2</v>
      </c>
      <c r="ES24" s="55" t="s">
        <v>2</v>
      </c>
      <c r="ET24" s="56" t="s">
        <v>2</v>
      </c>
      <c r="EU24" s="55" t="s">
        <v>2</v>
      </c>
      <c r="EV24" s="56" t="s">
        <v>2</v>
      </c>
      <c r="EW24" s="55" t="s">
        <v>2</v>
      </c>
      <c r="EX24" s="56" t="s">
        <v>2</v>
      </c>
      <c r="EY24" s="55" t="s">
        <v>2</v>
      </c>
      <c r="EZ24" s="56" t="s">
        <v>2</v>
      </c>
      <c r="FA24" s="55" t="s">
        <v>2</v>
      </c>
      <c r="FB24" s="56" t="s">
        <v>2</v>
      </c>
      <c r="FC24" s="55" t="s">
        <v>2</v>
      </c>
      <c r="FD24" s="56" t="s">
        <v>2</v>
      </c>
      <c r="FE24" s="55" t="s">
        <v>2</v>
      </c>
      <c r="FF24" s="56" t="s">
        <v>2</v>
      </c>
      <c r="FG24" s="55" t="s">
        <v>2</v>
      </c>
      <c r="FH24" s="56" t="s">
        <v>2</v>
      </c>
      <c r="FI24" s="55" t="s">
        <v>2</v>
      </c>
      <c r="FJ24" s="56" t="s">
        <v>2</v>
      </c>
      <c r="FK24" s="55" t="s">
        <v>2</v>
      </c>
      <c r="FL24" s="56" t="s">
        <v>2</v>
      </c>
      <c r="FM24" s="55" t="s">
        <v>2</v>
      </c>
      <c r="FN24" s="56" t="s">
        <v>2</v>
      </c>
      <c r="FO24" s="55" t="s">
        <v>2</v>
      </c>
      <c r="FP24" s="56" t="s">
        <v>2</v>
      </c>
      <c r="FQ24" s="55" t="s">
        <v>2</v>
      </c>
      <c r="FR24" s="56" t="s">
        <v>2</v>
      </c>
      <c r="FS24" s="55" t="s">
        <v>2</v>
      </c>
      <c r="FT24" s="56" t="s">
        <v>2</v>
      </c>
      <c r="FU24" s="55" t="s">
        <v>2</v>
      </c>
      <c r="FV24" s="56" t="s">
        <v>2</v>
      </c>
      <c r="FW24" s="55" t="s">
        <v>2</v>
      </c>
      <c r="FX24" s="56" t="s">
        <v>2</v>
      </c>
      <c r="FY24" s="55" t="s">
        <v>2</v>
      </c>
      <c r="FZ24" s="56" t="s">
        <v>2</v>
      </c>
      <c r="GA24" s="55" t="s">
        <v>2</v>
      </c>
      <c r="GB24" s="56" t="s">
        <v>2</v>
      </c>
      <c r="GC24" s="55" t="s">
        <v>2</v>
      </c>
      <c r="GD24" s="56" t="s">
        <v>2</v>
      </c>
      <c r="GE24" s="55" t="s">
        <v>2</v>
      </c>
      <c r="GF24" s="56" t="s">
        <v>2</v>
      </c>
      <c r="GG24" s="55" t="s">
        <v>2</v>
      </c>
      <c r="GH24" s="56" t="s">
        <v>2</v>
      </c>
      <c r="GI24" s="55" t="s">
        <v>2</v>
      </c>
      <c r="GJ24" s="56" t="s">
        <v>2</v>
      </c>
      <c r="GK24" s="55" t="s">
        <v>2</v>
      </c>
      <c r="GL24" s="56" t="s">
        <v>2</v>
      </c>
      <c r="GM24" s="55" t="s">
        <v>2</v>
      </c>
      <c r="GN24" s="56" t="s">
        <v>2</v>
      </c>
      <c r="GO24" s="55" t="s">
        <v>2</v>
      </c>
      <c r="GP24" s="56" t="s">
        <v>2</v>
      </c>
      <c r="GQ24" s="55" t="s">
        <v>2</v>
      </c>
      <c r="GR24" s="56" t="s">
        <v>2</v>
      </c>
      <c r="GS24" s="55" t="s">
        <v>2</v>
      </c>
      <c r="GT24" s="56" t="s">
        <v>2</v>
      </c>
      <c r="GU24" s="55" t="s">
        <v>2</v>
      </c>
      <c r="GV24" s="56" t="s">
        <v>2</v>
      </c>
      <c r="GW24" s="55" t="s">
        <v>2</v>
      </c>
      <c r="GX24" s="56" t="s">
        <v>2</v>
      </c>
      <c r="GY24" s="55" t="s">
        <v>2</v>
      </c>
      <c r="GZ24" s="56" t="s">
        <v>2</v>
      </c>
      <c r="HA24" t="s">
        <v>2</v>
      </c>
      <c r="HB24" s="56" t="s">
        <v>2</v>
      </c>
      <c r="HC24" t="s">
        <v>2</v>
      </c>
      <c r="HD24" s="56" t="s">
        <v>2</v>
      </c>
      <c r="HE24" t="s">
        <v>2</v>
      </c>
      <c r="HF24" s="56" t="s">
        <v>2</v>
      </c>
    </row>
    <row r="25" spans="1:214" x14ac:dyDescent="0.25">
      <c r="A25" s="57"/>
      <c r="B25" s="57" t="s">
        <v>752</v>
      </c>
      <c r="C25" s="58">
        <v>255</v>
      </c>
      <c r="D25" s="59">
        <v>120</v>
      </c>
      <c r="E25" s="58">
        <v>281</v>
      </c>
      <c r="F25" s="59">
        <v>120</v>
      </c>
      <c r="G25" s="58">
        <v>291</v>
      </c>
      <c r="H25" s="59">
        <v>125</v>
      </c>
      <c r="I25" s="58">
        <v>384</v>
      </c>
      <c r="J25" s="59">
        <v>120</v>
      </c>
      <c r="K25" s="58">
        <v>251</v>
      </c>
      <c r="L25" s="59">
        <v>120</v>
      </c>
      <c r="M25" s="58">
        <v>303</v>
      </c>
      <c r="N25" s="59">
        <v>125</v>
      </c>
      <c r="O25" s="58">
        <v>276</v>
      </c>
      <c r="P25" s="59">
        <v>120</v>
      </c>
      <c r="Q25" s="58">
        <v>314</v>
      </c>
      <c r="R25" s="59">
        <v>120</v>
      </c>
      <c r="S25" s="58">
        <v>247</v>
      </c>
      <c r="T25" s="59">
        <v>125</v>
      </c>
      <c r="U25" s="58">
        <v>253</v>
      </c>
      <c r="V25" s="59">
        <v>125</v>
      </c>
      <c r="W25" s="58">
        <v>261</v>
      </c>
      <c r="X25" s="59">
        <v>130</v>
      </c>
      <c r="Y25" s="58">
        <v>301</v>
      </c>
      <c r="Z25" s="59">
        <v>130</v>
      </c>
      <c r="AA25" s="58">
        <v>233</v>
      </c>
      <c r="AB25" s="59">
        <v>130</v>
      </c>
      <c r="AC25" s="58">
        <v>243</v>
      </c>
      <c r="AD25" s="59">
        <v>135</v>
      </c>
      <c r="AE25" s="58">
        <v>216</v>
      </c>
      <c r="AF25" s="59">
        <v>135</v>
      </c>
      <c r="AG25" s="58">
        <v>322</v>
      </c>
      <c r="AH25" s="59">
        <v>135</v>
      </c>
      <c r="AI25" s="58">
        <v>231</v>
      </c>
      <c r="AJ25" s="59">
        <v>140</v>
      </c>
      <c r="AK25" s="58">
        <v>231</v>
      </c>
      <c r="AL25" s="59">
        <v>140</v>
      </c>
      <c r="AM25" s="58">
        <v>260</v>
      </c>
      <c r="AN25" s="59">
        <v>140</v>
      </c>
      <c r="AO25" s="58">
        <v>288</v>
      </c>
      <c r="AP25" s="59">
        <v>140</v>
      </c>
      <c r="AQ25" s="58">
        <v>218</v>
      </c>
      <c r="AR25" s="59">
        <v>145</v>
      </c>
      <c r="AS25" s="58">
        <v>244</v>
      </c>
      <c r="AT25" s="59">
        <v>140</v>
      </c>
      <c r="AU25" s="58">
        <v>283</v>
      </c>
      <c r="AV25" s="59">
        <v>145</v>
      </c>
      <c r="AW25" s="58">
        <v>297</v>
      </c>
      <c r="AX25" s="59">
        <v>145</v>
      </c>
      <c r="AY25" s="58">
        <v>274</v>
      </c>
      <c r="AZ25" s="59">
        <v>145</v>
      </c>
      <c r="BA25" s="58">
        <v>238</v>
      </c>
      <c r="BB25" s="59">
        <v>150</v>
      </c>
      <c r="BC25" s="58">
        <v>242</v>
      </c>
      <c r="BD25" s="59">
        <v>155</v>
      </c>
      <c r="BE25" s="58">
        <v>313</v>
      </c>
      <c r="BF25" s="59">
        <v>150</v>
      </c>
      <c r="BG25" s="58">
        <v>201</v>
      </c>
      <c r="BH25" s="59">
        <v>155</v>
      </c>
      <c r="BI25" s="58">
        <v>217</v>
      </c>
      <c r="BJ25" s="59">
        <v>155</v>
      </c>
      <c r="BK25" s="58">
        <v>213</v>
      </c>
      <c r="BL25" s="59">
        <v>155</v>
      </c>
      <c r="BM25" s="58">
        <v>303</v>
      </c>
      <c r="BN25" s="59">
        <v>155</v>
      </c>
      <c r="BO25" s="58">
        <v>241</v>
      </c>
      <c r="BP25" s="59">
        <v>160</v>
      </c>
      <c r="BQ25" s="58">
        <v>224</v>
      </c>
      <c r="BR25" s="59">
        <v>160</v>
      </c>
      <c r="BS25" s="58">
        <v>210</v>
      </c>
      <c r="BT25" s="59">
        <v>165</v>
      </c>
      <c r="BU25" s="58">
        <v>299</v>
      </c>
      <c r="BV25" s="59">
        <v>165</v>
      </c>
      <c r="BW25" s="58">
        <v>240</v>
      </c>
      <c r="BX25" s="59">
        <v>170</v>
      </c>
      <c r="BY25" s="58">
        <v>237</v>
      </c>
      <c r="BZ25" s="59">
        <v>170</v>
      </c>
      <c r="CA25" s="58">
        <v>244</v>
      </c>
      <c r="CB25" s="59">
        <v>175</v>
      </c>
      <c r="CC25" s="58">
        <v>255</v>
      </c>
      <c r="CD25" s="59">
        <v>175</v>
      </c>
      <c r="CE25" s="58">
        <v>175</v>
      </c>
      <c r="CF25" s="59">
        <v>170</v>
      </c>
      <c r="CG25" s="58">
        <v>247</v>
      </c>
      <c r="CH25" s="59">
        <v>170</v>
      </c>
      <c r="CI25" s="58">
        <v>227</v>
      </c>
      <c r="CJ25" s="59">
        <v>180</v>
      </c>
      <c r="CK25" s="58">
        <v>297</v>
      </c>
      <c r="CL25" s="59">
        <v>190</v>
      </c>
      <c r="CM25" s="58">
        <v>222</v>
      </c>
      <c r="CN25" s="59">
        <v>180</v>
      </c>
      <c r="CO25" s="58">
        <v>203</v>
      </c>
      <c r="CP25" s="59">
        <v>190</v>
      </c>
      <c r="CQ25" s="58">
        <v>260</v>
      </c>
      <c r="CR25" s="59">
        <v>200</v>
      </c>
      <c r="CS25" s="58">
        <v>282</v>
      </c>
      <c r="CT25" s="59">
        <v>200</v>
      </c>
      <c r="CU25" s="58">
        <v>236</v>
      </c>
      <c r="CV25" s="59">
        <v>210</v>
      </c>
      <c r="CW25" s="58">
        <v>242</v>
      </c>
      <c r="CX25" s="59">
        <v>200</v>
      </c>
      <c r="CY25" s="58">
        <v>229</v>
      </c>
      <c r="CZ25" s="59">
        <v>200</v>
      </c>
      <c r="DA25" s="58">
        <v>316</v>
      </c>
      <c r="DB25" s="59">
        <v>210</v>
      </c>
      <c r="DC25" s="58">
        <v>252</v>
      </c>
      <c r="DD25" s="59">
        <v>210</v>
      </c>
      <c r="DE25" s="58">
        <v>230</v>
      </c>
      <c r="DF25" s="59">
        <v>200</v>
      </c>
      <c r="DG25" s="58">
        <v>234</v>
      </c>
      <c r="DH25" s="59">
        <v>220</v>
      </c>
      <c r="DI25" s="58">
        <v>315</v>
      </c>
      <c r="DJ25" s="59">
        <v>220</v>
      </c>
      <c r="DK25" s="58">
        <v>214</v>
      </c>
      <c r="DL25" s="59">
        <v>220</v>
      </c>
      <c r="DM25" s="58">
        <v>253</v>
      </c>
      <c r="DN25" s="59">
        <v>220</v>
      </c>
      <c r="DO25" s="58">
        <v>269</v>
      </c>
      <c r="DP25" s="59">
        <v>220</v>
      </c>
      <c r="DQ25" s="58">
        <v>313</v>
      </c>
      <c r="DR25" s="59">
        <v>220</v>
      </c>
      <c r="DS25" s="58">
        <v>273</v>
      </c>
      <c r="DT25" s="59">
        <v>220</v>
      </c>
      <c r="DU25" s="58">
        <v>231</v>
      </c>
      <c r="DV25" s="59">
        <v>224</v>
      </c>
      <c r="DW25" s="58">
        <v>256</v>
      </c>
      <c r="DX25" s="59">
        <v>230</v>
      </c>
      <c r="DY25" s="58">
        <v>294</v>
      </c>
      <c r="DZ25" s="59">
        <v>220</v>
      </c>
      <c r="EA25" s="58">
        <v>274</v>
      </c>
      <c r="EB25" s="59">
        <v>230</v>
      </c>
      <c r="EC25" s="58">
        <v>291</v>
      </c>
      <c r="ED25" s="59">
        <v>230</v>
      </c>
      <c r="EE25" s="58">
        <v>282</v>
      </c>
      <c r="EF25" s="59">
        <v>230</v>
      </c>
      <c r="EG25" s="58">
        <v>288</v>
      </c>
      <c r="EH25" s="59">
        <v>230</v>
      </c>
      <c r="EI25" s="58">
        <v>257</v>
      </c>
      <c r="EJ25" s="59">
        <v>225</v>
      </c>
      <c r="EK25" s="58">
        <v>291</v>
      </c>
      <c r="EL25" s="59">
        <v>230</v>
      </c>
      <c r="EM25" s="58">
        <v>223</v>
      </c>
      <c r="EN25" s="59">
        <v>235</v>
      </c>
      <c r="EO25" s="58">
        <v>289</v>
      </c>
      <c r="EP25" s="59">
        <v>230</v>
      </c>
      <c r="EQ25" s="58">
        <v>261</v>
      </c>
      <c r="ER25" s="59">
        <v>230</v>
      </c>
      <c r="ES25" s="58">
        <v>257</v>
      </c>
      <c r="ET25" s="59">
        <v>230</v>
      </c>
      <c r="EU25" s="58">
        <v>249</v>
      </c>
      <c r="EV25" s="59">
        <v>240</v>
      </c>
      <c r="EW25" s="58">
        <v>294</v>
      </c>
      <c r="EX25" s="59">
        <v>240</v>
      </c>
      <c r="EY25" s="58">
        <v>227</v>
      </c>
      <c r="EZ25" s="59">
        <v>240</v>
      </c>
      <c r="FA25" s="58">
        <v>226</v>
      </c>
      <c r="FB25" s="59">
        <v>245</v>
      </c>
      <c r="FC25" s="58">
        <v>224</v>
      </c>
      <c r="FD25" s="59">
        <v>250</v>
      </c>
      <c r="FE25" s="58">
        <v>264</v>
      </c>
      <c r="FF25" s="59">
        <v>250</v>
      </c>
      <c r="FG25" s="58">
        <v>212</v>
      </c>
      <c r="FH25" s="59">
        <v>250</v>
      </c>
      <c r="FI25" s="58">
        <v>211</v>
      </c>
      <c r="FJ25" s="59">
        <v>250</v>
      </c>
      <c r="FK25" s="58">
        <v>216</v>
      </c>
      <c r="FL25" s="59">
        <v>260</v>
      </c>
      <c r="FM25" s="58">
        <v>254</v>
      </c>
      <c r="FN25" s="59">
        <v>250</v>
      </c>
      <c r="FO25" s="58">
        <v>216</v>
      </c>
      <c r="FP25" s="59">
        <v>260</v>
      </c>
      <c r="FQ25" s="58">
        <v>194</v>
      </c>
      <c r="FR25" s="59">
        <v>260</v>
      </c>
      <c r="FS25" s="58">
        <v>181</v>
      </c>
      <c r="FT25" s="59">
        <v>270</v>
      </c>
      <c r="FU25" s="58">
        <v>206</v>
      </c>
      <c r="FV25" s="59">
        <v>270</v>
      </c>
      <c r="FW25" s="58">
        <v>197</v>
      </c>
      <c r="FX25" s="59">
        <v>280</v>
      </c>
      <c r="FY25" s="58">
        <v>188</v>
      </c>
      <c r="FZ25" s="59">
        <v>280</v>
      </c>
      <c r="GA25" s="58">
        <v>153</v>
      </c>
      <c r="GB25" s="59">
        <v>290</v>
      </c>
      <c r="GC25" s="58">
        <v>193</v>
      </c>
      <c r="GD25" s="59">
        <v>290</v>
      </c>
      <c r="GE25" s="58">
        <v>190</v>
      </c>
      <c r="GF25" s="59">
        <v>300</v>
      </c>
      <c r="GG25" s="58">
        <v>185</v>
      </c>
      <c r="GH25" s="59">
        <v>300</v>
      </c>
      <c r="GI25" s="58">
        <v>194</v>
      </c>
      <c r="GJ25" s="59">
        <v>303</v>
      </c>
      <c r="GK25" s="58">
        <v>207</v>
      </c>
      <c r="GL25" s="59">
        <v>310</v>
      </c>
      <c r="GM25" s="58">
        <v>194</v>
      </c>
      <c r="GN25" s="59">
        <v>330</v>
      </c>
      <c r="GO25" s="58">
        <v>161</v>
      </c>
      <c r="GP25" s="59">
        <v>330</v>
      </c>
      <c r="GQ25" s="58">
        <v>157</v>
      </c>
      <c r="GR25" s="59">
        <v>320</v>
      </c>
      <c r="GS25" s="58">
        <v>168</v>
      </c>
      <c r="GT25" s="59">
        <v>340</v>
      </c>
      <c r="GU25" s="58">
        <v>180</v>
      </c>
      <c r="GV25" s="59">
        <v>340</v>
      </c>
      <c r="GW25" s="58">
        <v>182</v>
      </c>
      <c r="GX25" s="59">
        <v>330</v>
      </c>
      <c r="GY25" s="58">
        <v>177</v>
      </c>
      <c r="GZ25" s="59">
        <v>340</v>
      </c>
      <c r="HA25" s="6">
        <v>166</v>
      </c>
      <c r="HB25" s="59">
        <v>350</v>
      </c>
      <c r="HC25" s="6">
        <v>176</v>
      </c>
      <c r="HD25" s="59">
        <v>350</v>
      </c>
      <c r="HE25" s="6">
        <v>156</v>
      </c>
      <c r="HF25" s="59">
        <v>350</v>
      </c>
    </row>
    <row r="26" spans="1:214" s="10" customFormat="1" x14ac:dyDescent="0.25">
      <c r="A26" s="53" t="s">
        <v>765</v>
      </c>
      <c r="B26" s="54" t="s">
        <v>766</v>
      </c>
      <c r="C26" s="55" t="s">
        <v>2</v>
      </c>
      <c r="D26" s="56" t="s">
        <v>2</v>
      </c>
      <c r="E26" s="55" t="s">
        <v>2</v>
      </c>
      <c r="F26" s="56" t="s">
        <v>2</v>
      </c>
      <c r="G26" s="55" t="s">
        <v>2</v>
      </c>
      <c r="H26" s="56" t="s">
        <v>2</v>
      </c>
      <c r="I26" s="55" t="s">
        <v>2</v>
      </c>
      <c r="J26" s="56" t="s">
        <v>2</v>
      </c>
      <c r="K26" s="55" t="s">
        <v>2</v>
      </c>
      <c r="L26" s="56" t="s">
        <v>2</v>
      </c>
      <c r="M26" s="55" t="s">
        <v>2</v>
      </c>
      <c r="N26" s="56" t="s">
        <v>2</v>
      </c>
      <c r="O26" s="55" t="s">
        <v>2</v>
      </c>
      <c r="P26" s="56" t="s">
        <v>2</v>
      </c>
      <c r="Q26" s="55" t="s">
        <v>2</v>
      </c>
      <c r="R26" s="56" t="s">
        <v>2</v>
      </c>
      <c r="S26" s="55" t="s">
        <v>2</v>
      </c>
      <c r="T26" s="56" t="s">
        <v>2</v>
      </c>
      <c r="U26" s="55" t="s">
        <v>2</v>
      </c>
      <c r="V26" s="56" t="s">
        <v>2</v>
      </c>
      <c r="W26" s="55" t="s">
        <v>2</v>
      </c>
      <c r="X26" s="56" t="s">
        <v>2</v>
      </c>
      <c r="Y26" s="55" t="s">
        <v>2</v>
      </c>
      <c r="Z26" s="56" t="s">
        <v>2</v>
      </c>
      <c r="AA26" s="55" t="s">
        <v>2</v>
      </c>
      <c r="AB26" s="56" t="s">
        <v>2</v>
      </c>
      <c r="AC26" s="55" t="s">
        <v>2</v>
      </c>
      <c r="AD26" s="56" t="s">
        <v>2</v>
      </c>
      <c r="AE26" s="55" t="s">
        <v>2</v>
      </c>
      <c r="AF26" s="56" t="s">
        <v>2</v>
      </c>
      <c r="AG26" s="55" t="s">
        <v>2</v>
      </c>
      <c r="AH26" s="56" t="s">
        <v>2</v>
      </c>
      <c r="AI26" s="55" t="s">
        <v>2</v>
      </c>
      <c r="AJ26" s="56" t="s">
        <v>2</v>
      </c>
      <c r="AK26" s="55" t="s">
        <v>2</v>
      </c>
      <c r="AL26" s="56" t="s">
        <v>2</v>
      </c>
      <c r="AM26" s="55" t="s">
        <v>2</v>
      </c>
      <c r="AN26" s="56" t="s">
        <v>2</v>
      </c>
      <c r="AO26" s="55" t="s">
        <v>2</v>
      </c>
      <c r="AP26" s="56" t="s">
        <v>2</v>
      </c>
      <c r="AQ26" s="55" t="s">
        <v>2</v>
      </c>
      <c r="AR26" s="56" t="s">
        <v>2</v>
      </c>
      <c r="AS26" s="55" t="s">
        <v>2</v>
      </c>
      <c r="AT26" s="56" t="s">
        <v>2</v>
      </c>
      <c r="AU26" s="55" t="s">
        <v>2</v>
      </c>
      <c r="AV26" s="56" t="s">
        <v>2</v>
      </c>
      <c r="AW26" s="55" t="s">
        <v>2</v>
      </c>
      <c r="AX26" s="56" t="s">
        <v>2</v>
      </c>
      <c r="AY26" s="55" t="s">
        <v>2</v>
      </c>
      <c r="AZ26" s="56" t="s">
        <v>2</v>
      </c>
      <c r="BA26" s="55" t="s">
        <v>2</v>
      </c>
      <c r="BB26" s="56" t="s">
        <v>2</v>
      </c>
      <c r="BC26" s="55" t="s">
        <v>2</v>
      </c>
      <c r="BD26" s="56" t="s">
        <v>2</v>
      </c>
      <c r="BE26" s="55" t="s">
        <v>2</v>
      </c>
      <c r="BF26" s="56" t="s">
        <v>2</v>
      </c>
      <c r="BG26" s="55" t="s">
        <v>2</v>
      </c>
      <c r="BH26" s="56" t="s">
        <v>2</v>
      </c>
      <c r="BI26" s="55" t="s">
        <v>2</v>
      </c>
      <c r="BJ26" s="56" t="s">
        <v>2</v>
      </c>
      <c r="BK26" s="55" t="s">
        <v>2</v>
      </c>
      <c r="BL26" s="56" t="s">
        <v>2</v>
      </c>
      <c r="BM26" s="55" t="s">
        <v>2</v>
      </c>
      <c r="BN26" s="56" t="s">
        <v>2</v>
      </c>
      <c r="BO26" s="55" t="s">
        <v>2</v>
      </c>
      <c r="BP26" s="56" t="s">
        <v>2</v>
      </c>
      <c r="BQ26" s="55" t="s">
        <v>2</v>
      </c>
      <c r="BR26" s="56" t="s">
        <v>2</v>
      </c>
      <c r="BS26" s="55" t="s">
        <v>2</v>
      </c>
      <c r="BT26" s="56" t="s">
        <v>2</v>
      </c>
      <c r="BU26" s="55" t="s">
        <v>2</v>
      </c>
      <c r="BV26" s="56" t="s">
        <v>2</v>
      </c>
      <c r="BW26" s="55" t="s">
        <v>2</v>
      </c>
      <c r="BX26" s="56" t="s">
        <v>2</v>
      </c>
      <c r="BY26" s="55" t="s">
        <v>2</v>
      </c>
      <c r="BZ26" s="56" t="s">
        <v>2</v>
      </c>
      <c r="CA26" s="55" t="s">
        <v>2</v>
      </c>
      <c r="CB26" s="56" t="s">
        <v>2</v>
      </c>
      <c r="CC26" s="55" t="s">
        <v>2</v>
      </c>
      <c r="CD26" s="56" t="s">
        <v>2</v>
      </c>
      <c r="CE26" s="55" t="s">
        <v>2</v>
      </c>
      <c r="CF26" s="56" t="s">
        <v>2</v>
      </c>
      <c r="CG26" s="55" t="s">
        <v>2</v>
      </c>
      <c r="CH26" s="56" t="s">
        <v>2</v>
      </c>
      <c r="CI26" s="55" t="s">
        <v>2</v>
      </c>
      <c r="CJ26" s="56" t="s">
        <v>2</v>
      </c>
      <c r="CK26" s="55" t="s">
        <v>2</v>
      </c>
      <c r="CL26" s="56" t="s">
        <v>2</v>
      </c>
      <c r="CM26" s="55" t="s">
        <v>2</v>
      </c>
      <c r="CN26" s="56" t="s">
        <v>2</v>
      </c>
      <c r="CO26" s="55" t="s">
        <v>2</v>
      </c>
      <c r="CP26" s="56" t="s">
        <v>2</v>
      </c>
      <c r="CQ26" s="55" t="s">
        <v>2</v>
      </c>
      <c r="CR26" s="56" t="s">
        <v>2</v>
      </c>
      <c r="CS26" s="55" t="s">
        <v>2</v>
      </c>
      <c r="CT26" s="56" t="s">
        <v>2</v>
      </c>
      <c r="CU26" s="55" t="s">
        <v>2</v>
      </c>
      <c r="CV26" s="56" t="s">
        <v>2</v>
      </c>
      <c r="CW26" s="55" t="s">
        <v>2</v>
      </c>
      <c r="CX26" s="56" t="s">
        <v>2</v>
      </c>
      <c r="CY26" s="55" t="s">
        <v>2</v>
      </c>
      <c r="CZ26" s="56" t="s">
        <v>2</v>
      </c>
      <c r="DA26" s="55" t="s">
        <v>2</v>
      </c>
      <c r="DB26" s="56" t="s">
        <v>2</v>
      </c>
      <c r="DC26" s="55" t="s">
        <v>2</v>
      </c>
      <c r="DD26" s="56" t="s">
        <v>2</v>
      </c>
      <c r="DE26" s="55" t="s">
        <v>2</v>
      </c>
      <c r="DF26" s="56" t="s">
        <v>2</v>
      </c>
      <c r="DG26" s="55" t="s">
        <v>2</v>
      </c>
      <c r="DH26" s="56" t="s">
        <v>2</v>
      </c>
      <c r="DI26" s="55" t="s">
        <v>2</v>
      </c>
      <c r="DJ26" s="56" t="s">
        <v>2</v>
      </c>
      <c r="DK26" s="55" t="s">
        <v>2</v>
      </c>
      <c r="DL26" s="56" t="s">
        <v>2</v>
      </c>
      <c r="DM26" s="55" t="s">
        <v>2</v>
      </c>
      <c r="DN26" s="56" t="s">
        <v>2</v>
      </c>
      <c r="DO26" s="55" t="s">
        <v>2</v>
      </c>
      <c r="DP26" s="56" t="s">
        <v>2</v>
      </c>
      <c r="DQ26" s="55" t="s">
        <v>2</v>
      </c>
      <c r="DR26" s="56" t="s">
        <v>2</v>
      </c>
      <c r="DS26" s="55" t="s">
        <v>2</v>
      </c>
      <c r="DT26" s="56" t="s">
        <v>2</v>
      </c>
      <c r="DU26" s="55" t="s">
        <v>2</v>
      </c>
      <c r="DV26" s="56" t="s">
        <v>2</v>
      </c>
      <c r="DW26" s="55" t="s">
        <v>2</v>
      </c>
      <c r="DX26" s="56" t="s">
        <v>2</v>
      </c>
      <c r="DY26" s="55" t="s">
        <v>2</v>
      </c>
      <c r="DZ26" s="56" t="s">
        <v>2</v>
      </c>
      <c r="EA26" s="55" t="s">
        <v>2</v>
      </c>
      <c r="EB26" s="56" t="s">
        <v>2</v>
      </c>
      <c r="EC26" s="55" t="s">
        <v>2</v>
      </c>
      <c r="ED26" s="56" t="s">
        <v>2</v>
      </c>
      <c r="EE26" s="55" t="s">
        <v>2</v>
      </c>
      <c r="EF26" s="56" t="s">
        <v>2</v>
      </c>
      <c r="EG26" s="55" t="s">
        <v>2</v>
      </c>
      <c r="EH26" s="56" t="s">
        <v>2</v>
      </c>
      <c r="EI26" s="55" t="s">
        <v>2</v>
      </c>
      <c r="EJ26" s="56" t="s">
        <v>2</v>
      </c>
      <c r="EK26" s="55" t="s">
        <v>2</v>
      </c>
      <c r="EL26" s="56" t="s">
        <v>2</v>
      </c>
      <c r="EM26" s="55" t="s">
        <v>2</v>
      </c>
      <c r="EN26" s="56" t="s">
        <v>2</v>
      </c>
      <c r="EO26" s="55" t="s">
        <v>2</v>
      </c>
      <c r="EP26" s="56" t="s">
        <v>2</v>
      </c>
      <c r="EQ26" s="55" t="s">
        <v>2</v>
      </c>
      <c r="ER26" s="56" t="s">
        <v>2</v>
      </c>
      <c r="ES26" s="55" t="s">
        <v>2</v>
      </c>
      <c r="ET26" s="56" t="s">
        <v>2</v>
      </c>
      <c r="EU26" s="55" t="s">
        <v>2</v>
      </c>
      <c r="EV26" s="56" t="s">
        <v>2</v>
      </c>
      <c r="EW26" s="55" t="s">
        <v>2</v>
      </c>
      <c r="EX26" s="56" t="s">
        <v>2</v>
      </c>
      <c r="EY26" s="55" t="s">
        <v>2</v>
      </c>
      <c r="EZ26" s="56" t="s">
        <v>2</v>
      </c>
      <c r="FA26" s="55" t="s">
        <v>2</v>
      </c>
      <c r="FB26" s="56" t="s">
        <v>2</v>
      </c>
      <c r="FC26" s="55" t="s">
        <v>2</v>
      </c>
      <c r="FD26" s="56" t="s">
        <v>2</v>
      </c>
      <c r="FE26" s="55" t="s">
        <v>2</v>
      </c>
      <c r="FF26" s="56" t="s">
        <v>2</v>
      </c>
      <c r="FG26" s="55" t="s">
        <v>2</v>
      </c>
      <c r="FH26" s="56" t="s">
        <v>2</v>
      </c>
      <c r="FI26" s="55" t="s">
        <v>2</v>
      </c>
      <c r="FJ26" s="56" t="s">
        <v>2</v>
      </c>
      <c r="FK26" s="55" t="s">
        <v>2</v>
      </c>
      <c r="FL26" s="56" t="s">
        <v>2</v>
      </c>
      <c r="FM26" s="55" t="s">
        <v>2</v>
      </c>
      <c r="FN26" s="56" t="s">
        <v>2</v>
      </c>
      <c r="FO26" s="55" t="s">
        <v>2</v>
      </c>
      <c r="FP26" s="56" t="s">
        <v>2</v>
      </c>
      <c r="FQ26" s="55" t="s">
        <v>2</v>
      </c>
      <c r="FR26" s="56" t="s">
        <v>2</v>
      </c>
      <c r="FS26" s="55" t="s">
        <v>2</v>
      </c>
      <c r="FT26" s="56" t="s">
        <v>2</v>
      </c>
      <c r="FU26" s="55">
        <v>10</v>
      </c>
      <c r="FV26" s="56">
        <v>155</v>
      </c>
      <c r="FW26" s="55" t="s">
        <v>2</v>
      </c>
      <c r="FX26" s="56" t="s">
        <v>2</v>
      </c>
      <c r="FY26" s="55" t="s">
        <v>2</v>
      </c>
      <c r="FZ26" s="56" t="s">
        <v>2</v>
      </c>
      <c r="GA26" s="55" t="s">
        <v>2</v>
      </c>
      <c r="GB26" s="56" t="s">
        <v>2</v>
      </c>
      <c r="GC26" s="55" t="s">
        <v>2</v>
      </c>
      <c r="GD26" s="56" t="s">
        <v>2</v>
      </c>
      <c r="GE26" s="55" t="s">
        <v>2</v>
      </c>
      <c r="GF26" s="56" t="s">
        <v>2</v>
      </c>
      <c r="GG26" s="55" t="s">
        <v>2</v>
      </c>
      <c r="GH26" s="56" t="s">
        <v>2</v>
      </c>
      <c r="GI26" s="55" t="s">
        <v>2</v>
      </c>
      <c r="GJ26" s="56" t="s">
        <v>2</v>
      </c>
      <c r="GK26" s="55" t="s">
        <v>2</v>
      </c>
      <c r="GL26" s="56" t="s">
        <v>2</v>
      </c>
      <c r="GM26" s="55" t="s">
        <v>2</v>
      </c>
      <c r="GN26" s="56" t="s">
        <v>2</v>
      </c>
      <c r="GO26" s="55">
        <v>5</v>
      </c>
      <c r="GP26" s="56">
        <v>250</v>
      </c>
      <c r="GQ26" s="55" t="s">
        <v>2</v>
      </c>
      <c r="GR26" s="56" t="s">
        <v>2</v>
      </c>
      <c r="GS26" s="55" t="s">
        <v>2</v>
      </c>
      <c r="GT26" s="56" t="s">
        <v>2</v>
      </c>
      <c r="GU26" s="55" t="s">
        <v>2</v>
      </c>
      <c r="GV26" s="56" t="s">
        <v>2</v>
      </c>
      <c r="GW26" s="55" t="s">
        <v>2</v>
      </c>
      <c r="GX26" s="56" t="s">
        <v>2</v>
      </c>
      <c r="GY26" s="55" t="s">
        <v>2</v>
      </c>
      <c r="GZ26" s="56" t="s">
        <v>2</v>
      </c>
      <c r="HA26" s="7" t="s">
        <v>2</v>
      </c>
      <c r="HB26" s="56" t="s">
        <v>2</v>
      </c>
      <c r="HC26" s="7" t="s">
        <v>2</v>
      </c>
      <c r="HD26" s="56" t="s">
        <v>2</v>
      </c>
      <c r="HE26" s="7" t="s">
        <v>2</v>
      </c>
      <c r="HF26" s="56" t="s">
        <v>2</v>
      </c>
    </row>
    <row r="27" spans="1:214" x14ac:dyDescent="0.25">
      <c r="A27" s="53"/>
      <c r="B27" s="54" t="s">
        <v>767</v>
      </c>
      <c r="C27" s="55">
        <v>76</v>
      </c>
      <c r="D27" s="56">
        <v>125</v>
      </c>
      <c r="E27" s="55">
        <v>66</v>
      </c>
      <c r="F27" s="56">
        <v>130</v>
      </c>
      <c r="G27" s="55">
        <v>76</v>
      </c>
      <c r="H27" s="56">
        <v>125</v>
      </c>
      <c r="I27" s="55">
        <v>82</v>
      </c>
      <c r="J27" s="56">
        <v>130</v>
      </c>
      <c r="K27" s="55">
        <v>64</v>
      </c>
      <c r="L27" s="56">
        <v>130</v>
      </c>
      <c r="M27" s="55">
        <v>82</v>
      </c>
      <c r="N27" s="56">
        <v>130</v>
      </c>
      <c r="O27" s="55">
        <v>76</v>
      </c>
      <c r="P27" s="56">
        <v>130</v>
      </c>
      <c r="Q27" s="55">
        <v>83</v>
      </c>
      <c r="R27" s="56">
        <v>130</v>
      </c>
      <c r="S27" s="55">
        <v>64</v>
      </c>
      <c r="T27" s="56">
        <v>128</v>
      </c>
      <c r="U27" s="55">
        <v>71</v>
      </c>
      <c r="V27" s="56">
        <v>135</v>
      </c>
      <c r="W27" s="55">
        <v>61</v>
      </c>
      <c r="X27" s="56">
        <v>125</v>
      </c>
      <c r="Y27" s="55">
        <v>76</v>
      </c>
      <c r="Z27" s="56">
        <v>150</v>
      </c>
      <c r="AA27" s="55">
        <v>69</v>
      </c>
      <c r="AB27" s="56">
        <v>140</v>
      </c>
      <c r="AC27" s="55">
        <v>73</v>
      </c>
      <c r="AD27" s="56">
        <v>150</v>
      </c>
      <c r="AE27" s="55">
        <v>52</v>
      </c>
      <c r="AF27" s="56">
        <v>140</v>
      </c>
      <c r="AG27" s="55">
        <v>64</v>
      </c>
      <c r="AH27" s="56">
        <v>140</v>
      </c>
      <c r="AI27" s="55">
        <v>60</v>
      </c>
      <c r="AJ27" s="56">
        <v>150</v>
      </c>
      <c r="AK27" s="55">
        <v>63</v>
      </c>
      <c r="AL27" s="56">
        <v>135</v>
      </c>
      <c r="AM27" s="55">
        <v>58</v>
      </c>
      <c r="AN27" s="56">
        <v>145</v>
      </c>
      <c r="AO27" s="55">
        <v>69</v>
      </c>
      <c r="AP27" s="56">
        <v>150</v>
      </c>
      <c r="AQ27" s="55">
        <v>54</v>
      </c>
      <c r="AR27" s="56">
        <v>150</v>
      </c>
      <c r="AS27" s="55">
        <v>70</v>
      </c>
      <c r="AT27" s="56">
        <v>150</v>
      </c>
      <c r="AU27" s="55">
        <v>65</v>
      </c>
      <c r="AV27" s="56">
        <v>165</v>
      </c>
      <c r="AW27" s="55">
        <v>51</v>
      </c>
      <c r="AX27" s="56">
        <v>155</v>
      </c>
      <c r="AY27" s="55">
        <v>68</v>
      </c>
      <c r="AZ27" s="56">
        <v>153</v>
      </c>
      <c r="BA27" s="55">
        <v>63</v>
      </c>
      <c r="BB27" s="56">
        <v>150</v>
      </c>
      <c r="BC27" s="55">
        <v>75</v>
      </c>
      <c r="BD27" s="56">
        <v>165</v>
      </c>
      <c r="BE27" s="55">
        <v>67</v>
      </c>
      <c r="BF27" s="56">
        <v>145</v>
      </c>
      <c r="BG27" s="55">
        <v>65</v>
      </c>
      <c r="BH27" s="56">
        <v>160</v>
      </c>
      <c r="BI27" s="55">
        <v>70</v>
      </c>
      <c r="BJ27" s="56">
        <v>165</v>
      </c>
      <c r="BK27" s="55">
        <v>62</v>
      </c>
      <c r="BL27" s="56">
        <v>160</v>
      </c>
      <c r="BM27" s="55">
        <v>72</v>
      </c>
      <c r="BN27" s="56">
        <v>160</v>
      </c>
      <c r="BO27" s="55">
        <v>49</v>
      </c>
      <c r="BP27" s="56">
        <v>165</v>
      </c>
      <c r="BQ27" s="55">
        <v>62</v>
      </c>
      <c r="BR27" s="56">
        <v>170</v>
      </c>
      <c r="BS27" s="55">
        <v>52</v>
      </c>
      <c r="BT27" s="56">
        <v>170</v>
      </c>
      <c r="BU27" s="55">
        <v>93</v>
      </c>
      <c r="BV27" s="56">
        <v>170</v>
      </c>
      <c r="BW27" s="55">
        <v>74</v>
      </c>
      <c r="BX27" s="56">
        <v>170</v>
      </c>
      <c r="BY27" s="55">
        <v>54</v>
      </c>
      <c r="BZ27" s="56">
        <v>180</v>
      </c>
      <c r="CA27" s="55">
        <v>76</v>
      </c>
      <c r="CB27" s="56">
        <v>178</v>
      </c>
      <c r="CC27" s="55">
        <v>75</v>
      </c>
      <c r="CD27" s="56">
        <v>180</v>
      </c>
      <c r="CE27" s="55">
        <v>57</v>
      </c>
      <c r="CF27" s="56">
        <v>180</v>
      </c>
      <c r="CG27" s="55">
        <v>78</v>
      </c>
      <c r="CH27" s="56">
        <v>175</v>
      </c>
      <c r="CI27" s="55">
        <v>65</v>
      </c>
      <c r="CJ27" s="56">
        <v>180</v>
      </c>
      <c r="CK27" s="55">
        <v>76</v>
      </c>
      <c r="CL27" s="56">
        <v>180</v>
      </c>
      <c r="CM27" s="55">
        <v>64</v>
      </c>
      <c r="CN27" s="56">
        <v>184</v>
      </c>
      <c r="CO27" s="55">
        <v>55</v>
      </c>
      <c r="CP27" s="56">
        <v>180</v>
      </c>
      <c r="CQ27" s="55">
        <v>69</v>
      </c>
      <c r="CR27" s="56">
        <v>190</v>
      </c>
      <c r="CS27" s="55">
        <v>53</v>
      </c>
      <c r="CT27" s="56">
        <v>190</v>
      </c>
      <c r="CU27" s="55">
        <v>68</v>
      </c>
      <c r="CV27" s="56">
        <v>190</v>
      </c>
      <c r="CW27" s="55">
        <v>67</v>
      </c>
      <c r="CX27" s="56">
        <v>190</v>
      </c>
      <c r="CY27" s="55">
        <v>43</v>
      </c>
      <c r="CZ27" s="56">
        <v>190</v>
      </c>
      <c r="DA27" s="55">
        <v>58</v>
      </c>
      <c r="DB27" s="56">
        <v>190</v>
      </c>
      <c r="DC27" s="55">
        <v>65</v>
      </c>
      <c r="DD27" s="56">
        <v>190</v>
      </c>
      <c r="DE27" s="55">
        <v>58</v>
      </c>
      <c r="DF27" s="56">
        <v>200</v>
      </c>
      <c r="DG27" s="55">
        <v>69</v>
      </c>
      <c r="DH27" s="56">
        <v>190</v>
      </c>
      <c r="DI27" s="55">
        <v>54</v>
      </c>
      <c r="DJ27" s="56">
        <v>200</v>
      </c>
      <c r="DK27" s="55">
        <v>62</v>
      </c>
      <c r="DL27" s="56">
        <v>190</v>
      </c>
      <c r="DM27" s="55">
        <v>58</v>
      </c>
      <c r="DN27" s="56">
        <v>200</v>
      </c>
      <c r="DO27" s="55">
        <v>50</v>
      </c>
      <c r="DP27" s="56">
        <v>198</v>
      </c>
      <c r="DQ27" s="55">
        <v>63</v>
      </c>
      <c r="DR27" s="56">
        <v>210</v>
      </c>
      <c r="DS27" s="55">
        <v>47</v>
      </c>
      <c r="DT27" s="56">
        <v>220</v>
      </c>
      <c r="DU27" s="55">
        <v>67</v>
      </c>
      <c r="DV27" s="56">
        <v>210</v>
      </c>
      <c r="DW27" s="55">
        <v>66</v>
      </c>
      <c r="DX27" s="56">
        <v>220</v>
      </c>
      <c r="DY27" s="55">
        <v>48</v>
      </c>
      <c r="DZ27" s="56">
        <v>210</v>
      </c>
      <c r="EA27" s="55">
        <v>53</v>
      </c>
      <c r="EB27" s="56">
        <v>210</v>
      </c>
      <c r="EC27" s="55">
        <v>59</v>
      </c>
      <c r="ED27" s="56">
        <v>220</v>
      </c>
      <c r="EE27" s="55">
        <v>49</v>
      </c>
      <c r="EF27" s="56">
        <v>230</v>
      </c>
      <c r="EG27" s="55">
        <v>60</v>
      </c>
      <c r="EH27" s="56">
        <v>205</v>
      </c>
      <c r="EI27" s="55">
        <v>33</v>
      </c>
      <c r="EJ27" s="56">
        <v>220</v>
      </c>
      <c r="EK27" s="55">
        <v>53</v>
      </c>
      <c r="EL27" s="56">
        <v>230</v>
      </c>
      <c r="EM27" s="55">
        <v>52</v>
      </c>
      <c r="EN27" s="56">
        <v>225</v>
      </c>
      <c r="EO27" s="55">
        <v>64</v>
      </c>
      <c r="EP27" s="56">
        <v>223</v>
      </c>
      <c r="EQ27" s="55">
        <v>41</v>
      </c>
      <c r="ER27" s="56">
        <v>210</v>
      </c>
      <c r="ES27" s="55">
        <v>65</v>
      </c>
      <c r="ET27" s="56">
        <v>220</v>
      </c>
      <c r="EU27" s="55">
        <v>49</v>
      </c>
      <c r="EV27" s="56">
        <v>240</v>
      </c>
      <c r="EW27" s="55">
        <v>46</v>
      </c>
      <c r="EX27" s="56">
        <v>220</v>
      </c>
      <c r="EY27" s="55">
        <v>45</v>
      </c>
      <c r="EZ27" s="56">
        <v>230</v>
      </c>
      <c r="FA27" s="55">
        <v>41</v>
      </c>
      <c r="FB27" s="56">
        <v>230</v>
      </c>
      <c r="FC27" s="55">
        <v>39</v>
      </c>
      <c r="FD27" s="56">
        <v>250</v>
      </c>
      <c r="FE27" s="55">
        <v>44</v>
      </c>
      <c r="FF27" s="56">
        <v>245</v>
      </c>
      <c r="FG27" s="55">
        <v>38</v>
      </c>
      <c r="FH27" s="56">
        <v>233</v>
      </c>
      <c r="FI27" s="55">
        <v>44</v>
      </c>
      <c r="FJ27" s="56">
        <v>240</v>
      </c>
      <c r="FK27" s="55">
        <v>55</v>
      </c>
      <c r="FL27" s="56">
        <v>235</v>
      </c>
      <c r="FM27" s="55">
        <v>46</v>
      </c>
      <c r="FN27" s="56">
        <v>250</v>
      </c>
      <c r="FO27" s="55">
        <v>33</v>
      </c>
      <c r="FP27" s="56">
        <v>260</v>
      </c>
      <c r="FQ27" s="55">
        <v>37</v>
      </c>
      <c r="FR27" s="56">
        <v>245</v>
      </c>
      <c r="FS27" s="55">
        <v>46</v>
      </c>
      <c r="FT27" s="56">
        <v>260</v>
      </c>
      <c r="FU27" s="55">
        <v>43</v>
      </c>
      <c r="FV27" s="56">
        <v>270</v>
      </c>
      <c r="FW27" s="55">
        <v>38</v>
      </c>
      <c r="FX27" s="56">
        <v>260</v>
      </c>
      <c r="FY27" s="55">
        <v>34</v>
      </c>
      <c r="FZ27" s="56">
        <v>280</v>
      </c>
      <c r="GA27" s="55">
        <v>36</v>
      </c>
      <c r="GB27" s="56">
        <v>260</v>
      </c>
      <c r="GC27" s="55">
        <v>30</v>
      </c>
      <c r="GD27" s="56">
        <v>305</v>
      </c>
      <c r="GE27" s="55">
        <v>33</v>
      </c>
      <c r="GF27" s="56">
        <v>310</v>
      </c>
      <c r="GG27" s="55">
        <v>35</v>
      </c>
      <c r="GH27" s="56">
        <v>320</v>
      </c>
      <c r="GI27" s="55">
        <v>34</v>
      </c>
      <c r="GJ27" s="56">
        <v>330</v>
      </c>
      <c r="GK27" s="55">
        <v>40</v>
      </c>
      <c r="GL27" s="56">
        <v>310</v>
      </c>
      <c r="GM27" s="55">
        <v>29</v>
      </c>
      <c r="GN27" s="56">
        <v>350</v>
      </c>
      <c r="GO27" s="55">
        <v>46</v>
      </c>
      <c r="GP27" s="56">
        <v>340</v>
      </c>
      <c r="GQ27" s="55">
        <v>37</v>
      </c>
      <c r="GR27" s="56">
        <v>320</v>
      </c>
      <c r="GS27" s="55">
        <v>49</v>
      </c>
      <c r="GT27" s="56">
        <v>360</v>
      </c>
      <c r="GU27" s="55">
        <v>36</v>
      </c>
      <c r="GV27" s="56">
        <v>340</v>
      </c>
      <c r="GW27" s="55">
        <v>41</v>
      </c>
      <c r="GX27" s="56">
        <v>350</v>
      </c>
      <c r="GY27" s="55">
        <v>34</v>
      </c>
      <c r="GZ27" s="56">
        <v>365</v>
      </c>
      <c r="HA27">
        <v>40</v>
      </c>
      <c r="HB27" s="56">
        <v>350</v>
      </c>
      <c r="HC27">
        <v>31</v>
      </c>
      <c r="HD27" s="56">
        <v>360</v>
      </c>
      <c r="HE27">
        <v>30</v>
      </c>
      <c r="HF27" s="56">
        <v>400</v>
      </c>
    </row>
    <row r="28" spans="1:214" x14ac:dyDescent="0.25">
      <c r="A28" s="53"/>
      <c r="B28" s="54" t="s">
        <v>768</v>
      </c>
      <c r="C28" s="55">
        <v>17</v>
      </c>
      <c r="D28" s="56">
        <v>110</v>
      </c>
      <c r="E28" s="55">
        <v>14</v>
      </c>
      <c r="F28" s="56">
        <v>110</v>
      </c>
      <c r="G28" s="55">
        <v>15</v>
      </c>
      <c r="H28" s="56">
        <v>110</v>
      </c>
      <c r="I28" s="55">
        <v>20</v>
      </c>
      <c r="J28" s="56">
        <v>115</v>
      </c>
      <c r="K28" s="55">
        <v>14</v>
      </c>
      <c r="L28" s="56">
        <v>110</v>
      </c>
      <c r="M28" s="55">
        <v>18</v>
      </c>
      <c r="N28" s="56">
        <v>113</v>
      </c>
      <c r="O28" s="55">
        <v>18</v>
      </c>
      <c r="P28" s="56">
        <v>115</v>
      </c>
      <c r="Q28" s="55">
        <v>17</v>
      </c>
      <c r="R28" s="56">
        <v>115</v>
      </c>
      <c r="S28" s="55">
        <v>10</v>
      </c>
      <c r="T28" s="56">
        <v>118</v>
      </c>
      <c r="U28" s="55">
        <v>16</v>
      </c>
      <c r="V28" s="56">
        <v>108</v>
      </c>
      <c r="W28" s="55">
        <v>16</v>
      </c>
      <c r="X28" s="56">
        <v>120</v>
      </c>
      <c r="Y28" s="55">
        <v>16</v>
      </c>
      <c r="Z28" s="56">
        <v>118</v>
      </c>
      <c r="AA28" s="55">
        <v>17</v>
      </c>
      <c r="AB28" s="56">
        <v>120</v>
      </c>
      <c r="AC28" s="55">
        <v>6</v>
      </c>
      <c r="AD28" s="56">
        <v>125</v>
      </c>
      <c r="AE28" s="55">
        <v>11</v>
      </c>
      <c r="AF28" s="56">
        <v>120</v>
      </c>
      <c r="AG28" s="55">
        <v>17</v>
      </c>
      <c r="AH28" s="56">
        <v>125</v>
      </c>
      <c r="AI28" s="55">
        <v>11</v>
      </c>
      <c r="AJ28" s="56">
        <v>130</v>
      </c>
      <c r="AK28" s="55">
        <v>11</v>
      </c>
      <c r="AL28" s="56">
        <v>115</v>
      </c>
      <c r="AM28" s="55">
        <v>17</v>
      </c>
      <c r="AN28" s="56">
        <v>130</v>
      </c>
      <c r="AO28" s="55">
        <v>13</v>
      </c>
      <c r="AP28" s="56">
        <v>130</v>
      </c>
      <c r="AQ28" s="55">
        <v>10</v>
      </c>
      <c r="AR28" s="56">
        <v>118</v>
      </c>
      <c r="AS28" s="55">
        <v>9</v>
      </c>
      <c r="AT28" s="56">
        <v>140</v>
      </c>
      <c r="AU28" s="55">
        <v>18</v>
      </c>
      <c r="AV28" s="56">
        <v>133</v>
      </c>
      <c r="AW28" s="55">
        <v>15</v>
      </c>
      <c r="AX28" s="56">
        <v>135</v>
      </c>
      <c r="AY28" s="55">
        <v>6</v>
      </c>
      <c r="AZ28" s="56">
        <v>115</v>
      </c>
      <c r="BA28" s="55">
        <v>12</v>
      </c>
      <c r="BB28" s="56">
        <v>135</v>
      </c>
      <c r="BC28" s="55" t="s">
        <v>2</v>
      </c>
      <c r="BD28" s="56" t="s">
        <v>2</v>
      </c>
      <c r="BE28" s="55">
        <v>9</v>
      </c>
      <c r="BF28" s="56">
        <v>130</v>
      </c>
      <c r="BG28" s="55">
        <v>9</v>
      </c>
      <c r="BH28" s="56">
        <v>130</v>
      </c>
      <c r="BI28" s="55">
        <v>13</v>
      </c>
      <c r="BJ28" s="56">
        <v>125</v>
      </c>
      <c r="BK28" s="55">
        <v>8</v>
      </c>
      <c r="BL28" s="56">
        <v>135</v>
      </c>
      <c r="BM28" s="55">
        <v>8</v>
      </c>
      <c r="BN28" s="56">
        <v>133</v>
      </c>
      <c r="BO28" s="55">
        <v>11</v>
      </c>
      <c r="BP28" s="56">
        <v>160</v>
      </c>
      <c r="BQ28" s="55">
        <v>14</v>
      </c>
      <c r="BR28" s="56">
        <v>140</v>
      </c>
      <c r="BS28" s="55">
        <v>12</v>
      </c>
      <c r="BT28" s="56">
        <v>158</v>
      </c>
      <c r="BU28" s="55">
        <v>11</v>
      </c>
      <c r="BV28" s="56">
        <v>150</v>
      </c>
      <c r="BW28" s="55">
        <v>14</v>
      </c>
      <c r="BX28" s="56">
        <v>163</v>
      </c>
      <c r="BY28" s="55">
        <v>10</v>
      </c>
      <c r="BZ28" s="56">
        <v>143</v>
      </c>
      <c r="CA28" s="55">
        <v>6</v>
      </c>
      <c r="CB28" s="56">
        <v>160</v>
      </c>
      <c r="CC28" s="55">
        <v>8</v>
      </c>
      <c r="CD28" s="56">
        <v>148</v>
      </c>
      <c r="CE28" s="55">
        <v>9</v>
      </c>
      <c r="CF28" s="56">
        <v>155</v>
      </c>
      <c r="CG28" s="55">
        <v>10</v>
      </c>
      <c r="CH28" s="56">
        <v>143</v>
      </c>
      <c r="CI28" s="55">
        <v>11</v>
      </c>
      <c r="CJ28" s="56">
        <v>145</v>
      </c>
      <c r="CK28" s="55">
        <v>8</v>
      </c>
      <c r="CL28" s="56">
        <v>163</v>
      </c>
      <c r="CM28" s="55">
        <v>7</v>
      </c>
      <c r="CN28" s="56">
        <v>160</v>
      </c>
      <c r="CO28" s="55">
        <v>7</v>
      </c>
      <c r="CP28" s="56">
        <v>180</v>
      </c>
      <c r="CQ28" s="55">
        <v>13</v>
      </c>
      <c r="CR28" s="56">
        <v>170</v>
      </c>
      <c r="CS28" s="55">
        <v>7</v>
      </c>
      <c r="CT28" s="56">
        <v>185</v>
      </c>
      <c r="CU28" s="55">
        <v>11</v>
      </c>
      <c r="CV28" s="56">
        <v>190</v>
      </c>
      <c r="CW28" s="55">
        <v>15</v>
      </c>
      <c r="CX28" s="56">
        <v>175</v>
      </c>
      <c r="CY28" s="55">
        <v>7</v>
      </c>
      <c r="CZ28" s="56">
        <v>195</v>
      </c>
      <c r="DA28" s="55">
        <v>15</v>
      </c>
      <c r="DB28" s="56">
        <v>190</v>
      </c>
      <c r="DC28" s="55">
        <v>16</v>
      </c>
      <c r="DD28" s="56">
        <v>195</v>
      </c>
      <c r="DE28" s="55">
        <v>12</v>
      </c>
      <c r="DF28" s="56">
        <v>195</v>
      </c>
      <c r="DG28" s="55">
        <v>14</v>
      </c>
      <c r="DH28" s="56">
        <v>195</v>
      </c>
      <c r="DI28" s="55">
        <v>13</v>
      </c>
      <c r="DJ28" s="56">
        <v>200</v>
      </c>
      <c r="DK28" s="55">
        <v>11</v>
      </c>
      <c r="DL28" s="56">
        <v>200</v>
      </c>
      <c r="DM28" s="55">
        <v>12</v>
      </c>
      <c r="DN28" s="56">
        <v>180</v>
      </c>
      <c r="DO28" s="55">
        <v>12</v>
      </c>
      <c r="DP28" s="56">
        <v>215</v>
      </c>
      <c r="DQ28" s="55">
        <v>11</v>
      </c>
      <c r="DR28" s="56">
        <v>200</v>
      </c>
      <c r="DS28" s="55">
        <v>10</v>
      </c>
      <c r="DT28" s="56">
        <v>195</v>
      </c>
      <c r="DU28" s="55">
        <v>16</v>
      </c>
      <c r="DV28" s="56">
        <v>195</v>
      </c>
      <c r="DW28" s="55">
        <v>10</v>
      </c>
      <c r="DX28" s="56">
        <v>175</v>
      </c>
      <c r="DY28" s="55">
        <v>14</v>
      </c>
      <c r="DZ28" s="56">
        <v>193</v>
      </c>
      <c r="EA28" s="55">
        <v>7</v>
      </c>
      <c r="EB28" s="56">
        <v>200</v>
      </c>
      <c r="EC28" s="55">
        <v>17</v>
      </c>
      <c r="ED28" s="56">
        <v>200</v>
      </c>
      <c r="EE28" s="55">
        <v>10</v>
      </c>
      <c r="EF28" s="56">
        <v>213</v>
      </c>
      <c r="EG28" s="55">
        <v>13</v>
      </c>
      <c r="EH28" s="56">
        <v>210</v>
      </c>
      <c r="EI28" s="55">
        <v>14</v>
      </c>
      <c r="EJ28" s="56">
        <v>195</v>
      </c>
      <c r="EK28" s="55">
        <v>19</v>
      </c>
      <c r="EL28" s="56">
        <v>200</v>
      </c>
      <c r="EM28" s="55">
        <v>9</v>
      </c>
      <c r="EN28" s="56">
        <v>230</v>
      </c>
      <c r="EO28" s="55">
        <v>16</v>
      </c>
      <c r="EP28" s="56">
        <v>195</v>
      </c>
      <c r="EQ28" s="55">
        <v>12</v>
      </c>
      <c r="ER28" s="56">
        <v>205</v>
      </c>
      <c r="ES28" s="55">
        <v>11</v>
      </c>
      <c r="ET28" s="56">
        <v>225</v>
      </c>
      <c r="EU28" s="55">
        <v>21</v>
      </c>
      <c r="EV28" s="56">
        <v>205</v>
      </c>
      <c r="EW28" s="55">
        <v>11</v>
      </c>
      <c r="EX28" s="56">
        <v>210</v>
      </c>
      <c r="EY28" s="55">
        <v>14</v>
      </c>
      <c r="EZ28" s="56">
        <v>210</v>
      </c>
      <c r="FA28" s="55">
        <v>12</v>
      </c>
      <c r="FB28" s="56">
        <v>228</v>
      </c>
      <c r="FC28" s="55">
        <v>20</v>
      </c>
      <c r="FD28" s="56">
        <v>220</v>
      </c>
      <c r="FE28" s="55">
        <v>6</v>
      </c>
      <c r="FF28" s="56">
        <v>225</v>
      </c>
      <c r="FG28" s="55">
        <v>18</v>
      </c>
      <c r="FH28" s="56">
        <v>210</v>
      </c>
      <c r="FI28" s="55">
        <v>12</v>
      </c>
      <c r="FJ28" s="56">
        <v>235</v>
      </c>
      <c r="FK28" s="55">
        <v>13</v>
      </c>
      <c r="FL28" s="56">
        <v>220</v>
      </c>
      <c r="FM28" s="55">
        <v>14</v>
      </c>
      <c r="FN28" s="56">
        <v>230</v>
      </c>
      <c r="FO28" s="55">
        <v>12</v>
      </c>
      <c r="FP28" s="56">
        <v>240</v>
      </c>
      <c r="FQ28" s="55" t="s">
        <v>2</v>
      </c>
      <c r="FR28" s="56" t="s">
        <v>2</v>
      </c>
      <c r="FS28" s="55">
        <v>6</v>
      </c>
      <c r="FT28" s="56">
        <v>220</v>
      </c>
      <c r="FU28" s="55">
        <v>12</v>
      </c>
      <c r="FV28" s="56">
        <v>255</v>
      </c>
      <c r="FW28" s="55">
        <v>10</v>
      </c>
      <c r="FX28" s="56">
        <v>260</v>
      </c>
      <c r="FY28" s="55">
        <v>6</v>
      </c>
      <c r="FZ28" s="56">
        <v>230</v>
      </c>
      <c r="GA28" s="55">
        <v>11</v>
      </c>
      <c r="GB28" s="56">
        <v>260</v>
      </c>
      <c r="GC28" s="55">
        <v>8</v>
      </c>
      <c r="GD28" s="56">
        <v>278</v>
      </c>
      <c r="GE28" s="55">
        <v>9</v>
      </c>
      <c r="GF28" s="56">
        <v>260</v>
      </c>
      <c r="GG28" s="55">
        <v>17</v>
      </c>
      <c r="GH28" s="56">
        <v>285</v>
      </c>
      <c r="GI28" s="55">
        <v>9</v>
      </c>
      <c r="GJ28" s="56">
        <v>280</v>
      </c>
      <c r="GK28" s="55">
        <v>14</v>
      </c>
      <c r="GL28" s="56">
        <v>290</v>
      </c>
      <c r="GM28" s="55">
        <v>12</v>
      </c>
      <c r="GN28" s="56">
        <v>275</v>
      </c>
      <c r="GO28" s="55">
        <v>6</v>
      </c>
      <c r="GP28" s="56">
        <v>320</v>
      </c>
      <c r="GQ28" s="55">
        <v>14</v>
      </c>
      <c r="GR28" s="56">
        <v>290</v>
      </c>
      <c r="GS28" s="55">
        <v>8</v>
      </c>
      <c r="GT28" s="56">
        <v>298</v>
      </c>
      <c r="GU28" s="55">
        <v>7</v>
      </c>
      <c r="GV28" s="56">
        <v>300</v>
      </c>
      <c r="GW28" s="55">
        <v>14</v>
      </c>
      <c r="GX28" s="56">
        <v>300</v>
      </c>
      <c r="GY28" s="55">
        <v>6</v>
      </c>
      <c r="GZ28" s="56">
        <v>285</v>
      </c>
      <c r="HA28">
        <v>13</v>
      </c>
      <c r="HB28" s="56">
        <v>320</v>
      </c>
      <c r="HC28">
        <v>7</v>
      </c>
      <c r="HD28" s="56">
        <v>330</v>
      </c>
      <c r="HE28">
        <v>6</v>
      </c>
      <c r="HF28" s="56">
        <v>340</v>
      </c>
    </row>
    <row r="29" spans="1:214" x14ac:dyDescent="0.25">
      <c r="A29" s="53"/>
      <c r="B29" s="54" t="s">
        <v>769</v>
      </c>
      <c r="C29" s="55">
        <v>8</v>
      </c>
      <c r="D29" s="56">
        <v>90</v>
      </c>
      <c r="E29" s="55">
        <v>7</v>
      </c>
      <c r="F29" s="56">
        <v>90</v>
      </c>
      <c r="G29" s="55">
        <v>5</v>
      </c>
      <c r="H29" s="56">
        <v>95</v>
      </c>
      <c r="I29" s="55">
        <v>8</v>
      </c>
      <c r="J29" s="56">
        <v>90</v>
      </c>
      <c r="K29" s="55" t="s">
        <v>2</v>
      </c>
      <c r="L29" s="56" t="s">
        <v>2</v>
      </c>
      <c r="M29" s="55">
        <v>6</v>
      </c>
      <c r="N29" s="56">
        <v>93</v>
      </c>
      <c r="O29" s="55">
        <v>7</v>
      </c>
      <c r="P29" s="56">
        <v>90</v>
      </c>
      <c r="Q29" s="55">
        <v>10</v>
      </c>
      <c r="R29" s="56">
        <v>93</v>
      </c>
      <c r="S29" s="55">
        <v>7</v>
      </c>
      <c r="T29" s="56">
        <v>85</v>
      </c>
      <c r="U29" s="55">
        <v>8</v>
      </c>
      <c r="V29" s="56">
        <v>93</v>
      </c>
      <c r="W29" s="55">
        <v>5</v>
      </c>
      <c r="X29" s="56">
        <v>100</v>
      </c>
      <c r="Y29" s="55">
        <v>6</v>
      </c>
      <c r="Z29" s="56">
        <v>95</v>
      </c>
      <c r="AA29" s="55">
        <v>9</v>
      </c>
      <c r="AB29" s="56">
        <v>95</v>
      </c>
      <c r="AC29" s="55">
        <v>7</v>
      </c>
      <c r="AD29" s="56">
        <v>100</v>
      </c>
      <c r="AE29" s="55" t="s">
        <v>2</v>
      </c>
      <c r="AF29" s="56" t="s">
        <v>2</v>
      </c>
      <c r="AG29" s="55">
        <v>11</v>
      </c>
      <c r="AH29" s="56">
        <v>100</v>
      </c>
      <c r="AI29" s="55">
        <v>8</v>
      </c>
      <c r="AJ29" s="56">
        <v>108</v>
      </c>
      <c r="AK29" s="55" t="s">
        <v>2</v>
      </c>
      <c r="AL29" s="56" t="s">
        <v>2</v>
      </c>
      <c r="AM29" s="55">
        <v>6</v>
      </c>
      <c r="AN29" s="56">
        <v>105</v>
      </c>
      <c r="AO29" s="55">
        <v>6</v>
      </c>
      <c r="AP29" s="56">
        <v>100</v>
      </c>
      <c r="AQ29" s="55">
        <v>5</v>
      </c>
      <c r="AR29" s="56">
        <v>110</v>
      </c>
      <c r="AS29" s="55">
        <v>5</v>
      </c>
      <c r="AT29" s="56">
        <v>110</v>
      </c>
      <c r="AU29" s="55" t="s">
        <v>2</v>
      </c>
      <c r="AV29" s="56" t="s">
        <v>2</v>
      </c>
      <c r="AW29" s="55" t="s">
        <v>2</v>
      </c>
      <c r="AX29" s="56" t="s">
        <v>2</v>
      </c>
      <c r="AY29" s="55" t="s">
        <v>2</v>
      </c>
      <c r="AZ29" s="56" t="s">
        <v>2</v>
      </c>
      <c r="BA29" s="55">
        <v>8</v>
      </c>
      <c r="BB29" s="56">
        <v>108</v>
      </c>
      <c r="BC29" s="55">
        <v>7</v>
      </c>
      <c r="BD29" s="56">
        <v>105</v>
      </c>
      <c r="BE29" s="55">
        <v>7</v>
      </c>
      <c r="BF29" s="56">
        <v>110</v>
      </c>
      <c r="BG29" s="55" t="s">
        <v>2</v>
      </c>
      <c r="BH29" s="56" t="s">
        <v>2</v>
      </c>
      <c r="BI29" s="55">
        <v>6</v>
      </c>
      <c r="BJ29" s="56">
        <v>135</v>
      </c>
      <c r="BK29" s="55" t="s">
        <v>2</v>
      </c>
      <c r="BL29" s="56" t="s">
        <v>2</v>
      </c>
      <c r="BM29" s="55" t="s">
        <v>2</v>
      </c>
      <c r="BN29" s="56" t="s">
        <v>2</v>
      </c>
      <c r="BO29" s="55">
        <v>5</v>
      </c>
      <c r="BP29" s="56">
        <v>110</v>
      </c>
      <c r="BQ29" s="55">
        <v>5</v>
      </c>
      <c r="BR29" s="56">
        <v>110</v>
      </c>
      <c r="BS29" s="55">
        <v>8</v>
      </c>
      <c r="BT29" s="56">
        <v>113</v>
      </c>
      <c r="BU29" s="55" t="s">
        <v>2</v>
      </c>
      <c r="BV29" s="56" t="s">
        <v>2</v>
      </c>
      <c r="BW29" s="55" t="s">
        <v>2</v>
      </c>
      <c r="BX29" s="56" t="s">
        <v>2</v>
      </c>
      <c r="BY29" s="55">
        <v>7</v>
      </c>
      <c r="BZ29" s="56">
        <v>115</v>
      </c>
      <c r="CA29" s="55">
        <v>6</v>
      </c>
      <c r="CB29" s="56">
        <v>123</v>
      </c>
      <c r="CC29" s="55">
        <v>11</v>
      </c>
      <c r="CD29" s="56">
        <v>115</v>
      </c>
      <c r="CE29" s="55">
        <v>8</v>
      </c>
      <c r="CF29" s="56">
        <v>145</v>
      </c>
      <c r="CG29" s="55" t="s">
        <v>2</v>
      </c>
      <c r="CH29" s="56" t="s">
        <v>2</v>
      </c>
      <c r="CI29" s="55">
        <v>7</v>
      </c>
      <c r="CJ29" s="56">
        <v>140</v>
      </c>
      <c r="CK29" s="55">
        <v>5</v>
      </c>
      <c r="CL29" s="56">
        <v>160</v>
      </c>
      <c r="CM29" s="55">
        <v>11</v>
      </c>
      <c r="CN29" s="56">
        <v>140</v>
      </c>
      <c r="CO29" s="55">
        <v>8</v>
      </c>
      <c r="CP29" s="56">
        <v>120</v>
      </c>
      <c r="CQ29" s="55">
        <v>7</v>
      </c>
      <c r="CR29" s="56">
        <v>140</v>
      </c>
      <c r="CS29" s="55" t="s">
        <v>2</v>
      </c>
      <c r="CT29" s="56" t="s">
        <v>2</v>
      </c>
      <c r="CU29" s="55" t="s">
        <v>2</v>
      </c>
      <c r="CV29" s="56" t="s">
        <v>2</v>
      </c>
      <c r="CW29" s="55" t="s">
        <v>2</v>
      </c>
      <c r="CX29" s="56" t="s">
        <v>2</v>
      </c>
      <c r="CY29" s="55" t="s">
        <v>2</v>
      </c>
      <c r="CZ29" s="56" t="s">
        <v>2</v>
      </c>
      <c r="DA29" s="55">
        <v>6</v>
      </c>
      <c r="DB29" s="56">
        <v>130</v>
      </c>
      <c r="DC29" s="55">
        <v>7</v>
      </c>
      <c r="DD29" s="56">
        <v>130</v>
      </c>
      <c r="DE29" s="55">
        <v>7</v>
      </c>
      <c r="DF29" s="56">
        <v>130</v>
      </c>
      <c r="DG29" s="55" t="s">
        <v>2</v>
      </c>
      <c r="DH29" s="56" t="s">
        <v>2</v>
      </c>
      <c r="DI29" s="55">
        <v>8</v>
      </c>
      <c r="DJ29" s="56">
        <v>130</v>
      </c>
      <c r="DK29" s="55">
        <v>5</v>
      </c>
      <c r="DL29" s="56">
        <v>150</v>
      </c>
      <c r="DM29" s="55">
        <v>5</v>
      </c>
      <c r="DN29" s="56">
        <v>175</v>
      </c>
      <c r="DO29" s="55">
        <v>7</v>
      </c>
      <c r="DP29" s="56">
        <v>150</v>
      </c>
      <c r="DQ29" s="55">
        <v>6</v>
      </c>
      <c r="DR29" s="56">
        <v>155</v>
      </c>
      <c r="DS29" s="55">
        <v>9</v>
      </c>
      <c r="DT29" s="56">
        <v>145</v>
      </c>
      <c r="DU29" s="55">
        <v>11</v>
      </c>
      <c r="DV29" s="56">
        <v>165</v>
      </c>
      <c r="DW29" s="55">
        <v>7</v>
      </c>
      <c r="DX29" s="56">
        <v>155</v>
      </c>
      <c r="DY29" s="55">
        <v>6</v>
      </c>
      <c r="DZ29" s="56">
        <v>173</v>
      </c>
      <c r="EA29" s="55">
        <v>6</v>
      </c>
      <c r="EB29" s="56">
        <v>173</v>
      </c>
      <c r="EC29" s="55">
        <v>5</v>
      </c>
      <c r="ED29" s="56">
        <v>160</v>
      </c>
      <c r="EE29" s="55" t="s">
        <v>2</v>
      </c>
      <c r="EF29" s="56" t="s">
        <v>2</v>
      </c>
      <c r="EG29" s="55">
        <v>5</v>
      </c>
      <c r="EH29" s="56">
        <v>155</v>
      </c>
      <c r="EI29" s="55" t="s">
        <v>2</v>
      </c>
      <c r="EJ29" s="56" t="s">
        <v>2</v>
      </c>
      <c r="EK29" s="55">
        <v>6</v>
      </c>
      <c r="EL29" s="56">
        <v>168</v>
      </c>
      <c r="EM29" s="55">
        <v>6</v>
      </c>
      <c r="EN29" s="56">
        <v>188</v>
      </c>
      <c r="EO29" s="55">
        <v>10</v>
      </c>
      <c r="EP29" s="56">
        <v>163</v>
      </c>
      <c r="EQ29" s="55" t="s">
        <v>2</v>
      </c>
      <c r="ER29" s="56" t="s">
        <v>2</v>
      </c>
      <c r="ES29" s="55">
        <v>12</v>
      </c>
      <c r="ET29" s="56">
        <v>185</v>
      </c>
      <c r="EU29" s="55">
        <v>5</v>
      </c>
      <c r="EV29" s="56">
        <v>160</v>
      </c>
      <c r="EW29" s="55">
        <v>8</v>
      </c>
      <c r="EX29" s="56">
        <v>195</v>
      </c>
      <c r="EY29" s="55">
        <v>9</v>
      </c>
      <c r="EZ29" s="56">
        <v>210</v>
      </c>
      <c r="FA29" s="55">
        <v>11</v>
      </c>
      <c r="FB29" s="56">
        <v>205</v>
      </c>
      <c r="FC29" s="55">
        <v>8</v>
      </c>
      <c r="FD29" s="56">
        <v>163</v>
      </c>
      <c r="FE29" s="55">
        <v>7</v>
      </c>
      <c r="FF29" s="56">
        <v>200</v>
      </c>
      <c r="FG29" s="55">
        <v>5</v>
      </c>
      <c r="FH29" s="56">
        <v>175</v>
      </c>
      <c r="FI29" s="55">
        <v>8</v>
      </c>
      <c r="FJ29" s="56">
        <v>188</v>
      </c>
      <c r="FK29" s="55">
        <v>6</v>
      </c>
      <c r="FL29" s="56">
        <v>170</v>
      </c>
      <c r="FM29" s="55">
        <v>10</v>
      </c>
      <c r="FN29" s="56">
        <v>193</v>
      </c>
      <c r="FO29" s="55">
        <v>5</v>
      </c>
      <c r="FP29" s="56">
        <v>230</v>
      </c>
      <c r="FQ29" s="55" t="s">
        <v>2</v>
      </c>
      <c r="FR29" s="56" t="s">
        <v>2</v>
      </c>
      <c r="FS29" s="55">
        <v>5</v>
      </c>
      <c r="FT29" s="56">
        <v>180</v>
      </c>
      <c r="FU29" s="55" t="s">
        <v>2</v>
      </c>
      <c r="FV29" s="56" t="s">
        <v>2</v>
      </c>
      <c r="FW29" s="55" t="s">
        <v>2</v>
      </c>
      <c r="FX29" s="56" t="s">
        <v>2</v>
      </c>
      <c r="FY29" s="55" t="s">
        <v>2</v>
      </c>
      <c r="FZ29" s="56" t="s">
        <v>2</v>
      </c>
      <c r="GA29" s="55" t="s">
        <v>2</v>
      </c>
      <c r="GB29" s="56" t="s">
        <v>2</v>
      </c>
      <c r="GC29" s="55" t="s">
        <v>2</v>
      </c>
      <c r="GD29" s="56" t="s">
        <v>2</v>
      </c>
      <c r="GE29" s="55" t="s">
        <v>2</v>
      </c>
      <c r="GF29" s="56" t="s">
        <v>2</v>
      </c>
      <c r="GG29" s="55">
        <v>8</v>
      </c>
      <c r="GH29" s="56">
        <v>220</v>
      </c>
      <c r="GI29" s="55" t="s">
        <v>2</v>
      </c>
      <c r="GJ29" s="56" t="s">
        <v>2</v>
      </c>
      <c r="GK29" s="55" t="s">
        <v>2</v>
      </c>
      <c r="GL29" s="56" t="s">
        <v>2</v>
      </c>
      <c r="GM29" s="55">
        <v>6</v>
      </c>
      <c r="GN29" s="56">
        <v>255</v>
      </c>
      <c r="GO29" s="55" t="s">
        <v>2</v>
      </c>
      <c r="GP29" s="56" t="s">
        <v>2</v>
      </c>
      <c r="GQ29" s="55">
        <v>5</v>
      </c>
      <c r="GR29" s="56">
        <v>280</v>
      </c>
      <c r="GS29" s="55">
        <v>7</v>
      </c>
      <c r="GT29" s="56">
        <v>270</v>
      </c>
      <c r="GU29" s="55">
        <v>5</v>
      </c>
      <c r="GV29" s="56">
        <v>260</v>
      </c>
      <c r="GW29" s="55">
        <v>5</v>
      </c>
      <c r="GX29" s="56">
        <v>250</v>
      </c>
      <c r="GY29" s="55" t="s">
        <v>2</v>
      </c>
      <c r="GZ29" s="56" t="s">
        <v>2</v>
      </c>
      <c r="HA29" t="s">
        <v>2</v>
      </c>
      <c r="HB29" s="56" t="s">
        <v>2</v>
      </c>
      <c r="HC29" t="s">
        <v>2</v>
      </c>
      <c r="HD29" s="56" t="s">
        <v>2</v>
      </c>
      <c r="HE29" t="s">
        <v>2</v>
      </c>
      <c r="HF29" s="56" t="s">
        <v>2</v>
      </c>
    </row>
    <row r="30" spans="1:214" x14ac:dyDescent="0.25">
      <c r="A30" s="53"/>
      <c r="B30" s="54" t="s">
        <v>770</v>
      </c>
      <c r="C30" s="55">
        <v>168</v>
      </c>
      <c r="D30" s="56">
        <v>120</v>
      </c>
      <c r="E30" s="55">
        <v>159</v>
      </c>
      <c r="F30" s="56">
        <v>125</v>
      </c>
      <c r="G30" s="55">
        <v>173</v>
      </c>
      <c r="H30" s="56">
        <v>125</v>
      </c>
      <c r="I30" s="55">
        <v>245</v>
      </c>
      <c r="J30" s="56">
        <v>120</v>
      </c>
      <c r="K30" s="55">
        <v>186</v>
      </c>
      <c r="L30" s="56">
        <v>125</v>
      </c>
      <c r="M30" s="55">
        <v>177</v>
      </c>
      <c r="N30" s="56">
        <v>125</v>
      </c>
      <c r="O30" s="55">
        <v>181</v>
      </c>
      <c r="P30" s="56">
        <v>130</v>
      </c>
      <c r="Q30" s="55">
        <v>252</v>
      </c>
      <c r="R30" s="56">
        <v>125</v>
      </c>
      <c r="S30" s="55">
        <v>131</v>
      </c>
      <c r="T30" s="56">
        <v>130</v>
      </c>
      <c r="U30" s="55">
        <v>147</v>
      </c>
      <c r="V30" s="56">
        <v>130</v>
      </c>
      <c r="W30" s="55">
        <v>172</v>
      </c>
      <c r="X30" s="56">
        <v>133</v>
      </c>
      <c r="Y30" s="55">
        <v>209</v>
      </c>
      <c r="Z30" s="56">
        <v>135</v>
      </c>
      <c r="AA30" s="55">
        <v>127</v>
      </c>
      <c r="AB30" s="56">
        <v>135</v>
      </c>
      <c r="AC30" s="55">
        <v>168</v>
      </c>
      <c r="AD30" s="56">
        <v>140</v>
      </c>
      <c r="AE30" s="55">
        <v>158</v>
      </c>
      <c r="AF30" s="56">
        <v>140</v>
      </c>
      <c r="AG30" s="55">
        <v>210</v>
      </c>
      <c r="AH30" s="56">
        <v>140</v>
      </c>
      <c r="AI30" s="55">
        <v>155</v>
      </c>
      <c r="AJ30" s="56">
        <v>145</v>
      </c>
      <c r="AK30" s="55">
        <v>159</v>
      </c>
      <c r="AL30" s="56">
        <v>150</v>
      </c>
      <c r="AM30" s="55">
        <v>170</v>
      </c>
      <c r="AN30" s="56">
        <v>150</v>
      </c>
      <c r="AO30" s="55">
        <v>195</v>
      </c>
      <c r="AP30" s="56">
        <v>150</v>
      </c>
      <c r="AQ30" s="55">
        <v>127</v>
      </c>
      <c r="AR30" s="56">
        <v>160</v>
      </c>
      <c r="AS30" s="55">
        <v>159</v>
      </c>
      <c r="AT30" s="56">
        <v>150</v>
      </c>
      <c r="AU30" s="55">
        <v>179</v>
      </c>
      <c r="AV30" s="56">
        <v>150</v>
      </c>
      <c r="AW30" s="55">
        <v>195</v>
      </c>
      <c r="AX30" s="56">
        <v>160</v>
      </c>
      <c r="AY30" s="55">
        <v>145</v>
      </c>
      <c r="AZ30" s="56">
        <v>155</v>
      </c>
      <c r="BA30" s="55">
        <v>181</v>
      </c>
      <c r="BB30" s="56">
        <v>160</v>
      </c>
      <c r="BC30" s="55">
        <v>181</v>
      </c>
      <c r="BD30" s="56">
        <v>160</v>
      </c>
      <c r="BE30" s="55">
        <v>202</v>
      </c>
      <c r="BF30" s="56">
        <v>160</v>
      </c>
      <c r="BG30" s="55">
        <v>148</v>
      </c>
      <c r="BH30" s="56">
        <v>160</v>
      </c>
      <c r="BI30" s="55">
        <v>154</v>
      </c>
      <c r="BJ30" s="56">
        <v>163</v>
      </c>
      <c r="BK30" s="55">
        <v>145</v>
      </c>
      <c r="BL30" s="56">
        <v>165</v>
      </c>
      <c r="BM30" s="55">
        <v>228</v>
      </c>
      <c r="BN30" s="56">
        <v>170</v>
      </c>
      <c r="BO30" s="55">
        <v>146</v>
      </c>
      <c r="BP30" s="56">
        <v>165</v>
      </c>
      <c r="BQ30" s="55">
        <v>153</v>
      </c>
      <c r="BR30" s="56">
        <v>170</v>
      </c>
      <c r="BS30" s="55">
        <v>148</v>
      </c>
      <c r="BT30" s="56">
        <v>180</v>
      </c>
      <c r="BU30" s="55">
        <v>264</v>
      </c>
      <c r="BV30" s="56">
        <v>180</v>
      </c>
      <c r="BW30" s="55">
        <v>155</v>
      </c>
      <c r="BX30" s="56">
        <v>170</v>
      </c>
      <c r="BY30" s="55">
        <v>163</v>
      </c>
      <c r="BZ30" s="56">
        <v>175</v>
      </c>
      <c r="CA30" s="55">
        <v>172</v>
      </c>
      <c r="CB30" s="56">
        <v>180</v>
      </c>
      <c r="CC30" s="55">
        <v>207</v>
      </c>
      <c r="CD30" s="56">
        <v>180</v>
      </c>
      <c r="CE30" s="55">
        <v>159</v>
      </c>
      <c r="CF30" s="56">
        <v>185</v>
      </c>
      <c r="CG30" s="55">
        <v>142</v>
      </c>
      <c r="CH30" s="56">
        <v>185</v>
      </c>
      <c r="CI30" s="55">
        <v>159</v>
      </c>
      <c r="CJ30" s="56">
        <v>195</v>
      </c>
      <c r="CK30" s="55">
        <v>176</v>
      </c>
      <c r="CL30" s="56">
        <v>200</v>
      </c>
      <c r="CM30" s="55">
        <v>151</v>
      </c>
      <c r="CN30" s="56">
        <v>210</v>
      </c>
      <c r="CO30" s="55">
        <v>147</v>
      </c>
      <c r="CP30" s="56">
        <v>200</v>
      </c>
      <c r="CQ30" s="55">
        <v>163</v>
      </c>
      <c r="CR30" s="56">
        <v>210</v>
      </c>
      <c r="CS30" s="55">
        <v>189</v>
      </c>
      <c r="CT30" s="56">
        <v>210</v>
      </c>
      <c r="CU30" s="55">
        <v>139</v>
      </c>
      <c r="CV30" s="56">
        <v>220</v>
      </c>
      <c r="CW30" s="55">
        <v>153</v>
      </c>
      <c r="CX30" s="56">
        <v>230</v>
      </c>
      <c r="CY30" s="55">
        <v>150</v>
      </c>
      <c r="CZ30" s="56">
        <v>230</v>
      </c>
      <c r="DA30" s="55">
        <v>186</v>
      </c>
      <c r="DB30" s="56">
        <v>230</v>
      </c>
      <c r="DC30" s="55">
        <v>142</v>
      </c>
      <c r="DD30" s="56">
        <v>230</v>
      </c>
      <c r="DE30" s="55">
        <v>156</v>
      </c>
      <c r="DF30" s="56">
        <v>230</v>
      </c>
      <c r="DG30" s="55">
        <v>162</v>
      </c>
      <c r="DH30" s="56">
        <v>240</v>
      </c>
      <c r="DI30" s="55">
        <v>183</v>
      </c>
      <c r="DJ30" s="56">
        <v>230</v>
      </c>
      <c r="DK30" s="55">
        <v>164</v>
      </c>
      <c r="DL30" s="56">
        <v>225</v>
      </c>
      <c r="DM30" s="55">
        <v>174</v>
      </c>
      <c r="DN30" s="56">
        <v>243</v>
      </c>
      <c r="DO30" s="55">
        <v>177</v>
      </c>
      <c r="DP30" s="56">
        <v>240</v>
      </c>
      <c r="DQ30" s="55">
        <v>222</v>
      </c>
      <c r="DR30" s="56">
        <v>233</v>
      </c>
      <c r="DS30" s="55">
        <v>200</v>
      </c>
      <c r="DT30" s="56">
        <v>240</v>
      </c>
      <c r="DU30" s="55">
        <v>187</v>
      </c>
      <c r="DV30" s="56">
        <v>240</v>
      </c>
      <c r="DW30" s="55">
        <v>193</v>
      </c>
      <c r="DX30" s="56">
        <v>230</v>
      </c>
      <c r="DY30" s="55">
        <v>188</v>
      </c>
      <c r="DZ30" s="56">
        <v>240</v>
      </c>
      <c r="EA30" s="55">
        <v>176</v>
      </c>
      <c r="EB30" s="56">
        <v>240</v>
      </c>
      <c r="EC30" s="55">
        <v>207</v>
      </c>
      <c r="ED30" s="56">
        <v>230</v>
      </c>
      <c r="EE30" s="55">
        <v>171</v>
      </c>
      <c r="EF30" s="56">
        <v>240</v>
      </c>
      <c r="EG30" s="55">
        <v>214</v>
      </c>
      <c r="EH30" s="56">
        <v>240</v>
      </c>
      <c r="EI30" s="55">
        <v>179</v>
      </c>
      <c r="EJ30" s="56">
        <v>240</v>
      </c>
      <c r="EK30" s="55">
        <v>191</v>
      </c>
      <c r="EL30" s="56">
        <v>240</v>
      </c>
      <c r="EM30" s="55">
        <v>162</v>
      </c>
      <c r="EN30" s="56">
        <v>240</v>
      </c>
      <c r="EO30" s="55">
        <v>188</v>
      </c>
      <c r="EP30" s="56">
        <v>245</v>
      </c>
      <c r="EQ30" s="55">
        <v>173</v>
      </c>
      <c r="ER30" s="56">
        <v>240</v>
      </c>
      <c r="ES30" s="55">
        <v>165</v>
      </c>
      <c r="ET30" s="56">
        <v>250</v>
      </c>
      <c r="EU30" s="55">
        <v>172</v>
      </c>
      <c r="EV30" s="56">
        <v>248</v>
      </c>
      <c r="EW30" s="55">
        <v>199</v>
      </c>
      <c r="EX30" s="56">
        <v>250</v>
      </c>
      <c r="EY30" s="55">
        <v>163</v>
      </c>
      <c r="EZ30" s="56">
        <v>250</v>
      </c>
      <c r="FA30" s="55">
        <v>164</v>
      </c>
      <c r="FB30" s="56">
        <v>260</v>
      </c>
      <c r="FC30" s="55">
        <v>140</v>
      </c>
      <c r="FD30" s="56">
        <v>260</v>
      </c>
      <c r="FE30" s="55">
        <v>159</v>
      </c>
      <c r="FF30" s="56">
        <v>260</v>
      </c>
      <c r="FG30" s="55">
        <v>149</v>
      </c>
      <c r="FH30" s="56">
        <v>260</v>
      </c>
      <c r="FI30" s="55">
        <v>142</v>
      </c>
      <c r="FJ30" s="56">
        <v>268</v>
      </c>
      <c r="FK30" s="55">
        <v>129</v>
      </c>
      <c r="FL30" s="56">
        <v>270</v>
      </c>
      <c r="FM30" s="55">
        <v>170</v>
      </c>
      <c r="FN30" s="56">
        <v>280</v>
      </c>
      <c r="FO30" s="55">
        <v>110</v>
      </c>
      <c r="FP30" s="56">
        <v>260</v>
      </c>
      <c r="FQ30" s="55">
        <v>135</v>
      </c>
      <c r="FR30" s="56">
        <v>270</v>
      </c>
      <c r="FS30" s="55">
        <v>132</v>
      </c>
      <c r="FT30" s="56">
        <v>280</v>
      </c>
      <c r="FU30" s="55">
        <v>123</v>
      </c>
      <c r="FV30" s="56">
        <v>280</v>
      </c>
      <c r="FW30" s="55">
        <v>107</v>
      </c>
      <c r="FX30" s="56">
        <v>280</v>
      </c>
      <c r="FY30" s="55">
        <v>96</v>
      </c>
      <c r="FZ30" s="56">
        <v>300</v>
      </c>
      <c r="GA30" s="55">
        <v>110</v>
      </c>
      <c r="GB30" s="56">
        <v>300</v>
      </c>
      <c r="GC30" s="55">
        <v>104</v>
      </c>
      <c r="GD30" s="56">
        <v>320</v>
      </c>
      <c r="GE30" s="55">
        <v>103</v>
      </c>
      <c r="GF30" s="56">
        <v>320</v>
      </c>
      <c r="GG30" s="55">
        <v>138</v>
      </c>
      <c r="GH30" s="56">
        <v>320</v>
      </c>
      <c r="GI30" s="55">
        <v>106</v>
      </c>
      <c r="GJ30" s="56">
        <v>330</v>
      </c>
      <c r="GK30" s="55">
        <v>115</v>
      </c>
      <c r="GL30" s="56">
        <v>340</v>
      </c>
      <c r="GM30" s="55">
        <v>113</v>
      </c>
      <c r="GN30" s="56">
        <v>345</v>
      </c>
      <c r="GO30" s="55">
        <v>95</v>
      </c>
      <c r="GP30" s="56">
        <v>350</v>
      </c>
      <c r="GQ30" s="55">
        <v>97</v>
      </c>
      <c r="GR30" s="56">
        <v>350</v>
      </c>
      <c r="GS30" s="55">
        <v>115</v>
      </c>
      <c r="GT30" s="56">
        <v>380</v>
      </c>
      <c r="GU30" s="55">
        <v>74</v>
      </c>
      <c r="GV30" s="56">
        <v>373</v>
      </c>
      <c r="GW30" s="55">
        <v>91</v>
      </c>
      <c r="GX30" s="56">
        <v>380</v>
      </c>
      <c r="GY30" s="55">
        <v>83</v>
      </c>
      <c r="GZ30" s="56">
        <v>370</v>
      </c>
      <c r="HA30">
        <v>102</v>
      </c>
      <c r="HB30" s="56">
        <v>395</v>
      </c>
      <c r="HC30">
        <v>81</v>
      </c>
      <c r="HD30" s="56">
        <v>380</v>
      </c>
      <c r="HE30">
        <v>66</v>
      </c>
      <c r="HF30" s="56">
        <v>400</v>
      </c>
    </row>
    <row r="31" spans="1:214" x14ac:dyDescent="0.25">
      <c r="A31" s="53"/>
      <c r="B31" s="54" t="s">
        <v>771</v>
      </c>
      <c r="C31" s="55" t="s">
        <v>2</v>
      </c>
      <c r="D31" s="56" t="s">
        <v>2</v>
      </c>
      <c r="E31" s="55" t="s">
        <v>2</v>
      </c>
      <c r="F31" s="56" t="s">
        <v>2</v>
      </c>
      <c r="G31" s="55" t="s">
        <v>2</v>
      </c>
      <c r="H31" s="56" t="s">
        <v>2</v>
      </c>
      <c r="I31" s="55" t="s">
        <v>2</v>
      </c>
      <c r="J31" s="56" t="s">
        <v>2</v>
      </c>
      <c r="K31" s="55" t="s">
        <v>2</v>
      </c>
      <c r="L31" s="56" t="s">
        <v>2</v>
      </c>
      <c r="M31" s="55" t="s">
        <v>2</v>
      </c>
      <c r="N31" s="56" t="s">
        <v>2</v>
      </c>
      <c r="O31" s="55" t="s">
        <v>2</v>
      </c>
      <c r="P31" s="56" t="s">
        <v>2</v>
      </c>
      <c r="Q31" s="55" t="s">
        <v>2</v>
      </c>
      <c r="R31" s="56" t="s">
        <v>2</v>
      </c>
      <c r="S31" s="55" t="s">
        <v>2</v>
      </c>
      <c r="T31" s="56" t="s">
        <v>2</v>
      </c>
      <c r="U31" s="55" t="s">
        <v>2</v>
      </c>
      <c r="V31" s="56" t="s">
        <v>2</v>
      </c>
      <c r="W31" s="55" t="s">
        <v>2</v>
      </c>
      <c r="X31" s="56" t="s">
        <v>2</v>
      </c>
      <c r="Y31" s="55" t="s">
        <v>2</v>
      </c>
      <c r="Z31" s="56" t="s">
        <v>2</v>
      </c>
      <c r="AA31" s="55" t="s">
        <v>2</v>
      </c>
      <c r="AB31" s="56" t="s">
        <v>2</v>
      </c>
      <c r="AC31" s="55" t="s">
        <v>2</v>
      </c>
      <c r="AD31" s="56" t="s">
        <v>2</v>
      </c>
      <c r="AE31" s="55" t="s">
        <v>2</v>
      </c>
      <c r="AF31" s="56" t="s">
        <v>2</v>
      </c>
      <c r="AG31" s="55" t="s">
        <v>2</v>
      </c>
      <c r="AH31" s="56" t="s">
        <v>2</v>
      </c>
      <c r="AI31" s="55" t="s">
        <v>2</v>
      </c>
      <c r="AJ31" s="56" t="s">
        <v>2</v>
      </c>
      <c r="AK31" s="55" t="s">
        <v>2</v>
      </c>
      <c r="AL31" s="56" t="s">
        <v>2</v>
      </c>
      <c r="AM31" s="55" t="s">
        <v>2</v>
      </c>
      <c r="AN31" s="56" t="s">
        <v>2</v>
      </c>
      <c r="AO31" s="55" t="s">
        <v>2</v>
      </c>
      <c r="AP31" s="56" t="s">
        <v>2</v>
      </c>
      <c r="AQ31" s="55" t="s">
        <v>2</v>
      </c>
      <c r="AR31" s="56" t="s">
        <v>2</v>
      </c>
      <c r="AS31" s="55" t="s">
        <v>2</v>
      </c>
      <c r="AT31" s="56" t="s">
        <v>2</v>
      </c>
      <c r="AU31" s="55" t="s">
        <v>2</v>
      </c>
      <c r="AV31" s="56" t="s">
        <v>2</v>
      </c>
      <c r="AW31" s="55" t="s">
        <v>2</v>
      </c>
      <c r="AX31" s="56" t="s">
        <v>2</v>
      </c>
      <c r="AY31" s="55" t="s">
        <v>2</v>
      </c>
      <c r="AZ31" s="56" t="s">
        <v>2</v>
      </c>
      <c r="BA31" s="55" t="s">
        <v>2</v>
      </c>
      <c r="BB31" s="56" t="s">
        <v>2</v>
      </c>
      <c r="BC31" s="55" t="s">
        <v>2</v>
      </c>
      <c r="BD31" s="56" t="s">
        <v>2</v>
      </c>
      <c r="BE31" s="55" t="s">
        <v>2</v>
      </c>
      <c r="BF31" s="56" t="s">
        <v>2</v>
      </c>
      <c r="BG31" s="55" t="s">
        <v>2</v>
      </c>
      <c r="BH31" s="56" t="s">
        <v>2</v>
      </c>
      <c r="BI31" s="55" t="s">
        <v>2</v>
      </c>
      <c r="BJ31" s="56" t="s">
        <v>2</v>
      </c>
      <c r="BK31" s="55" t="s">
        <v>2</v>
      </c>
      <c r="BL31" s="56" t="s">
        <v>2</v>
      </c>
      <c r="BM31" s="55" t="s">
        <v>2</v>
      </c>
      <c r="BN31" s="56" t="s">
        <v>2</v>
      </c>
      <c r="BO31" s="55" t="s">
        <v>2</v>
      </c>
      <c r="BP31" s="56" t="s">
        <v>2</v>
      </c>
      <c r="BQ31" s="55" t="s">
        <v>2</v>
      </c>
      <c r="BR31" s="56" t="s">
        <v>2</v>
      </c>
      <c r="BS31" s="55" t="s">
        <v>2</v>
      </c>
      <c r="BT31" s="56" t="s">
        <v>2</v>
      </c>
      <c r="BU31" s="55" t="s">
        <v>2</v>
      </c>
      <c r="BV31" s="56" t="s">
        <v>2</v>
      </c>
      <c r="BW31" s="55" t="s">
        <v>2</v>
      </c>
      <c r="BX31" s="56" t="s">
        <v>2</v>
      </c>
      <c r="BY31" s="55" t="s">
        <v>2</v>
      </c>
      <c r="BZ31" s="56" t="s">
        <v>2</v>
      </c>
      <c r="CA31" s="55" t="s">
        <v>2</v>
      </c>
      <c r="CB31" s="56" t="s">
        <v>2</v>
      </c>
      <c r="CC31" s="55" t="s">
        <v>2</v>
      </c>
      <c r="CD31" s="56" t="s">
        <v>2</v>
      </c>
      <c r="CE31" s="55" t="s">
        <v>2</v>
      </c>
      <c r="CF31" s="56" t="s">
        <v>2</v>
      </c>
      <c r="CG31" s="55" t="s">
        <v>2</v>
      </c>
      <c r="CH31" s="56" t="s">
        <v>2</v>
      </c>
      <c r="CI31" s="55" t="s">
        <v>2</v>
      </c>
      <c r="CJ31" s="56" t="s">
        <v>2</v>
      </c>
      <c r="CK31" s="55" t="s">
        <v>2</v>
      </c>
      <c r="CL31" s="56" t="s">
        <v>2</v>
      </c>
      <c r="CM31" s="55" t="s">
        <v>2</v>
      </c>
      <c r="CN31" s="56" t="s">
        <v>2</v>
      </c>
      <c r="CO31" s="55" t="s">
        <v>2</v>
      </c>
      <c r="CP31" s="56" t="s">
        <v>2</v>
      </c>
      <c r="CQ31" s="55" t="s">
        <v>2</v>
      </c>
      <c r="CR31" s="56" t="s">
        <v>2</v>
      </c>
      <c r="CS31" s="55" t="s">
        <v>2</v>
      </c>
      <c r="CT31" s="56" t="s">
        <v>2</v>
      </c>
      <c r="CU31" s="55" t="s">
        <v>2</v>
      </c>
      <c r="CV31" s="56" t="s">
        <v>2</v>
      </c>
      <c r="CW31" s="55" t="s">
        <v>2</v>
      </c>
      <c r="CX31" s="56" t="s">
        <v>2</v>
      </c>
      <c r="CY31" s="55" t="s">
        <v>2</v>
      </c>
      <c r="CZ31" s="56" t="s">
        <v>2</v>
      </c>
      <c r="DA31" s="55" t="s">
        <v>2</v>
      </c>
      <c r="DB31" s="56" t="s">
        <v>2</v>
      </c>
      <c r="DC31" s="55" t="s">
        <v>2</v>
      </c>
      <c r="DD31" s="56" t="s">
        <v>2</v>
      </c>
      <c r="DE31" s="55" t="s">
        <v>2</v>
      </c>
      <c r="DF31" s="56" t="s">
        <v>2</v>
      </c>
      <c r="DG31" s="55" t="s">
        <v>2</v>
      </c>
      <c r="DH31" s="56" t="s">
        <v>2</v>
      </c>
      <c r="DI31" s="55" t="s">
        <v>2</v>
      </c>
      <c r="DJ31" s="56" t="s">
        <v>2</v>
      </c>
      <c r="DK31" s="55" t="s">
        <v>2</v>
      </c>
      <c r="DL31" s="56" t="s">
        <v>2</v>
      </c>
      <c r="DM31" s="55" t="s">
        <v>2</v>
      </c>
      <c r="DN31" s="56" t="s">
        <v>2</v>
      </c>
      <c r="DO31" s="55" t="s">
        <v>2</v>
      </c>
      <c r="DP31" s="56" t="s">
        <v>2</v>
      </c>
      <c r="DQ31" s="55" t="s">
        <v>2</v>
      </c>
      <c r="DR31" s="56" t="s">
        <v>2</v>
      </c>
      <c r="DS31" s="55" t="s">
        <v>2</v>
      </c>
      <c r="DT31" s="56" t="s">
        <v>2</v>
      </c>
      <c r="DU31" s="55" t="s">
        <v>2</v>
      </c>
      <c r="DV31" s="56" t="s">
        <v>2</v>
      </c>
      <c r="DW31" s="55" t="s">
        <v>2</v>
      </c>
      <c r="DX31" s="56" t="s">
        <v>2</v>
      </c>
      <c r="DY31" s="55" t="s">
        <v>2</v>
      </c>
      <c r="DZ31" s="56" t="s">
        <v>2</v>
      </c>
      <c r="EA31" s="55" t="s">
        <v>2</v>
      </c>
      <c r="EB31" s="56" t="s">
        <v>2</v>
      </c>
      <c r="EC31" s="55" t="s">
        <v>2</v>
      </c>
      <c r="ED31" s="56" t="s">
        <v>2</v>
      </c>
      <c r="EE31" s="55" t="s">
        <v>2</v>
      </c>
      <c r="EF31" s="56" t="s">
        <v>2</v>
      </c>
      <c r="EG31" s="55" t="s">
        <v>2</v>
      </c>
      <c r="EH31" s="56" t="s">
        <v>2</v>
      </c>
      <c r="EI31" s="55" t="s">
        <v>2</v>
      </c>
      <c r="EJ31" s="56" t="s">
        <v>2</v>
      </c>
      <c r="EK31" s="55" t="s">
        <v>2</v>
      </c>
      <c r="EL31" s="56" t="s">
        <v>2</v>
      </c>
      <c r="EM31" s="55" t="s">
        <v>2</v>
      </c>
      <c r="EN31" s="56" t="s">
        <v>2</v>
      </c>
      <c r="EO31" s="55" t="s">
        <v>2</v>
      </c>
      <c r="EP31" s="56" t="s">
        <v>2</v>
      </c>
      <c r="EQ31" s="55" t="s">
        <v>2</v>
      </c>
      <c r="ER31" s="56" t="s">
        <v>2</v>
      </c>
      <c r="ES31" s="55" t="s">
        <v>2</v>
      </c>
      <c r="ET31" s="56" t="s">
        <v>2</v>
      </c>
      <c r="EU31" s="55" t="s">
        <v>2</v>
      </c>
      <c r="EV31" s="56" t="s">
        <v>2</v>
      </c>
      <c r="EW31" s="55" t="s">
        <v>2</v>
      </c>
      <c r="EX31" s="56" t="s">
        <v>2</v>
      </c>
      <c r="EY31" s="55" t="s">
        <v>2</v>
      </c>
      <c r="EZ31" s="56" t="s">
        <v>2</v>
      </c>
      <c r="FA31" s="55" t="s">
        <v>2</v>
      </c>
      <c r="FB31" s="56" t="s">
        <v>2</v>
      </c>
      <c r="FC31" s="55" t="s">
        <v>2</v>
      </c>
      <c r="FD31" s="56" t="s">
        <v>2</v>
      </c>
      <c r="FE31" s="55" t="s">
        <v>2</v>
      </c>
      <c r="FF31" s="56" t="s">
        <v>2</v>
      </c>
      <c r="FG31" s="55" t="s">
        <v>2</v>
      </c>
      <c r="FH31" s="56" t="s">
        <v>2</v>
      </c>
      <c r="FI31" s="55" t="s">
        <v>2</v>
      </c>
      <c r="FJ31" s="56" t="s">
        <v>2</v>
      </c>
      <c r="FK31" s="55" t="s">
        <v>2</v>
      </c>
      <c r="FL31" s="56" t="s">
        <v>2</v>
      </c>
      <c r="FM31" s="55" t="s">
        <v>2</v>
      </c>
      <c r="FN31" s="56" t="s">
        <v>2</v>
      </c>
      <c r="FO31" s="55" t="s">
        <v>2</v>
      </c>
      <c r="FP31" s="56" t="s">
        <v>2</v>
      </c>
      <c r="FQ31" s="55" t="s">
        <v>2</v>
      </c>
      <c r="FR31" s="56" t="s">
        <v>2</v>
      </c>
      <c r="FS31" s="55" t="s">
        <v>2</v>
      </c>
      <c r="FT31" s="56" t="s">
        <v>2</v>
      </c>
      <c r="FU31" s="55" t="s">
        <v>2</v>
      </c>
      <c r="FV31" s="56" t="s">
        <v>2</v>
      </c>
      <c r="FW31" s="55" t="s">
        <v>2</v>
      </c>
      <c r="FX31" s="56" t="s">
        <v>2</v>
      </c>
      <c r="FY31" s="55" t="s">
        <v>2</v>
      </c>
      <c r="FZ31" s="56" t="s">
        <v>2</v>
      </c>
      <c r="GA31" s="55" t="s">
        <v>2</v>
      </c>
      <c r="GB31" s="56" t="s">
        <v>2</v>
      </c>
      <c r="GC31" s="55" t="s">
        <v>2</v>
      </c>
      <c r="GD31" s="56" t="s">
        <v>2</v>
      </c>
      <c r="GE31" s="55" t="s">
        <v>2</v>
      </c>
      <c r="GF31" s="56" t="s">
        <v>2</v>
      </c>
      <c r="GG31" s="55" t="s">
        <v>2</v>
      </c>
      <c r="GH31" s="56" t="s">
        <v>2</v>
      </c>
      <c r="GI31" s="55" t="s">
        <v>2</v>
      </c>
      <c r="GJ31" s="56" t="s">
        <v>2</v>
      </c>
      <c r="GK31" s="55" t="s">
        <v>2</v>
      </c>
      <c r="GL31" s="56" t="s">
        <v>2</v>
      </c>
      <c r="GM31" s="55" t="s">
        <v>2</v>
      </c>
      <c r="GN31" s="56" t="s">
        <v>2</v>
      </c>
      <c r="GO31" s="55" t="s">
        <v>2</v>
      </c>
      <c r="GP31" s="56" t="s">
        <v>2</v>
      </c>
      <c r="GQ31" s="55" t="s">
        <v>2</v>
      </c>
      <c r="GR31" s="56" t="s">
        <v>2</v>
      </c>
      <c r="GS31" s="55" t="s">
        <v>2</v>
      </c>
      <c r="GT31" s="56" t="s">
        <v>2</v>
      </c>
      <c r="GU31" s="55" t="s">
        <v>2</v>
      </c>
      <c r="GV31" s="56" t="s">
        <v>2</v>
      </c>
      <c r="GW31" s="55" t="s">
        <v>2</v>
      </c>
      <c r="GX31" s="56" t="s">
        <v>2</v>
      </c>
      <c r="GY31" s="55" t="s">
        <v>2</v>
      </c>
      <c r="GZ31" s="56" t="s">
        <v>2</v>
      </c>
      <c r="HA31" t="s">
        <v>2</v>
      </c>
      <c r="HB31" s="56" t="s">
        <v>2</v>
      </c>
      <c r="HC31" t="s">
        <v>2</v>
      </c>
      <c r="HD31" s="56" t="s">
        <v>2</v>
      </c>
      <c r="HE31" t="s">
        <v>2</v>
      </c>
      <c r="HF31" s="56" t="s">
        <v>2</v>
      </c>
    </row>
    <row r="32" spans="1:214" x14ac:dyDescent="0.25">
      <c r="A32" s="53"/>
      <c r="B32" s="54" t="s">
        <v>772</v>
      </c>
      <c r="C32" s="55">
        <v>24</v>
      </c>
      <c r="D32" s="56">
        <v>130</v>
      </c>
      <c r="E32" s="55">
        <v>27</v>
      </c>
      <c r="F32" s="56">
        <v>125</v>
      </c>
      <c r="G32" s="55">
        <v>17</v>
      </c>
      <c r="H32" s="56">
        <v>125</v>
      </c>
      <c r="I32" s="55">
        <v>21</v>
      </c>
      <c r="J32" s="56">
        <v>125</v>
      </c>
      <c r="K32" s="55">
        <v>19</v>
      </c>
      <c r="L32" s="56">
        <v>140</v>
      </c>
      <c r="M32" s="55">
        <v>17</v>
      </c>
      <c r="N32" s="56">
        <v>140</v>
      </c>
      <c r="O32" s="55">
        <v>14</v>
      </c>
      <c r="P32" s="56">
        <v>125</v>
      </c>
      <c r="Q32" s="55">
        <v>27</v>
      </c>
      <c r="R32" s="56">
        <v>120</v>
      </c>
      <c r="S32" s="55">
        <v>23</v>
      </c>
      <c r="T32" s="56">
        <v>130</v>
      </c>
      <c r="U32" s="55">
        <v>11</v>
      </c>
      <c r="V32" s="56">
        <v>145</v>
      </c>
      <c r="W32" s="55">
        <v>19</v>
      </c>
      <c r="X32" s="56">
        <v>140</v>
      </c>
      <c r="Y32" s="55">
        <v>20</v>
      </c>
      <c r="Z32" s="56">
        <v>140</v>
      </c>
      <c r="AA32" s="55">
        <v>17</v>
      </c>
      <c r="AB32" s="56">
        <v>135</v>
      </c>
      <c r="AC32" s="55">
        <v>22</v>
      </c>
      <c r="AD32" s="56">
        <v>150</v>
      </c>
      <c r="AE32" s="55">
        <v>18</v>
      </c>
      <c r="AF32" s="56">
        <v>150</v>
      </c>
      <c r="AG32" s="55">
        <v>24</v>
      </c>
      <c r="AH32" s="56">
        <v>153</v>
      </c>
      <c r="AI32" s="55">
        <v>18</v>
      </c>
      <c r="AJ32" s="56">
        <v>155</v>
      </c>
      <c r="AK32" s="55">
        <v>18</v>
      </c>
      <c r="AL32" s="56">
        <v>145</v>
      </c>
      <c r="AM32" s="55">
        <v>25</v>
      </c>
      <c r="AN32" s="56">
        <v>160</v>
      </c>
      <c r="AO32" s="55">
        <v>22</v>
      </c>
      <c r="AP32" s="56">
        <v>150</v>
      </c>
      <c r="AQ32" s="55">
        <v>20</v>
      </c>
      <c r="AR32" s="56">
        <v>150</v>
      </c>
      <c r="AS32" s="55">
        <v>18</v>
      </c>
      <c r="AT32" s="56">
        <v>150</v>
      </c>
      <c r="AU32" s="55">
        <v>29</v>
      </c>
      <c r="AV32" s="56">
        <v>165</v>
      </c>
      <c r="AW32" s="55">
        <v>29</v>
      </c>
      <c r="AX32" s="56">
        <v>150</v>
      </c>
      <c r="AY32" s="55">
        <v>19</v>
      </c>
      <c r="AZ32" s="56">
        <v>165</v>
      </c>
      <c r="BA32" s="55">
        <v>29</v>
      </c>
      <c r="BB32" s="56">
        <v>175</v>
      </c>
      <c r="BC32" s="55">
        <v>22</v>
      </c>
      <c r="BD32" s="56">
        <v>160</v>
      </c>
      <c r="BE32" s="55">
        <v>29</v>
      </c>
      <c r="BF32" s="56">
        <v>150</v>
      </c>
      <c r="BG32" s="55">
        <v>20</v>
      </c>
      <c r="BH32" s="56">
        <v>175</v>
      </c>
      <c r="BI32" s="55">
        <v>29</v>
      </c>
      <c r="BJ32" s="56">
        <v>170</v>
      </c>
      <c r="BK32" s="55">
        <v>16</v>
      </c>
      <c r="BL32" s="56">
        <v>178</v>
      </c>
      <c r="BM32" s="55">
        <v>35</v>
      </c>
      <c r="BN32" s="56">
        <v>185</v>
      </c>
      <c r="BO32" s="55">
        <v>20</v>
      </c>
      <c r="BP32" s="56">
        <v>187</v>
      </c>
      <c r="BQ32" s="55">
        <v>32</v>
      </c>
      <c r="BR32" s="56">
        <v>178</v>
      </c>
      <c r="BS32" s="55">
        <v>27</v>
      </c>
      <c r="BT32" s="56">
        <v>180</v>
      </c>
      <c r="BU32" s="55">
        <v>33</v>
      </c>
      <c r="BV32" s="56">
        <v>188</v>
      </c>
      <c r="BW32" s="55">
        <v>23</v>
      </c>
      <c r="BX32" s="56">
        <v>185</v>
      </c>
      <c r="BY32" s="55">
        <v>21</v>
      </c>
      <c r="BZ32" s="56">
        <v>210</v>
      </c>
      <c r="CA32" s="55">
        <v>29</v>
      </c>
      <c r="CB32" s="56">
        <v>200</v>
      </c>
      <c r="CC32" s="55">
        <v>25</v>
      </c>
      <c r="CD32" s="56">
        <v>220</v>
      </c>
      <c r="CE32" s="55">
        <v>20</v>
      </c>
      <c r="CF32" s="56">
        <v>216</v>
      </c>
      <c r="CG32" s="55">
        <v>19</v>
      </c>
      <c r="CH32" s="56">
        <v>220</v>
      </c>
      <c r="CI32" s="55">
        <v>22</v>
      </c>
      <c r="CJ32" s="56">
        <v>220</v>
      </c>
      <c r="CK32" s="55">
        <v>25</v>
      </c>
      <c r="CL32" s="56">
        <v>220</v>
      </c>
      <c r="CM32" s="55">
        <v>22</v>
      </c>
      <c r="CN32" s="56">
        <v>236</v>
      </c>
      <c r="CO32" s="55">
        <v>27</v>
      </c>
      <c r="CP32" s="56">
        <v>230</v>
      </c>
      <c r="CQ32" s="55">
        <v>26</v>
      </c>
      <c r="CR32" s="56">
        <v>235</v>
      </c>
      <c r="CS32" s="55">
        <v>14</v>
      </c>
      <c r="CT32" s="56">
        <v>225</v>
      </c>
      <c r="CU32" s="55">
        <v>17</v>
      </c>
      <c r="CV32" s="56">
        <v>260</v>
      </c>
      <c r="CW32" s="55">
        <v>17</v>
      </c>
      <c r="CX32" s="56">
        <v>260</v>
      </c>
      <c r="CY32" s="55">
        <v>15</v>
      </c>
      <c r="CZ32" s="56">
        <v>250</v>
      </c>
      <c r="DA32" s="55">
        <v>25</v>
      </c>
      <c r="DB32" s="56">
        <v>270</v>
      </c>
      <c r="DC32" s="55">
        <v>15</v>
      </c>
      <c r="DD32" s="56">
        <v>285</v>
      </c>
      <c r="DE32" s="55">
        <v>18</v>
      </c>
      <c r="DF32" s="56">
        <v>280</v>
      </c>
      <c r="DG32" s="55">
        <v>29</v>
      </c>
      <c r="DH32" s="56">
        <v>260</v>
      </c>
      <c r="DI32" s="55">
        <v>22</v>
      </c>
      <c r="DJ32" s="56">
        <v>285</v>
      </c>
      <c r="DK32" s="55">
        <v>16</v>
      </c>
      <c r="DL32" s="56">
        <v>250</v>
      </c>
      <c r="DM32" s="55">
        <v>22</v>
      </c>
      <c r="DN32" s="56">
        <v>260</v>
      </c>
      <c r="DO32" s="55">
        <v>22</v>
      </c>
      <c r="DP32" s="56">
        <v>280</v>
      </c>
      <c r="DQ32" s="55">
        <v>12</v>
      </c>
      <c r="DR32" s="56">
        <v>317</v>
      </c>
      <c r="DS32" s="55">
        <v>29</v>
      </c>
      <c r="DT32" s="56">
        <v>300</v>
      </c>
      <c r="DU32" s="55">
        <v>16</v>
      </c>
      <c r="DV32" s="56">
        <v>280</v>
      </c>
      <c r="DW32" s="55">
        <v>22</v>
      </c>
      <c r="DX32" s="56">
        <v>270</v>
      </c>
      <c r="DY32" s="55">
        <v>29</v>
      </c>
      <c r="DZ32" s="56">
        <v>300</v>
      </c>
      <c r="EA32" s="55">
        <v>29</v>
      </c>
      <c r="EB32" s="56">
        <v>285</v>
      </c>
      <c r="EC32" s="55">
        <v>23</v>
      </c>
      <c r="ED32" s="56">
        <v>285</v>
      </c>
      <c r="EE32" s="55">
        <v>23</v>
      </c>
      <c r="EF32" s="56">
        <v>295</v>
      </c>
      <c r="EG32" s="55">
        <v>29</v>
      </c>
      <c r="EH32" s="56">
        <v>295</v>
      </c>
      <c r="EI32" s="55">
        <v>25</v>
      </c>
      <c r="EJ32" s="56">
        <v>310</v>
      </c>
      <c r="EK32" s="55">
        <v>19</v>
      </c>
      <c r="EL32" s="56">
        <v>325</v>
      </c>
      <c r="EM32" s="55">
        <v>24</v>
      </c>
      <c r="EN32" s="56">
        <v>307</v>
      </c>
      <c r="EO32" s="55">
        <v>21</v>
      </c>
      <c r="EP32" s="56">
        <v>290</v>
      </c>
      <c r="EQ32" s="55">
        <v>24</v>
      </c>
      <c r="ER32" s="56">
        <v>300</v>
      </c>
      <c r="ES32" s="55">
        <v>29</v>
      </c>
      <c r="ET32" s="56">
        <v>330</v>
      </c>
      <c r="EU32" s="55">
        <v>17</v>
      </c>
      <c r="EV32" s="56">
        <v>340</v>
      </c>
      <c r="EW32" s="55">
        <v>14</v>
      </c>
      <c r="EX32" s="56">
        <v>335</v>
      </c>
      <c r="EY32" s="55">
        <v>26</v>
      </c>
      <c r="EZ32" s="56">
        <v>303</v>
      </c>
      <c r="FA32" s="55">
        <v>16</v>
      </c>
      <c r="FB32" s="56">
        <v>345</v>
      </c>
      <c r="FC32" s="55">
        <v>16</v>
      </c>
      <c r="FD32" s="56">
        <v>315</v>
      </c>
      <c r="FE32" s="55">
        <v>20</v>
      </c>
      <c r="FF32" s="56">
        <v>350</v>
      </c>
      <c r="FG32" s="55">
        <v>25</v>
      </c>
      <c r="FH32" s="56">
        <v>340</v>
      </c>
      <c r="FI32" s="55">
        <v>19</v>
      </c>
      <c r="FJ32" s="56">
        <v>340</v>
      </c>
      <c r="FK32" s="55">
        <v>18</v>
      </c>
      <c r="FL32" s="56">
        <v>363</v>
      </c>
      <c r="FM32" s="55">
        <v>24</v>
      </c>
      <c r="FN32" s="56">
        <v>370</v>
      </c>
      <c r="FO32" s="55">
        <v>18</v>
      </c>
      <c r="FP32" s="56">
        <v>365</v>
      </c>
      <c r="FQ32" s="55">
        <v>23</v>
      </c>
      <c r="FR32" s="56">
        <v>365</v>
      </c>
      <c r="FS32" s="55">
        <v>19</v>
      </c>
      <c r="FT32" s="56">
        <v>380</v>
      </c>
      <c r="FU32" s="55">
        <v>15</v>
      </c>
      <c r="FV32" s="56">
        <v>360</v>
      </c>
      <c r="FW32" s="55">
        <v>18</v>
      </c>
      <c r="FX32" s="56">
        <v>383</v>
      </c>
      <c r="FY32" s="55">
        <v>20</v>
      </c>
      <c r="FZ32" s="56">
        <v>380</v>
      </c>
      <c r="GA32" s="55">
        <v>20</v>
      </c>
      <c r="GB32" s="56">
        <v>403</v>
      </c>
      <c r="GC32" s="55">
        <v>26</v>
      </c>
      <c r="GD32" s="56">
        <v>398</v>
      </c>
      <c r="GE32" s="55">
        <v>17</v>
      </c>
      <c r="GF32" s="56">
        <v>410</v>
      </c>
      <c r="GG32" s="55">
        <v>25</v>
      </c>
      <c r="GH32" s="56">
        <v>380</v>
      </c>
      <c r="GI32" s="55">
        <v>17</v>
      </c>
      <c r="GJ32" s="56">
        <v>400</v>
      </c>
      <c r="GK32" s="55">
        <v>16</v>
      </c>
      <c r="GL32" s="56">
        <v>405</v>
      </c>
      <c r="GM32" s="55">
        <v>15</v>
      </c>
      <c r="GN32" s="56">
        <v>400</v>
      </c>
      <c r="GO32" s="55">
        <v>24</v>
      </c>
      <c r="GP32" s="56">
        <v>425</v>
      </c>
      <c r="GQ32" s="55">
        <v>15</v>
      </c>
      <c r="GR32" s="56">
        <v>450</v>
      </c>
      <c r="GS32" s="55">
        <v>22</v>
      </c>
      <c r="GT32" s="56">
        <v>418</v>
      </c>
      <c r="GU32" s="55">
        <v>14</v>
      </c>
      <c r="GV32" s="56">
        <v>445</v>
      </c>
      <c r="GW32" s="55">
        <v>20</v>
      </c>
      <c r="GX32" s="56">
        <v>440</v>
      </c>
      <c r="GY32" s="55">
        <v>13</v>
      </c>
      <c r="GZ32" s="56">
        <v>450</v>
      </c>
      <c r="HA32">
        <v>13</v>
      </c>
      <c r="HB32" s="56">
        <v>480</v>
      </c>
      <c r="HC32">
        <v>9</v>
      </c>
      <c r="HD32" s="56">
        <v>470</v>
      </c>
      <c r="HE32">
        <v>13</v>
      </c>
      <c r="HF32" s="56">
        <v>470</v>
      </c>
    </row>
    <row r="33" spans="1:214" x14ac:dyDescent="0.25">
      <c r="A33" s="53"/>
      <c r="B33" s="54" t="s">
        <v>773</v>
      </c>
      <c r="C33" s="55">
        <v>110</v>
      </c>
      <c r="D33" s="56">
        <v>120</v>
      </c>
      <c r="E33" s="55">
        <v>114</v>
      </c>
      <c r="F33" s="56">
        <v>120</v>
      </c>
      <c r="G33" s="55">
        <v>125</v>
      </c>
      <c r="H33" s="56">
        <v>120</v>
      </c>
      <c r="I33" s="55">
        <v>143</v>
      </c>
      <c r="J33" s="56">
        <v>125</v>
      </c>
      <c r="K33" s="55">
        <v>122</v>
      </c>
      <c r="L33" s="56">
        <v>120</v>
      </c>
      <c r="M33" s="55">
        <v>119</v>
      </c>
      <c r="N33" s="56">
        <v>125</v>
      </c>
      <c r="O33" s="55">
        <v>117</v>
      </c>
      <c r="P33" s="56">
        <v>125</v>
      </c>
      <c r="Q33" s="55">
        <v>130</v>
      </c>
      <c r="R33" s="56">
        <v>125</v>
      </c>
      <c r="S33" s="55">
        <v>115</v>
      </c>
      <c r="T33" s="56">
        <v>125</v>
      </c>
      <c r="U33" s="55">
        <v>114</v>
      </c>
      <c r="V33" s="56">
        <v>125</v>
      </c>
      <c r="W33" s="55">
        <v>122</v>
      </c>
      <c r="X33" s="56">
        <v>125</v>
      </c>
      <c r="Y33" s="55">
        <v>121</v>
      </c>
      <c r="Z33" s="56">
        <v>130</v>
      </c>
      <c r="AA33" s="55">
        <v>116</v>
      </c>
      <c r="AB33" s="56">
        <v>135</v>
      </c>
      <c r="AC33" s="55">
        <v>100</v>
      </c>
      <c r="AD33" s="56">
        <v>130</v>
      </c>
      <c r="AE33" s="55">
        <v>109</v>
      </c>
      <c r="AF33" s="56">
        <v>130</v>
      </c>
      <c r="AG33" s="55">
        <v>111</v>
      </c>
      <c r="AH33" s="56">
        <v>140</v>
      </c>
      <c r="AI33" s="55">
        <v>121</v>
      </c>
      <c r="AJ33" s="56">
        <v>140</v>
      </c>
      <c r="AK33" s="55">
        <v>127</v>
      </c>
      <c r="AL33" s="56">
        <v>135</v>
      </c>
      <c r="AM33" s="55">
        <v>112</v>
      </c>
      <c r="AN33" s="56">
        <v>140</v>
      </c>
      <c r="AO33" s="55">
        <v>146</v>
      </c>
      <c r="AP33" s="56">
        <v>135</v>
      </c>
      <c r="AQ33" s="55">
        <v>106</v>
      </c>
      <c r="AR33" s="56">
        <v>140</v>
      </c>
      <c r="AS33" s="55">
        <v>128</v>
      </c>
      <c r="AT33" s="56">
        <v>138</v>
      </c>
      <c r="AU33" s="55">
        <v>106</v>
      </c>
      <c r="AV33" s="56">
        <v>140</v>
      </c>
      <c r="AW33" s="55">
        <v>134</v>
      </c>
      <c r="AX33" s="56">
        <v>145</v>
      </c>
      <c r="AY33" s="55">
        <v>116</v>
      </c>
      <c r="AZ33" s="56">
        <v>145</v>
      </c>
      <c r="BA33" s="55">
        <v>120</v>
      </c>
      <c r="BB33" s="56">
        <v>145</v>
      </c>
      <c r="BC33" s="55">
        <v>94</v>
      </c>
      <c r="BD33" s="56">
        <v>145</v>
      </c>
      <c r="BE33" s="55">
        <v>127</v>
      </c>
      <c r="BF33" s="56">
        <v>150</v>
      </c>
      <c r="BG33" s="55">
        <v>123</v>
      </c>
      <c r="BH33" s="56">
        <v>145</v>
      </c>
      <c r="BI33" s="55">
        <v>109</v>
      </c>
      <c r="BJ33" s="56">
        <v>150</v>
      </c>
      <c r="BK33" s="55">
        <v>99</v>
      </c>
      <c r="BL33" s="56">
        <v>140</v>
      </c>
      <c r="BM33" s="55">
        <v>112</v>
      </c>
      <c r="BN33" s="56">
        <v>150</v>
      </c>
      <c r="BO33" s="55">
        <v>95</v>
      </c>
      <c r="BP33" s="56">
        <v>150</v>
      </c>
      <c r="BQ33" s="55">
        <v>86</v>
      </c>
      <c r="BR33" s="56">
        <v>150</v>
      </c>
      <c r="BS33" s="55">
        <v>82</v>
      </c>
      <c r="BT33" s="56">
        <v>150</v>
      </c>
      <c r="BU33" s="55">
        <v>110</v>
      </c>
      <c r="BV33" s="56">
        <v>155</v>
      </c>
      <c r="BW33" s="55">
        <v>95</v>
      </c>
      <c r="BX33" s="56">
        <v>150</v>
      </c>
      <c r="BY33" s="55">
        <v>102</v>
      </c>
      <c r="BZ33" s="56">
        <v>150</v>
      </c>
      <c r="CA33" s="55">
        <v>101</v>
      </c>
      <c r="CB33" s="56">
        <v>150</v>
      </c>
      <c r="CC33" s="55">
        <v>129</v>
      </c>
      <c r="CD33" s="56">
        <v>155</v>
      </c>
      <c r="CE33" s="55">
        <v>112</v>
      </c>
      <c r="CF33" s="56">
        <v>150</v>
      </c>
      <c r="CG33" s="55">
        <v>102</v>
      </c>
      <c r="CH33" s="56">
        <v>160</v>
      </c>
      <c r="CI33" s="55">
        <v>80</v>
      </c>
      <c r="CJ33" s="56">
        <v>160</v>
      </c>
      <c r="CK33" s="55">
        <v>127</v>
      </c>
      <c r="CL33" s="56">
        <v>160</v>
      </c>
      <c r="CM33" s="55">
        <v>78</v>
      </c>
      <c r="CN33" s="56">
        <v>170</v>
      </c>
      <c r="CO33" s="55">
        <v>104</v>
      </c>
      <c r="CP33" s="56">
        <v>160</v>
      </c>
      <c r="CQ33" s="55">
        <v>102</v>
      </c>
      <c r="CR33" s="56">
        <v>160</v>
      </c>
      <c r="CS33" s="55">
        <v>105</v>
      </c>
      <c r="CT33" s="56">
        <v>165</v>
      </c>
      <c r="CU33" s="55">
        <v>91</v>
      </c>
      <c r="CV33" s="56">
        <v>170</v>
      </c>
      <c r="CW33" s="55">
        <v>84</v>
      </c>
      <c r="CX33" s="56">
        <v>175</v>
      </c>
      <c r="CY33" s="55">
        <v>99</v>
      </c>
      <c r="CZ33" s="56">
        <v>175</v>
      </c>
      <c r="DA33" s="55">
        <v>102</v>
      </c>
      <c r="DB33" s="56">
        <v>170</v>
      </c>
      <c r="DC33" s="55">
        <v>104</v>
      </c>
      <c r="DD33" s="56">
        <v>175</v>
      </c>
      <c r="DE33" s="55">
        <v>100</v>
      </c>
      <c r="DF33" s="56">
        <v>170</v>
      </c>
      <c r="DG33" s="55">
        <v>93</v>
      </c>
      <c r="DH33" s="56">
        <v>180</v>
      </c>
      <c r="DI33" s="55">
        <v>87</v>
      </c>
      <c r="DJ33" s="56">
        <v>180</v>
      </c>
      <c r="DK33" s="55">
        <v>106</v>
      </c>
      <c r="DL33" s="56">
        <v>180</v>
      </c>
      <c r="DM33" s="55">
        <v>92</v>
      </c>
      <c r="DN33" s="56">
        <v>180</v>
      </c>
      <c r="DO33" s="55">
        <v>92</v>
      </c>
      <c r="DP33" s="56">
        <v>178</v>
      </c>
      <c r="DQ33" s="55">
        <v>96</v>
      </c>
      <c r="DR33" s="56">
        <v>190</v>
      </c>
      <c r="DS33" s="55">
        <v>93</v>
      </c>
      <c r="DT33" s="56">
        <v>195</v>
      </c>
      <c r="DU33" s="55">
        <v>90</v>
      </c>
      <c r="DV33" s="56">
        <v>190</v>
      </c>
      <c r="DW33" s="55">
        <v>100</v>
      </c>
      <c r="DX33" s="56">
        <v>190</v>
      </c>
      <c r="DY33" s="55">
        <v>73</v>
      </c>
      <c r="DZ33" s="56">
        <v>200</v>
      </c>
      <c r="EA33" s="55">
        <v>90</v>
      </c>
      <c r="EB33" s="56">
        <v>190</v>
      </c>
      <c r="EC33" s="55">
        <v>103</v>
      </c>
      <c r="ED33" s="56">
        <v>195</v>
      </c>
      <c r="EE33" s="55">
        <v>92</v>
      </c>
      <c r="EF33" s="56">
        <v>195</v>
      </c>
      <c r="EG33" s="55">
        <v>91</v>
      </c>
      <c r="EH33" s="56">
        <v>200</v>
      </c>
      <c r="EI33" s="55">
        <v>74</v>
      </c>
      <c r="EJ33" s="56">
        <v>200</v>
      </c>
      <c r="EK33" s="55">
        <v>97</v>
      </c>
      <c r="EL33" s="56">
        <v>200</v>
      </c>
      <c r="EM33" s="55">
        <v>69</v>
      </c>
      <c r="EN33" s="56">
        <v>210</v>
      </c>
      <c r="EO33" s="55">
        <v>91</v>
      </c>
      <c r="EP33" s="56">
        <v>200</v>
      </c>
      <c r="EQ33" s="55">
        <v>96</v>
      </c>
      <c r="ER33" s="56">
        <v>210</v>
      </c>
      <c r="ES33" s="55">
        <v>67</v>
      </c>
      <c r="ET33" s="56">
        <v>200</v>
      </c>
      <c r="EU33" s="55">
        <v>81</v>
      </c>
      <c r="EV33" s="56">
        <v>205</v>
      </c>
      <c r="EW33" s="55">
        <v>94</v>
      </c>
      <c r="EX33" s="56">
        <v>205</v>
      </c>
      <c r="EY33" s="55">
        <v>80</v>
      </c>
      <c r="EZ33" s="56">
        <v>210</v>
      </c>
      <c r="FA33" s="55">
        <v>75</v>
      </c>
      <c r="FB33" s="56">
        <v>230</v>
      </c>
      <c r="FC33" s="55">
        <v>86</v>
      </c>
      <c r="FD33" s="56">
        <v>220</v>
      </c>
      <c r="FE33" s="55">
        <v>67</v>
      </c>
      <c r="FF33" s="56">
        <v>220</v>
      </c>
      <c r="FG33" s="55">
        <v>61</v>
      </c>
      <c r="FH33" s="56">
        <v>230</v>
      </c>
      <c r="FI33" s="55">
        <v>87</v>
      </c>
      <c r="FJ33" s="56">
        <v>230</v>
      </c>
      <c r="FK33" s="55">
        <v>63</v>
      </c>
      <c r="FL33" s="56">
        <v>235</v>
      </c>
      <c r="FM33" s="55">
        <v>82</v>
      </c>
      <c r="FN33" s="56">
        <v>230</v>
      </c>
      <c r="FO33" s="55">
        <v>55</v>
      </c>
      <c r="FP33" s="56">
        <v>240</v>
      </c>
      <c r="FQ33" s="55">
        <v>55</v>
      </c>
      <c r="FR33" s="56">
        <v>245</v>
      </c>
      <c r="FS33" s="55">
        <v>53</v>
      </c>
      <c r="FT33" s="56">
        <v>240</v>
      </c>
      <c r="FU33" s="55">
        <v>63</v>
      </c>
      <c r="FV33" s="56">
        <v>240</v>
      </c>
      <c r="FW33" s="55">
        <v>66</v>
      </c>
      <c r="FX33" s="56">
        <v>250</v>
      </c>
      <c r="FY33" s="55">
        <v>46</v>
      </c>
      <c r="FZ33" s="56">
        <v>260</v>
      </c>
      <c r="GA33" s="55">
        <v>53</v>
      </c>
      <c r="GB33" s="56">
        <v>250</v>
      </c>
      <c r="GC33" s="55">
        <v>73</v>
      </c>
      <c r="GD33" s="56">
        <v>265</v>
      </c>
      <c r="GE33" s="55">
        <v>61</v>
      </c>
      <c r="GF33" s="56">
        <v>265</v>
      </c>
      <c r="GG33" s="55">
        <v>81</v>
      </c>
      <c r="GH33" s="56">
        <v>270</v>
      </c>
      <c r="GI33" s="55">
        <v>52</v>
      </c>
      <c r="GJ33" s="56">
        <v>270</v>
      </c>
      <c r="GK33" s="55">
        <v>65</v>
      </c>
      <c r="GL33" s="56">
        <v>280</v>
      </c>
      <c r="GM33" s="55">
        <v>60</v>
      </c>
      <c r="GN33" s="56">
        <v>288</v>
      </c>
      <c r="GO33" s="55">
        <v>62</v>
      </c>
      <c r="GP33" s="56">
        <v>298</v>
      </c>
      <c r="GQ33" s="55">
        <v>60</v>
      </c>
      <c r="GR33" s="56">
        <v>300</v>
      </c>
      <c r="GS33" s="55">
        <v>52</v>
      </c>
      <c r="GT33" s="56">
        <v>320</v>
      </c>
      <c r="GU33" s="55">
        <v>57</v>
      </c>
      <c r="GV33" s="56">
        <v>320</v>
      </c>
      <c r="GW33" s="55">
        <v>54</v>
      </c>
      <c r="GX33" s="56">
        <v>340</v>
      </c>
      <c r="GY33" s="55">
        <v>57</v>
      </c>
      <c r="GZ33" s="56">
        <v>350</v>
      </c>
      <c r="HA33">
        <v>51</v>
      </c>
      <c r="HB33" s="56">
        <v>340</v>
      </c>
      <c r="HC33">
        <v>52</v>
      </c>
      <c r="HD33" s="56">
        <v>350</v>
      </c>
      <c r="HE33">
        <v>62</v>
      </c>
      <c r="HF33" s="56">
        <v>350</v>
      </c>
    </row>
    <row r="34" spans="1:214" x14ac:dyDescent="0.25">
      <c r="A34" s="53"/>
      <c r="B34" s="54" t="s">
        <v>774</v>
      </c>
      <c r="C34" s="55">
        <v>6</v>
      </c>
      <c r="D34" s="56">
        <v>113</v>
      </c>
      <c r="E34" s="55">
        <v>12</v>
      </c>
      <c r="F34" s="56">
        <v>120</v>
      </c>
      <c r="G34" s="55">
        <v>17</v>
      </c>
      <c r="H34" s="56">
        <v>125</v>
      </c>
      <c r="I34" s="55">
        <v>18</v>
      </c>
      <c r="J34" s="56">
        <v>118</v>
      </c>
      <c r="K34" s="55">
        <v>10</v>
      </c>
      <c r="L34" s="56">
        <v>125</v>
      </c>
      <c r="M34" s="55">
        <v>15</v>
      </c>
      <c r="N34" s="56">
        <v>120</v>
      </c>
      <c r="O34" s="55">
        <v>11</v>
      </c>
      <c r="P34" s="56">
        <v>125</v>
      </c>
      <c r="Q34" s="55">
        <v>12</v>
      </c>
      <c r="R34" s="56">
        <v>138</v>
      </c>
      <c r="S34" s="55">
        <v>16</v>
      </c>
      <c r="T34" s="56">
        <v>125</v>
      </c>
      <c r="U34" s="55">
        <v>12</v>
      </c>
      <c r="V34" s="56">
        <v>133</v>
      </c>
      <c r="W34" s="55">
        <v>8</v>
      </c>
      <c r="X34" s="56">
        <v>128</v>
      </c>
      <c r="Y34" s="55">
        <v>13</v>
      </c>
      <c r="Z34" s="56">
        <v>135</v>
      </c>
      <c r="AA34" s="55">
        <v>10</v>
      </c>
      <c r="AB34" s="56">
        <v>130</v>
      </c>
      <c r="AC34" s="55">
        <v>9</v>
      </c>
      <c r="AD34" s="56">
        <v>135</v>
      </c>
      <c r="AE34" s="55">
        <v>12</v>
      </c>
      <c r="AF34" s="56">
        <v>150</v>
      </c>
      <c r="AG34" s="55">
        <v>18</v>
      </c>
      <c r="AH34" s="56">
        <v>135</v>
      </c>
      <c r="AI34" s="55">
        <v>11</v>
      </c>
      <c r="AJ34" s="56">
        <v>150</v>
      </c>
      <c r="AK34" s="55">
        <v>11</v>
      </c>
      <c r="AL34" s="56">
        <v>145</v>
      </c>
      <c r="AM34" s="55">
        <v>12</v>
      </c>
      <c r="AN34" s="56">
        <v>140</v>
      </c>
      <c r="AO34" s="55">
        <v>14</v>
      </c>
      <c r="AP34" s="56">
        <v>155</v>
      </c>
      <c r="AQ34" s="55">
        <v>6</v>
      </c>
      <c r="AR34" s="56">
        <v>163</v>
      </c>
      <c r="AS34" s="55">
        <v>11</v>
      </c>
      <c r="AT34" s="56">
        <v>160</v>
      </c>
      <c r="AU34" s="55">
        <v>11</v>
      </c>
      <c r="AV34" s="56">
        <v>165</v>
      </c>
      <c r="AW34" s="55">
        <v>10</v>
      </c>
      <c r="AX34" s="56">
        <v>168</v>
      </c>
      <c r="AY34" s="55">
        <v>12</v>
      </c>
      <c r="AZ34" s="56">
        <v>150</v>
      </c>
      <c r="BA34" s="55">
        <v>12</v>
      </c>
      <c r="BB34" s="56">
        <v>150</v>
      </c>
      <c r="BC34" s="55">
        <v>6</v>
      </c>
      <c r="BD34" s="56">
        <v>170</v>
      </c>
      <c r="BE34" s="55">
        <v>6</v>
      </c>
      <c r="BF34" s="56">
        <v>163</v>
      </c>
      <c r="BG34" s="55">
        <v>19</v>
      </c>
      <c r="BH34" s="56">
        <v>160</v>
      </c>
      <c r="BI34" s="55">
        <v>12</v>
      </c>
      <c r="BJ34" s="56">
        <v>185</v>
      </c>
      <c r="BK34" s="55">
        <v>8</v>
      </c>
      <c r="BL34" s="56">
        <v>180</v>
      </c>
      <c r="BM34" s="55">
        <v>15</v>
      </c>
      <c r="BN34" s="56">
        <v>165</v>
      </c>
      <c r="BO34" s="55">
        <v>10</v>
      </c>
      <c r="BP34" s="56">
        <v>193</v>
      </c>
      <c r="BQ34" s="55">
        <v>8</v>
      </c>
      <c r="BR34" s="56">
        <v>185</v>
      </c>
      <c r="BS34" s="55">
        <v>10</v>
      </c>
      <c r="BT34" s="56">
        <v>195</v>
      </c>
      <c r="BU34" s="55">
        <v>12</v>
      </c>
      <c r="BV34" s="56">
        <v>180</v>
      </c>
      <c r="BW34" s="55">
        <v>14</v>
      </c>
      <c r="BX34" s="56">
        <v>185</v>
      </c>
      <c r="BY34" s="55">
        <v>8</v>
      </c>
      <c r="BZ34" s="56">
        <v>195</v>
      </c>
      <c r="CA34" s="55">
        <v>17</v>
      </c>
      <c r="CB34" s="56">
        <v>185</v>
      </c>
      <c r="CC34" s="55">
        <v>6</v>
      </c>
      <c r="CD34" s="56">
        <v>185</v>
      </c>
      <c r="CE34" s="55">
        <v>11</v>
      </c>
      <c r="CF34" s="56">
        <v>200</v>
      </c>
      <c r="CG34" s="55">
        <v>8</v>
      </c>
      <c r="CH34" s="56">
        <v>195</v>
      </c>
      <c r="CI34" s="55">
        <v>8</v>
      </c>
      <c r="CJ34" s="56">
        <v>200</v>
      </c>
      <c r="CK34" s="55">
        <v>17</v>
      </c>
      <c r="CL34" s="56">
        <v>205</v>
      </c>
      <c r="CM34" s="55">
        <v>13</v>
      </c>
      <c r="CN34" s="56">
        <v>210</v>
      </c>
      <c r="CO34" s="55">
        <v>15</v>
      </c>
      <c r="CP34" s="56">
        <v>215</v>
      </c>
      <c r="CQ34" s="55">
        <v>8</v>
      </c>
      <c r="CR34" s="56">
        <v>223</v>
      </c>
      <c r="CS34" s="55">
        <v>15</v>
      </c>
      <c r="CT34" s="56">
        <v>210</v>
      </c>
      <c r="CU34" s="55">
        <v>7</v>
      </c>
      <c r="CV34" s="56">
        <v>245</v>
      </c>
      <c r="CW34" s="55">
        <v>7</v>
      </c>
      <c r="CX34" s="56">
        <v>250</v>
      </c>
      <c r="CY34" s="55">
        <v>10</v>
      </c>
      <c r="CZ34" s="56">
        <v>250</v>
      </c>
      <c r="DA34" s="55">
        <v>18</v>
      </c>
      <c r="DB34" s="56">
        <v>230</v>
      </c>
      <c r="DC34" s="55">
        <v>9</v>
      </c>
      <c r="DD34" s="56">
        <v>245</v>
      </c>
      <c r="DE34" s="55">
        <v>10</v>
      </c>
      <c r="DF34" s="56">
        <v>240</v>
      </c>
      <c r="DG34" s="55">
        <v>8</v>
      </c>
      <c r="DH34" s="56">
        <v>240</v>
      </c>
      <c r="DI34" s="55">
        <v>5</v>
      </c>
      <c r="DJ34" s="56">
        <v>260</v>
      </c>
      <c r="DK34" s="55">
        <v>7</v>
      </c>
      <c r="DL34" s="56">
        <v>250</v>
      </c>
      <c r="DM34" s="55">
        <v>5</v>
      </c>
      <c r="DN34" s="56">
        <v>250</v>
      </c>
      <c r="DO34" s="55">
        <v>6</v>
      </c>
      <c r="DP34" s="56">
        <v>275</v>
      </c>
      <c r="DQ34" s="55">
        <v>10</v>
      </c>
      <c r="DR34" s="56">
        <v>258</v>
      </c>
      <c r="DS34" s="55">
        <v>11</v>
      </c>
      <c r="DT34" s="56">
        <v>250</v>
      </c>
      <c r="DU34" s="55">
        <v>5</v>
      </c>
      <c r="DV34" s="56">
        <v>295</v>
      </c>
      <c r="DW34" s="55">
        <v>10</v>
      </c>
      <c r="DX34" s="56">
        <v>235</v>
      </c>
      <c r="DY34" s="55">
        <v>15</v>
      </c>
      <c r="DZ34" s="56">
        <v>280</v>
      </c>
      <c r="EA34" s="55">
        <v>15</v>
      </c>
      <c r="EB34" s="56">
        <v>260</v>
      </c>
      <c r="EC34" s="55">
        <v>8</v>
      </c>
      <c r="ED34" s="56">
        <v>268</v>
      </c>
      <c r="EE34" s="55" t="s">
        <v>2</v>
      </c>
      <c r="EF34" s="56" t="s">
        <v>2</v>
      </c>
      <c r="EG34" s="55">
        <v>7</v>
      </c>
      <c r="EH34" s="56">
        <v>270</v>
      </c>
      <c r="EI34" s="55">
        <v>5</v>
      </c>
      <c r="EJ34" s="56">
        <v>280</v>
      </c>
      <c r="EK34" s="55">
        <v>10</v>
      </c>
      <c r="EL34" s="56">
        <v>250</v>
      </c>
      <c r="EM34" s="55">
        <v>9</v>
      </c>
      <c r="EN34" s="56">
        <v>260</v>
      </c>
      <c r="EO34" s="55">
        <v>6</v>
      </c>
      <c r="EP34" s="56">
        <v>273</v>
      </c>
      <c r="EQ34" s="55">
        <v>12</v>
      </c>
      <c r="ER34" s="56">
        <v>280</v>
      </c>
      <c r="ES34" s="55">
        <v>8</v>
      </c>
      <c r="ET34" s="56">
        <v>255</v>
      </c>
      <c r="EU34" s="55">
        <v>6</v>
      </c>
      <c r="EV34" s="56">
        <v>255</v>
      </c>
      <c r="EW34" s="55">
        <v>8</v>
      </c>
      <c r="EX34" s="56">
        <v>280</v>
      </c>
      <c r="EY34" s="55">
        <v>9</v>
      </c>
      <c r="EZ34" s="56">
        <v>285</v>
      </c>
      <c r="FA34" s="55">
        <v>9</v>
      </c>
      <c r="FB34" s="56">
        <v>280</v>
      </c>
      <c r="FC34" s="55">
        <v>12</v>
      </c>
      <c r="FD34" s="56">
        <v>295</v>
      </c>
      <c r="FE34" s="55" t="s">
        <v>2</v>
      </c>
      <c r="FF34" s="56" t="s">
        <v>2</v>
      </c>
      <c r="FG34" s="55">
        <v>5</v>
      </c>
      <c r="FH34" s="56">
        <v>300</v>
      </c>
      <c r="FI34" s="55">
        <v>7</v>
      </c>
      <c r="FJ34" s="56">
        <v>300</v>
      </c>
      <c r="FK34" s="55">
        <v>5</v>
      </c>
      <c r="FL34" s="56">
        <v>290</v>
      </c>
      <c r="FM34" s="55" t="s">
        <v>2</v>
      </c>
      <c r="FN34" s="56" t="s">
        <v>2</v>
      </c>
      <c r="FO34" s="55">
        <v>7</v>
      </c>
      <c r="FP34" s="56">
        <v>300</v>
      </c>
      <c r="FQ34" s="55">
        <v>7</v>
      </c>
      <c r="FR34" s="56">
        <v>310</v>
      </c>
      <c r="FS34" s="55">
        <v>6</v>
      </c>
      <c r="FT34" s="56">
        <v>325</v>
      </c>
      <c r="FU34" s="55">
        <v>12</v>
      </c>
      <c r="FV34" s="56">
        <v>315</v>
      </c>
      <c r="FW34" s="55">
        <v>9</v>
      </c>
      <c r="FX34" s="56">
        <v>330</v>
      </c>
      <c r="FY34" s="55">
        <v>5</v>
      </c>
      <c r="FZ34" s="56">
        <v>320</v>
      </c>
      <c r="GA34" s="55">
        <v>5</v>
      </c>
      <c r="GB34" s="56">
        <v>360</v>
      </c>
      <c r="GC34" s="55">
        <v>9</v>
      </c>
      <c r="GD34" s="56">
        <v>350</v>
      </c>
      <c r="GE34" s="55">
        <v>8</v>
      </c>
      <c r="GF34" s="56">
        <v>330</v>
      </c>
      <c r="GG34" s="55">
        <v>7</v>
      </c>
      <c r="GH34" s="56">
        <v>350</v>
      </c>
      <c r="GI34" s="55">
        <v>5</v>
      </c>
      <c r="GJ34" s="56">
        <v>370</v>
      </c>
      <c r="GK34" s="55">
        <v>7</v>
      </c>
      <c r="GL34" s="56">
        <v>350</v>
      </c>
      <c r="GM34" s="55">
        <v>10</v>
      </c>
      <c r="GN34" s="56">
        <v>365</v>
      </c>
      <c r="GO34" s="55">
        <v>5</v>
      </c>
      <c r="GP34" s="56">
        <v>345</v>
      </c>
      <c r="GQ34" s="55">
        <v>9</v>
      </c>
      <c r="GR34" s="56">
        <v>365</v>
      </c>
      <c r="GS34" s="55">
        <v>9</v>
      </c>
      <c r="GT34" s="56">
        <v>380</v>
      </c>
      <c r="GU34" s="55">
        <v>7</v>
      </c>
      <c r="GV34" s="56">
        <v>350</v>
      </c>
      <c r="GW34" s="55">
        <v>9</v>
      </c>
      <c r="GX34" s="56">
        <v>390</v>
      </c>
      <c r="GY34" s="55">
        <v>5</v>
      </c>
      <c r="GZ34" s="56">
        <v>345</v>
      </c>
      <c r="HA34">
        <v>7</v>
      </c>
      <c r="HB34" s="56">
        <v>400</v>
      </c>
      <c r="HC34">
        <v>5</v>
      </c>
      <c r="HD34" s="56">
        <v>430</v>
      </c>
      <c r="HE34" t="s">
        <v>2</v>
      </c>
      <c r="HF34" s="56" t="s">
        <v>2</v>
      </c>
    </row>
    <row r="35" spans="1:214" x14ac:dyDescent="0.25">
      <c r="A35" s="53"/>
      <c r="B35" s="54" t="s">
        <v>775</v>
      </c>
      <c r="C35" s="55">
        <v>26</v>
      </c>
      <c r="D35" s="56">
        <v>125</v>
      </c>
      <c r="E35" s="55">
        <v>36</v>
      </c>
      <c r="F35" s="56">
        <v>120</v>
      </c>
      <c r="G35" s="55">
        <v>41</v>
      </c>
      <c r="H35" s="56">
        <v>100</v>
      </c>
      <c r="I35" s="55">
        <v>53</v>
      </c>
      <c r="J35" s="56">
        <v>130</v>
      </c>
      <c r="K35" s="55">
        <v>26</v>
      </c>
      <c r="L35" s="56">
        <v>143</v>
      </c>
      <c r="M35" s="55">
        <v>31</v>
      </c>
      <c r="N35" s="56">
        <v>125</v>
      </c>
      <c r="O35" s="55">
        <v>35</v>
      </c>
      <c r="P35" s="56">
        <v>125</v>
      </c>
      <c r="Q35" s="55">
        <v>32</v>
      </c>
      <c r="R35" s="56">
        <v>130</v>
      </c>
      <c r="S35" s="55">
        <v>31</v>
      </c>
      <c r="T35" s="56">
        <v>130</v>
      </c>
      <c r="U35" s="55">
        <v>30</v>
      </c>
      <c r="V35" s="56">
        <v>125</v>
      </c>
      <c r="W35" s="55">
        <v>35</v>
      </c>
      <c r="X35" s="56">
        <v>140</v>
      </c>
      <c r="Y35" s="55">
        <v>31</v>
      </c>
      <c r="Z35" s="56">
        <v>135</v>
      </c>
      <c r="AA35" s="55">
        <v>39</v>
      </c>
      <c r="AB35" s="56">
        <v>138</v>
      </c>
      <c r="AC35" s="55">
        <v>26</v>
      </c>
      <c r="AD35" s="56">
        <v>133</v>
      </c>
      <c r="AE35" s="55">
        <v>37</v>
      </c>
      <c r="AF35" s="56">
        <v>150</v>
      </c>
      <c r="AG35" s="55">
        <v>32</v>
      </c>
      <c r="AH35" s="56">
        <v>140</v>
      </c>
      <c r="AI35" s="55">
        <v>36</v>
      </c>
      <c r="AJ35" s="56">
        <v>143</v>
      </c>
      <c r="AK35" s="55">
        <v>32</v>
      </c>
      <c r="AL35" s="56">
        <v>150</v>
      </c>
      <c r="AM35" s="55">
        <v>30</v>
      </c>
      <c r="AN35" s="56">
        <v>145</v>
      </c>
      <c r="AO35" s="55">
        <v>30</v>
      </c>
      <c r="AP35" s="56">
        <v>145</v>
      </c>
      <c r="AQ35" s="55">
        <v>27</v>
      </c>
      <c r="AR35" s="56">
        <v>150</v>
      </c>
      <c r="AS35" s="55">
        <v>28</v>
      </c>
      <c r="AT35" s="56">
        <v>145</v>
      </c>
      <c r="AU35" s="55">
        <v>29</v>
      </c>
      <c r="AV35" s="56">
        <v>155</v>
      </c>
      <c r="AW35" s="55">
        <v>46</v>
      </c>
      <c r="AX35" s="56">
        <v>145</v>
      </c>
      <c r="AY35" s="55">
        <v>31</v>
      </c>
      <c r="AZ35" s="56">
        <v>155</v>
      </c>
      <c r="BA35" s="55">
        <v>34</v>
      </c>
      <c r="BB35" s="56">
        <v>168</v>
      </c>
      <c r="BC35" s="55">
        <v>28</v>
      </c>
      <c r="BD35" s="56">
        <v>153</v>
      </c>
      <c r="BE35" s="55">
        <v>32</v>
      </c>
      <c r="BF35" s="56">
        <v>155</v>
      </c>
      <c r="BG35" s="55">
        <v>38</v>
      </c>
      <c r="BH35" s="56">
        <v>158</v>
      </c>
      <c r="BI35" s="55">
        <v>44</v>
      </c>
      <c r="BJ35" s="56">
        <v>158</v>
      </c>
      <c r="BK35" s="55">
        <v>32</v>
      </c>
      <c r="BL35" s="56">
        <v>160</v>
      </c>
      <c r="BM35" s="55">
        <v>26</v>
      </c>
      <c r="BN35" s="56">
        <v>190</v>
      </c>
      <c r="BO35" s="55">
        <v>34</v>
      </c>
      <c r="BP35" s="56">
        <v>163</v>
      </c>
      <c r="BQ35" s="55">
        <v>29</v>
      </c>
      <c r="BR35" s="56">
        <v>170</v>
      </c>
      <c r="BS35" s="55">
        <v>33</v>
      </c>
      <c r="BT35" s="56">
        <v>165</v>
      </c>
      <c r="BU35" s="55">
        <v>36</v>
      </c>
      <c r="BV35" s="56">
        <v>185</v>
      </c>
      <c r="BW35" s="55">
        <v>42</v>
      </c>
      <c r="BX35" s="56">
        <v>190</v>
      </c>
      <c r="BY35" s="55">
        <v>29</v>
      </c>
      <c r="BZ35" s="56">
        <v>170</v>
      </c>
      <c r="CA35" s="55">
        <v>30</v>
      </c>
      <c r="CB35" s="56">
        <v>178</v>
      </c>
      <c r="CC35" s="55">
        <v>53</v>
      </c>
      <c r="CD35" s="56">
        <v>190</v>
      </c>
      <c r="CE35" s="55">
        <v>29</v>
      </c>
      <c r="CF35" s="56">
        <v>190</v>
      </c>
      <c r="CG35" s="55">
        <v>24</v>
      </c>
      <c r="CH35" s="56">
        <v>190</v>
      </c>
      <c r="CI35" s="55">
        <v>26</v>
      </c>
      <c r="CJ35" s="56">
        <v>183</v>
      </c>
      <c r="CK35" s="55">
        <v>40</v>
      </c>
      <c r="CL35" s="56">
        <v>200</v>
      </c>
      <c r="CM35" s="55">
        <v>33</v>
      </c>
      <c r="CN35" s="56">
        <v>190</v>
      </c>
      <c r="CO35" s="55">
        <v>27</v>
      </c>
      <c r="CP35" s="56">
        <v>195</v>
      </c>
      <c r="CQ35" s="55">
        <v>37</v>
      </c>
      <c r="CR35" s="56">
        <v>190</v>
      </c>
      <c r="CS35" s="55">
        <v>37</v>
      </c>
      <c r="CT35" s="56">
        <v>190</v>
      </c>
      <c r="CU35" s="55">
        <v>41</v>
      </c>
      <c r="CV35" s="56">
        <v>190</v>
      </c>
      <c r="CW35" s="55">
        <v>31</v>
      </c>
      <c r="CX35" s="56">
        <v>180</v>
      </c>
      <c r="CY35" s="55">
        <v>29</v>
      </c>
      <c r="CZ35" s="56">
        <v>195</v>
      </c>
      <c r="DA35" s="55">
        <v>42</v>
      </c>
      <c r="DB35" s="56">
        <v>195</v>
      </c>
      <c r="DC35" s="55">
        <v>33</v>
      </c>
      <c r="DD35" s="56">
        <v>200</v>
      </c>
      <c r="DE35" s="55">
        <v>30</v>
      </c>
      <c r="DF35" s="56">
        <v>190</v>
      </c>
      <c r="DG35" s="55">
        <v>27</v>
      </c>
      <c r="DH35" s="56">
        <v>195</v>
      </c>
      <c r="DI35" s="55">
        <v>29</v>
      </c>
      <c r="DJ35" s="56">
        <v>195</v>
      </c>
      <c r="DK35" s="55">
        <v>33</v>
      </c>
      <c r="DL35" s="56">
        <v>210</v>
      </c>
      <c r="DM35" s="55">
        <v>36</v>
      </c>
      <c r="DN35" s="56">
        <v>195</v>
      </c>
      <c r="DO35" s="55">
        <v>31</v>
      </c>
      <c r="DP35" s="56">
        <v>220</v>
      </c>
      <c r="DQ35" s="55">
        <v>35</v>
      </c>
      <c r="DR35" s="56">
        <v>200</v>
      </c>
      <c r="DS35" s="55">
        <v>24</v>
      </c>
      <c r="DT35" s="56">
        <v>195</v>
      </c>
      <c r="DU35" s="55">
        <v>24</v>
      </c>
      <c r="DV35" s="56">
        <v>205</v>
      </c>
      <c r="DW35" s="55">
        <v>26</v>
      </c>
      <c r="DX35" s="56">
        <v>218</v>
      </c>
      <c r="DY35" s="55">
        <v>37</v>
      </c>
      <c r="DZ35" s="56">
        <v>215</v>
      </c>
      <c r="EA35" s="55">
        <v>35</v>
      </c>
      <c r="EB35" s="56">
        <v>215</v>
      </c>
      <c r="EC35" s="55">
        <v>18</v>
      </c>
      <c r="ED35" s="56">
        <v>223</v>
      </c>
      <c r="EE35" s="55">
        <v>27</v>
      </c>
      <c r="EF35" s="56">
        <v>210</v>
      </c>
      <c r="EG35" s="55">
        <v>34</v>
      </c>
      <c r="EH35" s="56">
        <v>220</v>
      </c>
      <c r="EI35" s="55">
        <v>19</v>
      </c>
      <c r="EJ35" s="56">
        <v>230</v>
      </c>
      <c r="EK35" s="55">
        <v>24</v>
      </c>
      <c r="EL35" s="56">
        <v>218</v>
      </c>
      <c r="EM35" s="55">
        <v>30</v>
      </c>
      <c r="EN35" s="56">
        <v>220</v>
      </c>
      <c r="EO35" s="55">
        <v>35</v>
      </c>
      <c r="EP35" s="56">
        <v>220</v>
      </c>
      <c r="EQ35" s="55">
        <v>21</v>
      </c>
      <c r="ER35" s="56">
        <v>225</v>
      </c>
      <c r="ES35" s="55">
        <v>32</v>
      </c>
      <c r="ET35" s="56">
        <v>230</v>
      </c>
      <c r="EU35" s="55">
        <v>25</v>
      </c>
      <c r="EV35" s="56">
        <v>220</v>
      </c>
      <c r="EW35" s="55">
        <v>29</v>
      </c>
      <c r="EX35" s="56">
        <v>225</v>
      </c>
      <c r="EY35" s="55">
        <v>24</v>
      </c>
      <c r="EZ35" s="56">
        <v>235</v>
      </c>
      <c r="FA35" s="55">
        <v>27</v>
      </c>
      <c r="FB35" s="56">
        <v>230</v>
      </c>
      <c r="FC35" s="55">
        <v>23</v>
      </c>
      <c r="FD35" s="56">
        <v>225</v>
      </c>
      <c r="FE35" s="55">
        <v>22</v>
      </c>
      <c r="FF35" s="56">
        <v>250</v>
      </c>
      <c r="FG35" s="55">
        <v>22</v>
      </c>
      <c r="FH35" s="56">
        <v>223</v>
      </c>
      <c r="FI35" s="55">
        <v>26</v>
      </c>
      <c r="FJ35" s="56">
        <v>240</v>
      </c>
      <c r="FK35" s="55">
        <v>26</v>
      </c>
      <c r="FL35" s="56">
        <v>235</v>
      </c>
      <c r="FM35" s="55">
        <v>22</v>
      </c>
      <c r="FN35" s="56">
        <v>233</v>
      </c>
      <c r="FO35" s="55">
        <v>14</v>
      </c>
      <c r="FP35" s="56">
        <v>255</v>
      </c>
      <c r="FQ35" s="55">
        <v>17</v>
      </c>
      <c r="FR35" s="56">
        <v>260</v>
      </c>
      <c r="FS35" s="55">
        <v>21</v>
      </c>
      <c r="FT35" s="56">
        <v>260</v>
      </c>
      <c r="FU35" s="55">
        <v>32</v>
      </c>
      <c r="FV35" s="56">
        <v>263</v>
      </c>
      <c r="FW35" s="55">
        <v>18</v>
      </c>
      <c r="FX35" s="56">
        <v>273</v>
      </c>
      <c r="FY35" s="55">
        <v>35</v>
      </c>
      <c r="FZ35" s="56">
        <v>260</v>
      </c>
      <c r="GA35" s="55">
        <v>20</v>
      </c>
      <c r="GB35" s="56">
        <v>280</v>
      </c>
      <c r="GC35" s="55">
        <v>32</v>
      </c>
      <c r="GD35" s="56">
        <v>260</v>
      </c>
      <c r="GE35" s="55">
        <v>19</v>
      </c>
      <c r="GF35" s="56">
        <v>320</v>
      </c>
      <c r="GG35" s="55">
        <v>31</v>
      </c>
      <c r="GH35" s="56">
        <v>280</v>
      </c>
      <c r="GI35" s="55">
        <v>20</v>
      </c>
      <c r="GJ35" s="56">
        <v>290</v>
      </c>
      <c r="GK35" s="55">
        <v>18</v>
      </c>
      <c r="GL35" s="56">
        <v>285</v>
      </c>
      <c r="GM35" s="55">
        <v>24</v>
      </c>
      <c r="GN35" s="56">
        <v>310</v>
      </c>
      <c r="GO35" s="55">
        <v>23</v>
      </c>
      <c r="GP35" s="56">
        <v>295</v>
      </c>
      <c r="GQ35" s="55">
        <v>24</v>
      </c>
      <c r="GR35" s="56">
        <v>350</v>
      </c>
      <c r="GS35" s="55">
        <v>27</v>
      </c>
      <c r="GT35" s="56">
        <v>320</v>
      </c>
      <c r="GU35" s="55">
        <v>15</v>
      </c>
      <c r="GV35" s="56">
        <v>350</v>
      </c>
      <c r="GW35" s="55">
        <v>21</v>
      </c>
      <c r="GX35" s="56">
        <v>350</v>
      </c>
      <c r="GY35" s="55">
        <v>17</v>
      </c>
      <c r="GZ35" s="56">
        <v>350</v>
      </c>
      <c r="HA35">
        <v>23</v>
      </c>
      <c r="HB35" s="56">
        <v>320</v>
      </c>
      <c r="HC35">
        <v>10</v>
      </c>
      <c r="HD35" s="56">
        <v>343</v>
      </c>
      <c r="HE35">
        <v>14</v>
      </c>
      <c r="HF35" s="56">
        <v>340</v>
      </c>
    </row>
    <row r="36" spans="1:214" x14ac:dyDescent="0.25">
      <c r="A36" s="57"/>
      <c r="B36" s="57" t="s">
        <v>752</v>
      </c>
      <c r="C36" s="58">
        <v>436</v>
      </c>
      <c r="D36" s="59">
        <v>120</v>
      </c>
      <c r="E36" s="58">
        <v>438</v>
      </c>
      <c r="F36" s="59">
        <v>120</v>
      </c>
      <c r="G36" s="58">
        <v>469</v>
      </c>
      <c r="H36" s="59">
        <v>120</v>
      </c>
      <c r="I36" s="58">
        <v>590</v>
      </c>
      <c r="J36" s="59">
        <v>125</v>
      </c>
      <c r="K36" s="58">
        <v>446</v>
      </c>
      <c r="L36" s="59">
        <v>125</v>
      </c>
      <c r="M36" s="58">
        <v>465</v>
      </c>
      <c r="N36" s="59">
        <v>125</v>
      </c>
      <c r="O36" s="58">
        <v>460</v>
      </c>
      <c r="P36" s="59">
        <v>125</v>
      </c>
      <c r="Q36" s="58">
        <v>563</v>
      </c>
      <c r="R36" s="59">
        <v>125</v>
      </c>
      <c r="S36" s="58">
        <v>398</v>
      </c>
      <c r="T36" s="59">
        <v>127</v>
      </c>
      <c r="U36" s="58">
        <v>409</v>
      </c>
      <c r="V36" s="59">
        <v>130</v>
      </c>
      <c r="W36" s="58">
        <v>439</v>
      </c>
      <c r="X36" s="59">
        <v>130</v>
      </c>
      <c r="Y36" s="58">
        <v>493</v>
      </c>
      <c r="Z36" s="59">
        <v>135</v>
      </c>
      <c r="AA36" s="58">
        <v>405</v>
      </c>
      <c r="AB36" s="59">
        <v>135</v>
      </c>
      <c r="AC36" s="58">
        <v>413</v>
      </c>
      <c r="AD36" s="59">
        <v>135</v>
      </c>
      <c r="AE36" s="58">
        <v>398</v>
      </c>
      <c r="AF36" s="59">
        <v>140</v>
      </c>
      <c r="AG36" s="58">
        <v>487</v>
      </c>
      <c r="AH36" s="59">
        <v>140</v>
      </c>
      <c r="AI36" s="58">
        <v>421</v>
      </c>
      <c r="AJ36" s="59">
        <v>145</v>
      </c>
      <c r="AK36" s="58">
        <v>422</v>
      </c>
      <c r="AL36" s="59">
        <v>145</v>
      </c>
      <c r="AM36" s="58">
        <v>430</v>
      </c>
      <c r="AN36" s="59">
        <v>145</v>
      </c>
      <c r="AO36" s="58">
        <v>495</v>
      </c>
      <c r="AP36" s="59">
        <v>145</v>
      </c>
      <c r="AQ36" s="58">
        <v>356</v>
      </c>
      <c r="AR36" s="59">
        <v>148</v>
      </c>
      <c r="AS36" s="58">
        <v>429</v>
      </c>
      <c r="AT36" s="59">
        <v>145</v>
      </c>
      <c r="AU36" s="58">
        <v>442</v>
      </c>
      <c r="AV36" s="59">
        <v>150</v>
      </c>
      <c r="AW36" s="58">
        <v>486</v>
      </c>
      <c r="AX36" s="59">
        <v>150</v>
      </c>
      <c r="AY36" s="58">
        <v>399</v>
      </c>
      <c r="AZ36" s="59">
        <v>150</v>
      </c>
      <c r="BA36" s="58">
        <v>459</v>
      </c>
      <c r="BB36" s="59">
        <v>150</v>
      </c>
      <c r="BC36" s="58">
        <v>419</v>
      </c>
      <c r="BD36" s="59">
        <v>160</v>
      </c>
      <c r="BE36" s="58">
        <v>482</v>
      </c>
      <c r="BF36" s="59">
        <v>155</v>
      </c>
      <c r="BG36" s="58">
        <v>428</v>
      </c>
      <c r="BH36" s="59">
        <v>155</v>
      </c>
      <c r="BI36" s="58">
        <v>438</v>
      </c>
      <c r="BJ36" s="59">
        <v>160</v>
      </c>
      <c r="BK36" s="58">
        <v>374</v>
      </c>
      <c r="BL36" s="59">
        <v>155</v>
      </c>
      <c r="BM36" s="58">
        <v>500</v>
      </c>
      <c r="BN36" s="59">
        <v>165</v>
      </c>
      <c r="BO36" s="58">
        <v>370</v>
      </c>
      <c r="BP36" s="59">
        <v>160</v>
      </c>
      <c r="BQ36" s="58">
        <v>391</v>
      </c>
      <c r="BR36" s="59">
        <v>160</v>
      </c>
      <c r="BS36" s="58">
        <v>373</v>
      </c>
      <c r="BT36" s="59">
        <v>165</v>
      </c>
      <c r="BU36" s="58">
        <v>563</v>
      </c>
      <c r="BV36" s="59">
        <v>170</v>
      </c>
      <c r="BW36" s="58">
        <v>420</v>
      </c>
      <c r="BX36" s="59">
        <v>170</v>
      </c>
      <c r="BY36" s="58">
        <v>394</v>
      </c>
      <c r="BZ36" s="59">
        <v>170</v>
      </c>
      <c r="CA36" s="58">
        <v>439</v>
      </c>
      <c r="CB36" s="59">
        <v>170</v>
      </c>
      <c r="CC36" s="58">
        <v>516</v>
      </c>
      <c r="CD36" s="59">
        <v>173</v>
      </c>
      <c r="CE36" s="58">
        <v>406</v>
      </c>
      <c r="CF36" s="59">
        <v>175</v>
      </c>
      <c r="CG36" s="58">
        <v>385</v>
      </c>
      <c r="CH36" s="59">
        <v>175</v>
      </c>
      <c r="CI36" s="58">
        <v>378</v>
      </c>
      <c r="CJ36" s="59">
        <v>180</v>
      </c>
      <c r="CK36" s="58">
        <v>475</v>
      </c>
      <c r="CL36" s="59">
        <v>180</v>
      </c>
      <c r="CM36" s="58">
        <v>379</v>
      </c>
      <c r="CN36" s="59">
        <v>190</v>
      </c>
      <c r="CO36" s="58">
        <v>395</v>
      </c>
      <c r="CP36" s="59">
        <v>185</v>
      </c>
      <c r="CQ36" s="58">
        <v>428</v>
      </c>
      <c r="CR36" s="59">
        <v>190</v>
      </c>
      <c r="CS36" s="58">
        <v>425</v>
      </c>
      <c r="CT36" s="59">
        <v>190</v>
      </c>
      <c r="CU36" s="58">
        <v>378</v>
      </c>
      <c r="CV36" s="59">
        <v>195</v>
      </c>
      <c r="CW36" s="58">
        <v>378</v>
      </c>
      <c r="CX36" s="59">
        <v>200</v>
      </c>
      <c r="CY36" s="58">
        <v>357</v>
      </c>
      <c r="CZ36" s="59">
        <v>200</v>
      </c>
      <c r="DA36" s="58">
        <v>453</v>
      </c>
      <c r="DB36" s="59">
        <v>210</v>
      </c>
      <c r="DC36" s="58">
        <v>394</v>
      </c>
      <c r="DD36" s="59">
        <v>200</v>
      </c>
      <c r="DE36" s="58">
        <v>391</v>
      </c>
      <c r="DF36" s="59">
        <v>200</v>
      </c>
      <c r="DG36" s="58">
        <v>406</v>
      </c>
      <c r="DH36" s="59">
        <v>200</v>
      </c>
      <c r="DI36" s="58">
        <v>403</v>
      </c>
      <c r="DJ36" s="59">
        <v>210</v>
      </c>
      <c r="DK36" s="58">
        <v>404</v>
      </c>
      <c r="DL36" s="59">
        <v>210</v>
      </c>
      <c r="DM36" s="58">
        <v>405</v>
      </c>
      <c r="DN36" s="59">
        <v>215</v>
      </c>
      <c r="DO36" s="58">
        <v>401</v>
      </c>
      <c r="DP36" s="59">
        <v>220</v>
      </c>
      <c r="DQ36" s="58">
        <v>458</v>
      </c>
      <c r="DR36" s="59">
        <v>220</v>
      </c>
      <c r="DS36" s="58">
        <v>423</v>
      </c>
      <c r="DT36" s="59">
        <v>220</v>
      </c>
      <c r="DU36" s="58">
        <v>417</v>
      </c>
      <c r="DV36" s="59">
        <v>220</v>
      </c>
      <c r="DW36" s="58">
        <v>435</v>
      </c>
      <c r="DX36" s="59">
        <v>220</v>
      </c>
      <c r="DY36" s="58">
        <v>411</v>
      </c>
      <c r="DZ36" s="59">
        <v>225</v>
      </c>
      <c r="EA36" s="58">
        <v>412</v>
      </c>
      <c r="EB36" s="59">
        <v>220</v>
      </c>
      <c r="EC36" s="58">
        <v>442</v>
      </c>
      <c r="ED36" s="59">
        <v>220</v>
      </c>
      <c r="EE36" s="58">
        <v>382</v>
      </c>
      <c r="EF36" s="59">
        <v>225</v>
      </c>
      <c r="EG36" s="58">
        <v>455</v>
      </c>
      <c r="EH36" s="59">
        <v>230</v>
      </c>
      <c r="EI36" s="58">
        <v>357</v>
      </c>
      <c r="EJ36" s="59">
        <v>225</v>
      </c>
      <c r="EK36" s="58">
        <v>419</v>
      </c>
      <c r="EL36" s="59">
        <v>230</v>
      </c>
      <c r="EM36" s="58">
        <v>361</v>
      </c>
      <c r="EN36" s="59">
        <v>230</v>
      </c>
      <c r="EO36" s="58">
        <v>435</v>
      </c>
      <c r="EP36" s="59">
        <v>230</v>
      </c>
      <c r="EQ36" s="58">
        <v>382</v>
      </c>
      <c r="ER36" s="59">
        <v>225</v>
      </c>
      <c r="ES36" s="58">
        <v>389</v>
      </c>
      <c r="ET36" s="59">
        <v>230</v>
      </c>
      <c r="EU36" s="58">
        <v>378</v>
      </c>
      <c r="EV36" s="59">
        <v>230</v>
      </c>
      <c r="EW36" s="58">
        <v>413</v>
      </c>
      <c r="EX36" s="59">
        <v>240</v>
      </c>
      <c r="EY36" s="58">
        <v>373</v>
      </c>
      <c r="EZ36" s="59">
        <v>240</v>
      </c>
      <c r="FA36" s="58">
        <v>357</v>
      </c>
      <c r="FB36" s="59">
        <v>250</v>
      </c>
      <c r="FC36" s="58">
        <v>346</v>
      </c>
      <c r="FD36" s="59">
        <v>245</v>
      </c>
      <c r="FE36" s="58">
        <v>332</v>
      </c>
      <c r="FF36" s="59">
        <v>250</v>
      </c>
      <c r="FG36" s="58">
        <v>324</v>
      </c>
      <c r="FH36" s="59">
        <v>250</v>
      </c>
      <c r="FI36" s="58">
        <v>346</v>
      </c>
      <c r="FJ36" s="59">
        <v>250</v>
      </c>
      <c r="FK36" s="58">
        <v>316</v>
      </c>
      <c r="FL36" s="59">
        <v>250</v>
      </c>
      <c r="FM36" s="58">
        <v>374</v>
      </c>
      <c r="FN36" s="59">
        <v>260</v>
      </c>
      <c r="FO36" s="58">
        <v>256</v>
      </c>
      <c r="FP36" s="59">
        <v>260</v>
      </c>
      <c r="FQ36" s="58">
        <v>281</v>
      </c>
      <c r="FR36" s="59">
        <v>265</v>
      </c>
      <c r="FS36" s="58">
        <v>290</v>
      </c>
      <c r="FT36" s="59">
        <v>265</v>
      </c>
      <c r="FU36" s="58">
        <v>313</v>
      </c>
      <c r="FV36" s="59">
        <v>270</v>
      </c>
      <c r="FW36" s="58">
        <v>272</v>
      </c>
      <c r="FX36" s="59">
        <v>278</v>
      </c>
      <c r="FY36" s="58">
        <v>247</v>
      </c>
      <c r="FZ36" s="59">
        <v>280</v>
      </c>
      <c r="GA36" s="58">
        <v>259</v>
      </c>
      <c r="GB36" s="59">
        <v>290</v>
      </c>
      <c r="GC36" s="58">
        <v>288</v>
      </c>
      <c r="GD36" s="59">
        <v>300</v>
      </c>
      <c r="GE36" s="58">
        <v>252</v>
      </c>
      <c r="GF36" s="59">
        <v>300</v>
      </c>
      <c r="GG36" s="58">
        <v>342</v>
      </c>
      <c r="GH36" s="59">
        <v>300</v>
      </c>
      <c r="GI36" s="58">
        <v>249</v>
      </c>
      <c r="GJ36" s="59">
        <v>320</v>
      </c>
      <c r="GK36" s="58">
        <v>280</v>
      </c>
      <c r="GL36" s="59">
        <v>320</v>
      </c>
      <c r="GM36" s="58">
        <v>272</v>
      </c>
      <c r="GN36" s="59">
        <v>330</v>
      </c>
      <c r="GO36" s="58">
        <v>267</v>
      </c>
      <c r="GP36" s="59">
        <v>340</v>
      </c>
      <c r="GQ36" s="58">
        <v>261</v>
      </c>
      <c r="GR36" s="59">
        <v>330</v>
      </c>
      <c r="GS36" s="58">
        <v>292</v>
      </c>
      <c r="GT36" s="59">
        <v>350</v>
      </c>
      <c r="GU36" s="58">
        <v>216</v>
      </c>
      <c r="GV36" s="59">
        <v>345</v>
      </c>
      <c r="GW36" s="58">
        <v>256</v>
      </c>
      <c r="GX36" s="59">
        <v>360</v>
      </c>
      <c r="GY36" s="58">
        <v>219</v>
      </c>
      <c r="GZ36" s="59">
        <v>360</v>
      </c>
      <c r="HA36" s="6">
        <v>252</v>
      </c>
      <c r="HB36" s="59">
        <v>380</v>
      </c>
      <c r="HC36" s="6">
        <v>198</v>
      </c>
      <c r="HD36" s="59">
        <v>360</v>
      </c>
      <c r="HE36" s="6">
        <v>199</v>
      </c>
      <c r="HF36" s="59">
        <v>390</v>
      </c>
    </row>
    <row r="37" spans="1:214" s="10" customFormat="1" x14ac:dyDescent="0.25">
      <c r="A37" s="53" t="s">
        <v>776</v>
      </c>
      <c r="B37" s="54" t="s">
        <v>777</v>
      </c>
      <c r="C37" s="55">
        <v>20</v>
      </c>
      <c r="D37" s="56">
        <v>105</v>
      </c>
      <c r="E37" s="55">
        <v>13</v>
      </c>
      <c r="F37" s="56">
        <v>125</v>
      </c>
      <c r="G37" s="55">
        <v>20</v>
      </c>
      <c r="H37" s="56">
        <v>115</v>
      </c>
      <c r="I37" s="55">
        <v>21</v>
      </c>
      <c r="J37" s="56">
        <v>125</v>
      </c>
      <c r="K37" s="55">
        <v>18</v>
      </c>
      <c r="L37" s="56">
        <v>113</v>
      </c>
      <c r="M37" s="55">
        <v>20</v>
      </c>
      <c r="N37" s="56">
        <v>118</v>
      </c>
      <c r="O37" s="55">
        <v>21</v>
      </c>
      <c r="P37" s="56">
        <v>120</v>
      </c>
      <c r="Q37" s="55">
        <v>14</v>
      </c>
      <c r="R37" s="56">
        <v>120</v>
      </c>
      <c r="S37" s="55">
        <v>24</v>
      </c>
      <c r="T37" s="56">
        <v>120</v>
      </c>
      <c r="U37" s="55">
        <v>14</v>
      </c>
      <c r="V37" s="56">
        <v>125</v>
      </c>
      <c r="W37" s="55">
        <v>16</v>
      </c>
      <c r="X37" s="56">
        <v>125</v>
      </c>
      <c r="Y37" s="55">
        <v>19</v>
      </c>
      <c r="Z37" s="56">
        <v>120</v>
      </c>
      <c r="AA37" s="55">
        <v>17</v>
      </c>
      <c r="AB37" s="56">
        <v>120</v>
      </c>
      <c r="AC37" s="55">
        <v>14</v>
      </c>
      <c r="AD37" s="56">
        <v>130</v>
      </c>
      <c r="AE37" s="55">
        <v>19</v>
      </c>
      <c r="AF37" s="56">
        <v>120</v>
      </c>
      <c r="AG37" s="55">
        <v>15</v>
      </c>
      <c r="AH37" s="56">
        <v>130</v>
      </c>
      <c r="AI37" s="55">
        <v>16</v>
      </c>
      <c r="AJ37" s="56">
        <v>125</v>
      </c>
      <c r="AK37" s="55">
        <v>15</v>
      </c>
      <c r="AL37" s="56">
        <v>125</v>
      </c>
      <c r="AM37" s="55">
        <v>19</v>
      </c>
      <c r="AN37" s="56">
        <v>135</v>
      </c>
      <c r="AO37" s="55">
        <v>21</v>
      </c>
      <c r="AP37" s="56">
        <v>140</v>
      </c>
      <c r="AQ37" s="55">
        <v>23</v>
      </c>
      <c r="AR37" s="56">
        <v>130</v>
      </c>
      <c r="AS37" s="55">
        <v>17</v>
      </c>
      <c r="AT37" s="56">
        <v>130</v>
      </c>
      <c r="AU37" s="55">
        <v>17</v>
      </c>
      <c r="AV37" s="56">
        <v>134</v>
      </c>
      <c r="AW37" s="55">
        <v>22</v>
      </c>
      <c r="AX37" s="56">
        <v>138</v>
      </c>
      <c r="AY37" s="55">
        <v>16</v>
      </c>
      <c r="AZ37" s="56">
        <v>143</v>
      </c>
      <c r="BA37" s="55">
        <v>16</v>
      </c>
      <c r="BB37" s="56">
        <v>143</v>
      </c>
      <c r="BC37" s="55">
        <v>16</v>
      </c>
      <c r="BD37" s="56">
        <v>140</v>
      </c>
      <c r="BE37" s="55">
        <v>13</v>
      </c>
      <c r="BF37" s="56">
        <v>150</v>
      </c>
      <c r="BG37" s="55">
        <v>20</v>
      </c>
      <c r="BH37" s="56">
        <v>160</v>
      </c>
      <c r="BI37" s="55">
        <v>14</v>
      </c>
      <c r="BJ37" s="56">
        <v>155</v>
      </c>
      <c r="BK37" s="55">
        <v>13</v>
      </c>
      <c r="BL37" s="56">
        <v>160</v>
      </c>
      <c r="BM37" s="55">
        <v>18</v>
      </c>
      <c r="BN37" s="56">
        <v>160</v>
      </c>
      <c r="BO37" s="55">
        <v>22</v>
      </c>
      <c r="BP37" s="56">
        <v>150</v>
      </c>
      <c r="BQ37" s="55">
        <v>19</v>
      </c>
      <c r="BR37" s="56">
        <v>150</v>
      </c>
      <c r="BS37" s="55">
        <v>18</v>
      </c>
      <c r="BT37" s="56">
        <v>150</v>
      </c>
      <c r="BU37" s="55">
        <v>20</v>
      </c>
      <c r="BV37" s="56">
        <v>158</v>
      </c>
      <c r="BW37" s="55">
        <v>10</v>
      </c>
      <c r="BX37" s="56">
        <v>150</v>
      </c>
      <c r="BY37" s="55">
        <v>18</v>
      </c>
      <c r="BZ37" s="56">
        <v>165</v>
      </c>
      <c r="CA37" s="55">
        <v>22</v>
      </c>
      <c r="CB37" s="56">
        <v>158</v>
      </c>
      <c r="CC37" s="55">
        <v>8</v>
      </c>
      <c r="CD37" s="56">
        <v>158</v>
      </c>
      <c r="CE37" s="55">
        <v>22</v>
      </c>
      <c r="CF37" s="56">
        <v>150</v>
      </c>
      <c r="CG37" s="55">
        <v>16</v>
      </c>
      <c r="CH37" s="56">
        <v>173</v>
      </c>
      <c r="CI37" s="55">
        <v>19</v>
      </c>
      <c r="CJ37" s="56">
        <v>175</v>
      </c>
      <c r="CK37" s="55">
        <v>12</v>
      </c>
      <c r="CL37" s="56">
        <v>173</v>
      </c>
      <c r="CM37" s="55">
        <v>19</v>
      </c>
      <c r="CN37" s="56">
        <v>170</v>
      </c>
      <c r="CO37" s="55">
        <v>15</v>
      </c>
      <c r="CP37" s="56">
        <v>175</v>
      </c>
      <c r="CQ37" s="55">
        <v>23</v>
      </c>
      <c r="CR37" s="56">
        <v>175</v>
      </c>
      <c r="CS37" s="55">
        <v>16</v>
      </c>
      <c r="CT37" s="56">
        <v>180</v>
      </c>
      <c r="CU37" s="55">
        <v>20</v>
      </c>
      <c r="CV37" s="56">
        <v>175</v>
      </c>
      <c r="CW37" s="55">
        <v>18</v>
      </c>
      <c r="CX37" s="56">
        <v>178</v>
      </c>
      <c r="CY37" s="55">
        <v>20</v>
      </c>
      <c r="CZ37" s="56">
        <v>175</v>
      </c>
      <c r="DA37" s="55">
        <v>19</v>
      </c>
      <c r="DB37" s="56">
        <v>170</v>
      </c>
      <c r="DC37" s="55">
        <v>19</v>
      </c>
      <c r="DD37" s="56">
        <v>180</v>
      </c>
      <c r="DE37" s="55">
        <v>12</v>
      </c>
      <c r="DF37" s="56">
        <v>178</v>
      </c>
      <c r="DG37" s="55">
        <v>23</v>
      </c>
      <c r="DH37" s="56">
        <v>190</v>
      </c>
      <c r="DI37" s="55">
        <v>8</v>
      </c>
      <c r="DJ37" s="56">
        <v>185</v>
      </c>
      <c r="DK37" s="55">
        <v>19</v>
      </c>
      <c r="DL37" s="56">
        <v>185</v>
      </c>
      <c r="DM37" s="55">
        <v>12</v>
      </c>
      <c r="DN37" s="56">
        <v>173</v>
      </c>
      <c r="DO37" s="55">
        <v>19</v>
      </c>
      <c r="DP37" s="56">
        <v>185</v>
      </c>
      <c r="DQ37" s="55">
        <v>17</v>
      </c>
      <c r="DR37" s="56">
        <v>185</v>
      </c>
      <c r="DS37" s="55">
        <v>15</v>
      </c>
      <c r="DT37" s="56">
        <v>190</v>
      </c>
      <c r="DU37" s="55">
        <v>16</v>
      </c>
      <c r="DV37" s="56">
        <v>195</v>
      </c>
      <c r="DW37" s="55">
        <v>16</v>
      </c>
      <c r="DX37" s="56">
        <v>190</v>
      </c>
      <c r="DY37" s="55">
        <v>17</v>
      </c>
      <c r="DZ37" s="56">
        <v>200</v>
      </c>
      <c r="EA37" s="55">
        <v>12</v>
      </c>
      <c r="EB37" s="56">
        <v>190</v>
      </c>
      <c r="EC37" s="55">
        <v>12</v>
      </c>
      <c r="ED37" s="56">
        <v>225</v>
      </c>
      <c r="EE37" s="55">
        <v>21</v>
      </c>
      <c r="EF37" s="56">
        <v>200</v>
      </c>
      <c r="EG37" s="55">
        <v>13</v>
      </c>
      <c r="EH37" s="56">
        <v>180</v>
      </c>
      <c r="EI37" s="55">
        <v>17</v>
      </c>
      <c r="EJ37" s="56">
        <v>200</v>
      </c>
      <c r="EK37" s="55">
        <v>16</v>
      </c>
      <c r="EL37" s="56">
        <v>205</v>
      </c>
      <c r="EM37" s="55">
        <v>21</v>
      </c>
      <c r="EN37" s="56">
        <v>210</v>
      </c>
      <c r="EO37" s="55">
        <v>19</v>
      </c>
      <c r="EP37" s="56">
        <v>210</v>
      </c>
      <c r="EQ37" s="55">
        <v>16</v>
      </c>
      <c r="ER37" s="56">
        <v>263</v>
      </c>
      <c r="ES37" s="55">
        <v>17</v>
      </c>
      <c r="ET37" s="56">
        <v>210</v>
      </c>
      <c r="EU37" s="55">
        <v>15</v>
      </c>
      <c r="EV37" s="56">
        <v>230</v>
      </c>
      <c r="EW37" s="55">
        <v>12</v>
      </c>
      <c r="EX37" s="56">
        <v>228</v>
      </c>
      <c r="EY37" s="55">
        <v>9</v>
      </c>
      <c r="EZ37" s="56">
        <v>275</v>
      </c>
      <c r="FA37" s="55">
        <v>16</v>
      </c>
      <c r="FB37" s="56">
        <v>263</v>
      </c>
      <c r="FC37" s="55">
        <v>8</v>
      </c>
      <c r="FD37" s="56">
        <v>238</v>
      </c>
      <c r="FE37" s="55">
        <v>15</v>
      </c>
      <c r="FF37" s="56">
        <v>220</v>
      </c>
      <c r="FG37" s="55">
        <v>18</v>
      </c>
      <c r="FH37" s="56">
        <v>260</v>
      </c>
      <c r="FI37" s="55">
        <v>11</v>
      </c>
      <c r="FJ37" s="56">
        <v>250</v>
      </c>
      <c r="FK37" s="55">
        <v>11</v>
      </c>
      <c r="FL37" s="56">
        <v>250</v>
      </c>
      <c r="FM37" s="55">
        <v>18</v>
      </c>
      <c r="FN37" s="56">
        <v>255</v>
      </c>
      <c r="FO37" s="55">
        <v>16</v>
      </c>
      <c r="FP37" s="56">
        <v>235</v>
      </c>
      <c r="FQ37" s="55">
        <v>18</v>
      </c>
      <c r="FR37" s="56">
        <v>250</v>
      </c>
      <c r="FS37" s="55">
        <v>10</v>
      </c>
      <c r="FT37" s="56">
        <v>288</v>
      </c>
      <c r="FU37" s="55">
        <v>10</v>
      </c>
      <c r="FV37" s="56">
        <v>310</v>
      </c>
      <c r="FW37" s="55">
        <v>11</v>
      </c>
      <c r="FX37" s="56">
        <v>320</v>
      </c>
      <c r="FY37" s="55">
        <v>18</v>
      </c>
      <c r="FZ37" s="56">
        <v>278</v>
      </c>
      <c r="GA37" s="55">
        <v>15</v>
      </c>
      <c r="GB37" s="56">
        <v>320</v>
      </c>
      <c r="GC37" s="55">
        <v>9</v>
      </c>
      <c r="GD37" s="56">
        <v>375</v>
      </c>
      <c r="GE37" s="55">
        <v>12</v>
      </c>
      <c r="GF37" s="56">
        <v>315</v>
      </c>
      <c r="GG37" s="55">
        <v>5</v>
      </c>
      <c r="GH37" s="56">
        <v>330</v>
      </c>
      <c r="GI37" s="55">
        <v>15</v>
      </c>
      <c r="GJ37" s="56">
        <v>360</v>
      </c>
      <c r="GK37" s="55">
        <v>10</v>
      </c>
      <c r="GL37" s="56">
        <v>338</v>
      </c>
      <c r="GM37" s="55">
        <v>14</v>
      </c>
      <c r="GN37" s="56">
        <v>383</v>
      </c>
      <c r="GO37" s="55">
        <v>8</v>
      </c>
      <c r="GP37" s="56">
        <v>328</v>
      </c>
      <c r="GQ37" s="55">
        <v>12</v>
      </c>
      <c r="GR37" s="56">
        <v>360</v>
      </c>
      <c r="GS37" s="55">
        <v>17</v>
      </c>
      <c r="GT37" s="56">
        <v>370</v>
      </c>
      <c r="GU37" s="55">
        <v>13</v>
      </c>
      <c r="GV37" s="56">
        <v>400</v>
      </c>
      <c r="GW37" s="55">
        <v>10</v>
      </c>
      <c r="GX37" s="56">
        <v>355</v>
      </c>
      <c r="GY37" s="55">
        <v>14</v>
      </c>
      <c r="GZ37" s="56">
        <v>365</v>
      </c>
      <c r="HA37" s="7">
        <v>10</v>
      </c>
      <c r="HB37" s="56">
        <v>373</v>
      </c>
      <c r="HC37" s="7">
        <v>16</v>
      </c>
      <c r="HD37" s="56">
        <v>370</v>
      </c>
      <c r="HE37" s="7">
        <v>9</v>
      </c>
      <c r="HF37" s="56">
        <v>370</v>
      </c>
    </row>
    <row r="38" spans="1:214" x14ac:dyDescent="0.25">
      <c r="A38" s="53"/>
      <c r="B38" s="54" t="s">
        <v>778</v>
      </c>
      <c r="C38" s="55">
        <v>29</v>
      </c>
      <c r="D38" s="56">
        <v>120</v>
      </c>
      <c r="E38" s="55">
        <v>19</v>
      </c>
      <c r="F38" s="56">
        <v>105</v>
      </c>
      <c r="G38" s="55">
        <v>28</v>
      </c>
      <c r="H38" s="56">
        <v>120</v>
      </c>
      <c r="I38" s="55">
        <v>48</v>
      </c>
      <c r="J38" s="56">
        <v>100</v>
      </c>
      <c r="K38" s="55">
        <v>24</v>
      </c>
      <c r="L38" s="56">
        <v>113</v>
      </c>
      <c r="M38" s="55">
        <v>27</v>
      </c>
      <c r="N38" s="56">
        <v>110</v>
      </c>
      <c r="O38" s="55">
        <v>23</v>
      </c>
      <c r="P38" s="56">
        <v>125</v>
      </c>
      <c r="Q38" s="55">
        <v>33</v>
      </c>
      <c r="R38" s="56">
        <v>110</v>
      </c>
      <c r="S38" s="55">
        <v>31</v>
      </c>
      <c r="T38" s="56">
        <v>120</v>
      </c>
      <c r="U38" s="55">
        <v>32</v>
      </c>
      <c r="V38" s="56">
        <v>120</v>
      </c>
      <c r="W38" s="55">
        <v>28</v>
      </c>
      <c r="X38" s="56">
        <v>130</v>
      </c>
      <c r="Y38" s="55">
        <v>19</v>
      </c>
      <c r="Z38" s="56">
        <v>125</v>
      </c>
      <c r="AA38" s="55">
        <v>26</v>
      </c>
      <c r="AB38" s="56">
        <v>130</v>
      </c>
      <c r="AC38" s="55">
        <v>29</v>
      </c>
      <c r="AD38" s="56">
        <v>140</v>
      </c>
      <c r="AE38" s="55">
        <v>25</v>
      </c>
      <c r="AF38" s="56">
        <v>140</v>
      </c>
      <c r="AG38" s="55">
        <v>34</v>
      </c>
      <c r="AH38" s="56">
        <v>133</v>
      </c>
      <c r="AI38" s="55">
        <v>23</v>
      </c>
      <c r="AJ38" s="56">
        <v>140</v>
      </c>
      <c r="AK38" s="55">
        <v>24</v>
      </c>
      <c r="AL38" s="56">
        <v>130</v>
      </c>
      <c r="AM38" s="55">
        <v>22</v>
      </c>
      <c r="AN38" s="56">
        <v>153</v>
      </c>
      <c r="AO38" s="55">
        <v>30</v>
      </c>
      <c r="AP38" s="56">
        <v>140</v>
      </c>
      <c r="AQ38" s="55">
        <v>21</v>
      </c>
      <c r="AR38" s="56">
        <v>150</v>
      </c>
      <c r="AS38" s="55">
        <v>25</v>
      </c>
      <c r="AT38" s="56">
        <v>150</v>
      </c>
      <c r="AU38" s="55">
        <v>21</v>
      </c>
      <c r="AV38" s="56">
        <v>160</v>
      </c>
      <c r="AW38" s="55">
        <v>28</v>
      </c>
      <c r="AX38" s="56">
        <v>155</v>
      </c>
      <c r="AY38" s="55">
        <v>25</v>
      </c>
      <c r="AZ38" s="56">
        <v>150</v>
      </c>
      <c r="BA38" s="55">
        <v>27</v>
      </c>
      <c r="BB38" s="56">
        <v>150</v>
      </c>
      <c r="BC38" s="55">
        <v>20</v>
      </c>
      <c r="BD38" s="56">
        <v>160</v>
      </c>
      <c r="BE38" s="55">
        <v>33</v>
      </c>
      <c r="BF38" s="56">
        <v>160</v>
      </c>
      <c r="BG38" s="55">
        <v>19</v>
      </c>
      <c r="BH38" s="56">
        <v>160</v>
      </c>
      <c r="BI38" s="55">
        <v>29</v>
      </c>
      <c r="BJ38" s="56">
        <v>155</v>
      </c>
      <c r="BK38" s="55">
        <v>18</v>
      </c>
      <c r="BL38" s="56">
        <v>160</v>
      </c>
      <c r="BM38" s="55">
        <v>27</v>
      </c>
      <c r="BN38" s="56">
        <v>165</v>
      </c>
      <c r="BO38" s="55">
        <v>25</v>
      </c>
      <c r="BP38" s="56">
        <v>160</v>
      </c>
      <c r="BQ38" s="55">
        <v>19</v>
      </c>
      <c r="BR38" s="56">
        <v>170</v>
      </c>
      <c r="BS38" s="55">
        <v>25</v>
      </c>
      <c r="BT38" s="56">
        <v>150</v>
      </c>
      <c r="BU38" s="55">
        <v>20</v>
      </c>
      <c r="BV38" s="56">
        <v>170</v>
      </c>
      <c r="BW38" s="55">
        <v>28</v>
      </c>
      <c r="BX38" s="56">
        <v>160</v>
      </c>
      <c r="BY38" s="55">
        <v>21</v>
      </c>
      <c r="BZ38" s="56">
        <v>160</v>
      </c>
      <c r="CA38" s="55">
        <v>23</v>
      </c>
      <c r="CB38" s="56">
        <v>160</v>
      </c>
      <c r="CC38" s="55">
        <v>24</v>
      </c>
      <c r="CD38" s="56">
        <v>170</v>
      </c>
      <c r="CE38" s="55">
        <v>27</v>
      </c>
      <c r="CF38" s="56">
        <v>175</v>
      </c>
      <c r="CG38" s="55">
        <v>22</v>
      </c>
      <c r="CH38" s="56">
        <v>160</v>
      </c>
      <c r="CI38" s="55">
        <v>21</v>
      </c>
      <c r="CJ38" s="56">
        <v>170</v>
      </c>
      <c r="CK38" s="55">
        <v>27</v>
      </c>
      <c r="CL38" s="56">
        <v>180</v>
      </c>
      <c r="CM38" s="55">
        <v>25</v>
      </c>
      <c r="CN38" s="56">
        <v>185</v>
      </c>
      <c r="CO38" s="55">
        <v>26</v>
      </c>
      <c r="CP38" s="56">
        <v>183</v>
      </c>
      <c r="CQ38" s="55">
        <v>20</v>
      </c>
      <c r="CR38" s="56">
        <v>178</v>
      </c>
      <c r="CS38" s="55">
        <v>33</v>
      </c>
      <c r="CT38" s="56">
        <v>180</v>
      </c>
      <c r="CU38" s="55">
        <v>25</v>
      </c>
      <c r="CV38" s="56">
        <v>200</v>
      </c>
      <c r="CW38" s="55">
        <v>27</v>
      </c>
      <c r="CX38" s="56">
        <v>190</v>
      </c>
      <c r="CY38" s="55">
        <v>25</v>
      </c>
      <c r="CZ38" s="56">
        <v>180</v>
      </c>
      <c r="DA38" s="55">
        <v>34</v>
      </c>
      <c r="DB38" s="56">
        <v>195</v>
      </c>
      <c r="DC38" s="55">
        <v>24</v>
      </c>
      <c r="DD38" s="56">
        <v>178</v>
      </c>
      <c r="DE38" s="55">
        <v>20</v>
      </c>
      <c r="DF38" s="56">
        <v>180</v>
      </c>
      <c r="DG38" s="55">
        <v>22</v>
      </c>
      <c r="DH38" s="56">
        <v>190</v>
      </c>
      <c r="DI38" s="55">
        <v>34</v>
      </c>
      <c r="DJ38" s="56">
        <v>180</v>
      </c>
      <c r="DK38" s="55">
        <v>36</v>
      </c>
      <c r="DL38" s="56">
        <v>180</v>
      </c>
      <c r="DM38" s="55">
        <v>23</v>
      </c>
      <c r="DN38" s="56">
        <v>180</v>
      </c>
      <c r="DO38" s="55">
        <v>33</v>
      </c>
      <c r="DP38" s="56">
        <v>200</v>
      </c>
      <c r="DQ38" s="55">
        <v>24</v>
      </c>
      <c r="DR38" s="56">
        <v>180</v>
      </c>
      <c r="DS38" s="55">
        <v>28</v>
      </c>
      <c r="DT38" s="56">
        <v>190</v>
      </c>
      <c r="DU38" s="55">
        <v>27</v>
      </c>
      <c r="DV38" s="56">
        <v>175</v>
      </c>
      <c r="DW38" s="55">
        <v>27</v>
      </c>
      <c r="DX38" s="56">
        <v>185</v>
      </c>
      <c r="DY38" s="55">
        <v>20</v>
      </c>
      <c r="DZ38" s="56">
        <v>180</v>
      </c>
      <c r="EA38" s="55">
        <v>30</v>
      </c>
      <c r="EB38" s="56">
        <v>193</v>
      </c>
      <c r="EC38" s="55">
        <v>28</v>
      </c>
      <c r="ED38" s="56">
        <v>180</v>
      </c>
      <c r="EE38" s="55">
        <v>32</v>
      </c>
      <c r="EF38" s="56">
        <v>195</v>
      </c>
      <c r="EG38" s="55">
        <v>30</v>
      </c>
      <c r="EH38" s="56">
        <v>198</v>
      </c>
      <c r="EI38" s="55">
        <v>22</v>
      </c>
      <c r="EJ38" s="56">
        <v>205</v>
      </c>
      <c r="EK38" s="55">
        <v>32</v>
      </c>
      <c r="EL38" s="56">
        <v>192</v>
      </c>
      <c r="EM38" s="55">
        <v>21</v>
      </c>
      <c r="EN38" s="56">
        <v>195</v>
      </c>
      <c r="EO38" s="55">
        <v>38</v>
      </c>
      <c r="EP38" s="56">
        <v>200</v>
      </c>
      <c r="EQ38" s="55">
        <v>27</v>
      </c>
      <c r="ER38" s="56">
        <v>180</v>
      </c>
      <c r="ES38" s="55">
        <v>31</v>
      </c>
      <c r="ET38" s="56">
        <v>210</v>
      </c>
      <c r="EU38" s="55">
        <v>20</v>
      </c>
      <c r="EV38" s="56">
        <v>190</v>
      </c>
      <c r="EW38" s="55">
        <v>21</v>
      </c>
      <c r="EX38" s="56">
        <v>205</v>
      </c>
      <c r="EY38" s="55">
        <v>30</v>
      </c>
      <c r="EZ38" s="56">
        <v>220</v>
      </c>
      <c r="FA38" s="55">
        <v>27</v>
      </c>
      <c r="FB38" s="56">
        <v>210</v>
      </c>
      <c r="FC38" s="55">
        <v>12</v>
      </c>
      <c r="FD38" s="56">
        <v>218</v>
      </c>
      <c r="FE38" s="55">
        <v>17</v>
      </c>
      <c r="FF38" s="56">
        <v>230</v>
      </c>
      <c r="FG38" s="55">
        <v>21</v>
      </c>
      <c r="FH38" s="56">
        <v>220</v>
      </c>
      <c r="FI38" s="55">
        <v>20</v>
      </c>
      <c r="FJ38" s="56">
        <v>230</v>
      </c>
      <c r="FK38" s="55">
        <v>21</v>
      </c>
      <c r="FL38" s="56">
        <v>240</v>
      </c>
      <c r="FM38" s="55">
        <v>21</v>
      </c>
      <c r="FN38" s="56">
        <v>250</v>
      </c>
      <c r="FO38" s="55">
        <v>31</v>
      </c>
      <c r="FP38" s="56">
        <v>250</v>
      </c>
      <c r="FQ38" s="55">
        <v>19</v>
      </c>
      <c r="FR38" s="56">
        <v>240</v>
      </c>
      <c r="FS38" s="55">
        <v>22</v>
      </c>
      <c r="FT38" s="56">
        <v>275</v>
      </c>
      <c r="FU38" s="55">
        <v>20</v>
      </c>
      <c r="FV38" s="56">
        <v>270</v>
      </c>
      <c r="FW38" s="55">
        <v>17</v>
      </c>
      <c r="FX38" s="56">
        <v>280</v>
      </c>
      <c r="FY38" s="55">
        <v>31</v>
      </c>
      <c r="FZ38" s="56">
        <v>300</v>
      </c>
      <c r="GA38" s="55">
        <v>14</v>
      </c>
      <c r="GB38" s="56">
        <v>305</v>
      </c>
      <c r="GC38" s="55">
        <v>17</v>
      </c>
      <c r="GD38" s="56">
        <v>300</v>
      </c>
      <c r="GE38" s="55">
        <v>21</v>
      </c>
      <c r="GF38" s="56">
        <v>340</v>
      </c>
      <c r="GG38" s="55">
        <v>24</v>
      </c>
      <c r="GH38" s="56">
        <v>328</v>
      </c>
      <c r="GI38" s="55">
        <v>17</v>
      </c>
      <c r="GJ38" s="56">
        <v>330</v>
      </c>
      <c r="GK38" s="55">
        <v>28</v>
      </c>
      <c r="GL38" s="56">
        <v>350</v>
      </c>
      <c r="GM38" s="55">
        <v>26</v>
      </c>
      <c r="GN38" s="56">
        <v>320</v>
      </c>
      <c r="GO38" s="55">
        <v>18</v>
      </c>
      <c r="GP38" s="56">
        <v>325</v>
      </c>
      <c r="GQ38" s="55">
        <v>23</v>
      </c>
      <c r="GR38" s="56">
        <v>350</v>
      </c>
      <c r="GS38" s="55">
        <v>18</v>
      </c>
      <c r="GT38" s="56">
        <v>330</v>
      </c>
      <c r="GU38" s="55">
        <v>15</v>
      </c>
      <c r="GV38" s="56">
        <v>350</v>
      </c>
      <c r="GW38" s="55">
        <v>10</v>
      </c>
      <c r="GX38" s="56">
        <v>365</v>
      </c>
      <c r="GY38" s="55">
        <v>8</v>
      </c>
      <c r="GZ38" s="56">
        <v>375</v>
      </c>
      <c r="HA38">
        <v>14</v>
      </c>
      <c r="HB38" s="56">
        <v>360</v>
      </c>
      <c r="HC38">
        <v>10</v>
      </c>
      <c r="HD38" s="56">
        <v>380</v>
      </c>
      <c r="HE38">
        <v>12</v>
      </c>
      <c r="HF38" s="56">
        <v>375</v>
      </c>
    </row>
    <row r="39" spans="1:214" x14ac:dyDescent="0.25">
      <c r="A39" s="53"/>
      <c r="B39" s="54" t="s">
        <v>779</v>
      </c>
      <c r="C39" s="55">
        <v>148</v>
      </c>
      <c r="D39" s="56">
        <v>125</v>
      </c>
      <c r="E39" s="55">
        <v>152</v>
      </c>
      <c r="F39" s="56">
        <v>123</v>
      </c>
      <c r="G39" s="55">
        <v>162</v>
      </c>
      <c r="H39" s="56">
        <v>125</v>
      </c>
      <c r="I39" s="55">
        <v>188</v>
      </c>
      <c r="J39" s="56">
        <v>125</v>
      </c>
      <c r="K39" s="55">
        <v>157</v>
      </c>
      <c r="L39" s="56">
        <v>130</v>
      </c>
      <c r="M39" s="55">
        <v>158</v>
      </c>
      <c r="N39" s="56">
        <v>125</v>
      </c>
      <c r="O39" s="55">
        <v>144</v>
      </c>
      <c r="P39" s="56">
        <v>130</v>
      </c>
      <c r="Q39" s="55">
        <v>156</v>
      </c>
      <c r="R39" s="56">
        <v>130</v>
      </c>
      <c r="S39" s="55">
        <v>141</v>
      </c>
      <c r="T39" s="56">
        <v>135</v>
      </c>
      <c r="U39" s="55">
        <v>159</v>
      </c>
      <c r="V39" s="56">
        <v>135</v>
      </c>
      <c r="W39" s="55">
        <v>165</v>
      </c>
      <c r="X39" s="56">
        <v>140</v>
      </c>
      <c r="Y39" s="55">
        <v>179</v>
      </c>
      <c r="Z39" s="56">
        <v>140</v>
      </c>
      <c r="AA39" s="55">
        <v>167</v>
      </c>
      <c r="AB39" s="56">
        <v>140</v>
      </c>
      <c r="AC39" s="55">
        <v>157</v>
      </c>
      <c r="AD39" s="56">
        <v>140</v>
      </c>
      <c r="AE39" s="55">
        <v>163</v>
      </c>
      <c r="AF39" s="56">
        <v>145</v>
      </c>
      <c r="AG39" s="55">
        <v>151</v>
      </c>
      <c r="AH39" s="56">
        <v>150</v>
      </c>
      <c r="AI39" s="55">
        <v>160</v>
      </c>
      <c r="AJ39" s="56">
        <v>145</v>
      </c>
      <c r="AK39" s="55">
        <v>164</v>
      </c>
      <c r="AL39" s="56">
        <v>145</v>
      </c>
      <c r="AM39" s="55">
        <v>143</v>
      </c>
      <c r="AN39" s="56">
        <v>150</v>
      </c>
      <c r="AO39" s="55">
        <v>159</v>
      </c>
      <c r="AP39" s="56">
        <v>150</v>
      </c>
      <c r="AQ39" s="55">
        <v>141</v>
      </c>
      <c r="AR39" s="56">
        <v>155</v>
      </c>
      <c r="AS39" s="55">
        <v>156</v>
      </c>
      <c r="AT39" s="56">
        <v>150</v>
      </c>
      <c r="AU39" s="55">
        <v>165</v>
      </c>
      <c r="AV39" s="56">
        <v>150</v>
      </c>
      <c r="AW39" s="55">
        <v>138</v>
      </c>
      <c r="AX39" s="56">
        <v>160</v>
      </c>
      <c r="AY39" s="55">
        <v>127</v>
      </c>
      <c r="AZ39" s="56">
        <v>160</v>
      </c>
      <c r="BA39" s="55">
        <v>157</v>
      </c>
      <c r="BB39" s="56">
        <v>150</v>
      </c>
      <c r="BC39" s="55">
        <v>109</v>
      </c>
      <c r="BD39" s="56">
        <v>155</v>
      </c>
      <c r="BE39" s="55">
        <v>154</v>
      </c>
      <c r="BF39" s="56">
        <v>165</v>
      </c>
      <c r="BG39" s="55">
        <v>131</v>
      </c>
      <c r="BH39" s="56">
        <v>160</v>
      </c>
      <c r="BI39" s="55">
        <v>132</v>
      </c>
      <c r="BJ39" s="56">
        <v>158</v>
      </c>
      <c r="BK39" s="55">
        <v>115</v>
      </c>
      <c r="BL39" s="56">
        <v>165</v>
      </c>
      <c r="BM39" s="55">
        <v>131</v>
      </c>
      <c r="BN39" s="56">
        <v>160</v>
      </c>
      <c r="BO39" s="55">
        <v>115</v>
      </c>
      <c r="BP39" s="56">
        <v>165</v>
      </c>
      <c r="BQ39" s="55">
        <v>131</v>
      </c>
      <c r="BR39" s="56">
        <v>165</v>
      </c>
      <c r="BS39" s="55">
        <v>113</v>
      </c>
      <c r="BT39" s="56">
        <v>165</v>
      </c>
      <c r="BU39" s="55">
        <v>144</v>
      </c>
      <c r="BV39" s="56">
        <v>165</v>
      </c>
      <c r="BW39" s="55">
        <v>137</v>
      </c>
      <c r="BX39" s="56">
        <v>165</v>
      </c>
      <c r="BY39" s="55">
        <v>122</v>
      </c>
      <c r="BZ39" s="56">
        <v>165</v>
      </c>
      <c r="CA39" s="55">
        <v>121</v>
      </c>
      <c r="CB39" s="56">
        <v>175</v>
      </c>
      <c r="CC39" s="55">
        <v>150</v>
      </c>
      <c r="CD39" s="56">
        <v>175</v>
      </c>
      <c r="CE39" s="55">
        <v>113</v>
      </c>
      <c r="CF39" s="56">
        <v>175</v>
      </c>
      <c r="CG39" s="55">
        <v>132</v>
      </c>
      <c r="CH39" s="56">
        <v>170</v>
      </c>
      <c r="CI39" s="55">
        <v>118</v>
      </c>
      <c r="CJ39" s="56">
        <v>180</v>
      </c>
      <c r="CK39" s="55">
        <v>119</v>
      </c>
      <c r="CL39" s="56">
        <v>180</v>
      </c>
      <c r="CM39" s="55">
        <v>106</v>
      </c>
      <c r="CN39" s="56">
        <v>180</v>
      </c>
      <c r="CO39" s="55">
        <v>106</v>
      </c>
      <c r="CP39" s="56">
        <v>190</v>
      </c>
      <c r="CQ39" s="55">
        <v>105</v>
      </c>
      <c r="CR39" s="56">
        <v>190</v>
      </c>
      <c r="CS39" s="55">
        <v>115</v>
      </c>
      <c r="CT39" s="56">
        <v>190</v>
      </c>
      <c r="CU39" s="55">
        <v>116</v>
      </c>
      <c r="CV39" s="56">
        <v>195</v>
      </c>
      <c r="CW39" s="55">
        <v>134</v>
      </c>
      <c r="CX39" s="56">
        <v>200</v>
      </c>
      <c r="CY39" s="55">
        <v>123</v>
      </c>
      <c r="CZ39" s="56">
        <v>200</v>
      </c>
      <c r="DA39" s="55">
        <v>130</v>
      </c>
      <c r="DB39" s="56">
        <v>200</v>
      </c>
      <c r="DC39" s="55">
        <v>119</v>
      </c>
      <c r="DD39" s="56">
        <v>195</v>
      </c>
      <c r="DE39" s="55">
        <v>118</v>
      </c>
      <c r="DF39" s="56">
        <v>190</v>
      </c>
      <c r="DG39" s="55">
        <v>108</v>
      </c>
      <c r="DH39" s="56">
        <v>190</v>
      </c>
      <c r="DI39" s="55">
        <v>127</v>
      </c>
      <c r="DJ39" s="56">
        <v>200</v>
      </c>
      <c r="DK39" s="55">
        <v>116</v>
      </c>
      <c r="DL39" s="56">
        <v>195</v>
      </c>
      <c r="DM39" s="55">
        <v>117</v>
      </c>
      <c r="DN39" s="56">
        <v>190</v>
      </c>
      <c r="DO39" s="55">
        <v>113</v>
      </c>
      <c r="DP39" s="56">
        <v>210</v>
      </c>
      <c r="DQ39" s="55">
        <v>130</v>
      </c>
      <c r="DR39" s="56">
        <v>200</v>
      </c>
      <c r="DS39" s="55">
        <v>115</v>
      </c>
      <c r="DT39" s="56">
        <v>210</v>
      </c>
      <c r="DU39" s="55">
        <v>116</v>
      </c>
      <c r="DV39" s="56">
        <v>210</v>
      </c>
      <c r="DW39" s="55">
        <v>94</v>
      </c>
      <c r="DX39" s="56">
        <v>210</v>
      </c>
      <c r="DY39" s="55">
        <v>112</v>
      </c>
      <c r="DZ39" s="56">
        <v>210</v>
      </c>
      <c r="EA39" s="55">
        <v>112</v>
      </c>
      <c r="EB39" s="56">
        <v>210</v>
      </c>
      <c r="EC39" s="55">
        <v>119</v>
      </c>
      <c r="ED39" s="56">
        <v>205</v>
      </c>
      <c r="EE39" s="55">
        <v>102</v>
      </c>
      <c r="EF39" s="56">
        <v>218</v>
      </c>
      <c r="EG39" s="55">
        <v>102</v>
      </c>
      <c r="EH39" s="56">
        <v>220</v>
      </c>
      <c r="EI39" s="55">
        <v>113</v>
      </c>
      <c r="EJ39" s="56">
        <v>220</v>
      </c>
      <c r="EK39" s="55">
        <v>110</v>
      </c>
      <c r="EL39" s="56">
        <v>220</v>
      </c>
      <c r="EM39" s="55">
        <v>102</v>
      </c>
      <c r="EN39" s="56">
        <v>220</v>
      </c>
      <c r="EO39" s="55">
        <v>123</v>
      </c>
      <c r="EP39" s="56">
        <v>210</v>
      </c>
      <c r="EQ39" s="55">
        <v>101</v>
      </c>
      <c r="ER39" s="56">
        <v>220</v>
      </c>
      <c r="ES39" s="55">
        <v>109</v>
      </c>
      <c r="ET39" s="56">
        <v>210</v>
      </c>
      <c r="EU39" s="55">
        <v>109</v>
      </c>
      <c r="EV39" s="56">
        <v>220</v>
      </c>
      <c r="EW39" s="55">
        <v>109</v>
      </c>
      <c r="EX39" s="56">
        <v>230</v>
      </c>
      <c r="EY39" s="55">
        <v>97</v>
      </c>
      <c r="EZ39" s="56">
        <v>230</v>
      </c>
      <c r="FA39" s="55">
        <v>93</v>
      </c>
      <c r="FB39" s="56">
        <v>240</v>
      </c>
      <c r="FC39" s="55">
        <v>90</v>
      </c>
      <c r="FD39" s="56">
        <v>230</v>
      </c>
      <c r="FE39" s="55">
        <v>74</v>
      </c>
      <c r="FF39" s="56">
        <v>235</v>
      </c>
      <c r="FG39" s="55">
        <v>84</v>
      </c>
      <c r="FH39" s="56">
        <v>240</v>
      </c>
      <c r="FI39" s="55">
        <v>77</v>
      </c>
      <c r="FJ39" s="56">
        <v>235</v>
      </c>
      <c r="FK39" s="55">
        <v>78</v>
      </c>
      <c r="FL39" s="56">
        <v>240</v>
      </c>
      <c r="FM39" s="55">
        <v>108</v>
      </c>
      <c r="FN39" s="56">
        <v>240</v>
      </c>
      <c r="FO39" s="55">
        <v>87</v>
      </c>
      <c r="FP39" s="56">
        <v>245</v>
      </c>
      <c r="FQ39" s="55">
        <v>64</v>
      </c>
      <c r="FR39" s="56">
        <v>245</v>
      </c>
      <c r="FS39" s="55">
        <v>79</v>
      </c>
      <c r="FT39" s="56">
        <v>250</v>
      </c>
      <c r="FU39" s="55">
        <v>87</v>
      </c>
      <c r="FV39" s="56">
        <v>260</v>
      </c>
      <c r="FW39" s="55">
        <v>85</v>
      </c>
      <c r="FX39" s="56">
        <v>260</v>
      </c>
      <c r="FY39" s="55">
        <v>72</v>
      </c>
      <c r="FZ39" s="56">
        <v>260</v>
      </c>
      <c r="GA39" s="55">
        <v>84</v>
      </c>
      <c r="GB39" s="56">
        <v>278</v>
      </c>
      <c r="GC39" s="55">
        <v>94</v>
      </c>
      <c r="GD39" s="56">
        <v>275</v>
      </c>
      <c r="GE39" s="55">
        <v>91</v>
      </c>
      <c r="GF39" s="56">
        <v>290</v>
      </c>
      <c r="GG39" s="55">
        <v>85</v>
      </c>
      <c r="GH39" s="56">
        <v>300</v>
      </c>
      <c r="GI39" s="55">
        <v>71</v>
      </c>
      <c r="GJ39" s="56">
        <v>300</v>
      </c>
      <c r="GK39" s="55">
        <v>56</v>
      </c>
      <c r="GL39" s="56">
        <v>298</v>
      </c>
      <c r="GM39" s="55">
        <v>61</v>
      </c>
      <c r="GN39" s="56">
        <v>300</v>
      </c>
      <c r="GO39" s="55">
        <v>90</v>
      </c>
      <c r="GP39" s="56">
        <v>310</v>
      </c>
      <c r="GQ39" s="55">
        <v>90</v>
      </c>
      <c r="GR39" s="56">
        <v>330</v>
      </c>
      <c r="GS39" s="55">
        <v>92</v>
      </c>
      <c r="GT39" s="56">
        <v>335</v>
      </c>
      <c r="GU39" s="55">
        <v>72</v>
      </c>
      <c r="GV39" s="56">
        <v>370</v>
      </c>
      <c r="GW39" s="55">
        <v>90</v>
      </c>
      <c r="GX39" s="56">
        <v>350</v>
      </c>
      <c r="GY39" s="55">
        <v>100</v>
      </c>
      <c r="GZ39" s="56">
        <v>370</v>
      </c>
      <c r="HA39">
        <v>85</v>
      </c>
      <c r="HB39" s="56">
        <v>380</v>
      </c>
      <c r="HC39">
        <v>100</v>
      </c>
      <c r="HD39" s="56">
        <v>378</v>
      </c>
      <c r="HE39">
        <v>97</v>
      </c>
      <c r="HF39" s="56">
        <v>400</v>
      </c>
    </row>
    <row r="40" spans="1:214" x14ac:dyDescent="0.25">
      <c r="A40" s="53"/>
      <c r="B40" s="54" t="s">
        <v>780</v>
      </c>
      <c r="C40" s="55">
        <v>23</v>
      </c>
      <c r="D40" s="56">
        <v>105</v>
      </c>
      <c r="E40" s="55">
        <v>7</v>
      </c>
      <c r="F40" s="56">
        <v>115</v>
      </c>
      <c r="G40" s="55">
        <v>23</v>
      </c>
      <c r="H40" s="56">
        <v>110</v>
      </c>
      <c r="I40" s="55">
        <v>16</v>
      </c>
      <c r="J40" s="56">
        <v>105</v>
      </c>
      <c r="K40" s="55">
        <v>14</v>
      </c>
      <c r="L40" s="56">
        <v>120</v>
      </c>
      <c r="M40" s="55">
        <v>18</v>
      </c>
      <c r="N40" s="56">
        <v>105</v>
      </c>
      <c r="O40" s="55">
        <v>20</v>
      </c>
      <c r="P40" s="56">
        <v>120</v>
      </c>
      <c r="Q40" s="55">
        <v>15</v>
      </c>
      <c r="R40" s="56">
        <v>120</v>
      </c>
      <c r="S40" s="55">
        <v>15</v>
      </c>
      <c r="T40" s="56">
        <v>110</v>
      </c>
      <c r="U40" s="55">
        <v>11</v>
      </c>
      <c r="V40" s="56">
        <v>110</v>
      </c>
      <c r="W40" s="55">
        <v>13</v>
      </c>
      <c r="X40" s="56">
        <v>110</v>
      </c>
      <c r="Y40" s="55">
        <v>17</v>
      </c>
      <c r="Z40" s="56">
        <v>110</v>
      </c>
      <c r="AA40" s="55">
        <v>18</v>
      </c>
      <c r="AB40" s="56">
        <v>110</v>
      </c>
      <c r="AC40" s="55">
        <v>14</v>
      </c>
      <c r="AD40" s="56">
        <v>120</v>
      </c>
      <c r="AE40" s="55">
        <v>11</v>
      </c>
      <c r="AF40" s="56">
        <v>110</v>
      </c>
      <c r="AG40" s="55">
        <v>11</v>
      </c>
      <c r="AH40" s="56">
        <v>130</v>
      </c>
      <c r="AI40" s="55">
        <v>24</v>
      </c>
      <c r="AJ40" s="56">
        <v>123</v>
      </c>
      <c r="AK40" s="55">
        <v>17</v>
      </c>
      <c r="AL40" s="56">
        <v>135</v>
      </c>
      <c r="AM40" s="55">
        <v>16</v>
      </c>
      <c r="AN40" s="56">
        <v>130</v>
      </c>
      <c r="AO40" s="55">
        <v>12</v>
      </c>
      <c r="AP40" s="56">
        <v>138</v>
      </c>
      <c r="AQ40" s="55">
        <v>12</v>
      </c>
      <c r="AR40" s="56">
        <v>143</v>
      </c>
      <c r="AS40" s="55">
        <v>16</v>
      </c>
      <c r="AT40" s="56">
        <v>128</v>
      </c>
      <c r="AU40" s="55">
        <v>12</v>
      </c>
      <c r="AV40" s="56">
        <v>123</v>
      </c>
      <c r="AW40" s="55">
        <v>12</v>
      </c>
      <c r="AX40" s="56">
        <v>128</v>
      </c>
      <c r="AY40" s="55">
        <v>14</v>
      </c>
      <c r="AZ40" s="56">
        <v>150</v>
      </c>
      <c r="BA40" s="55">
        <v>7</v>
      </c>
      <c r="BB40" s="56">
        <v>145</v>
      </c>
      <c r="BC40" s="55">
        <v>10</v>
      </c>
      <c r="BD40" s="56">
        <v>132</v>
      </c>
      <c r="BE40" s="55">
        <v>10</v>
      </c>
      <c r="BF40" s="56">
        <v>143</v>
      </c>
      <c r="BG40" s="55">
        <v>8</v>
      </c>
      <c r="BH40" s="56">
        <v>148</v>
      </c>
      <c r="BI40" s="55">
        <v>11</v>
      </c>
      <c r="BJ40" s="56">
        <v>160</v>
      </c>
      <c r="BK40" s="55">
        <v>9</v>
      </c>
      <c r="BL40" s="56">
        <v>145</v>
      </c>
      <c r="BM40" s="55">
        <v>15</v>
      </c>
      <c r="BN40" s="56">
        <v>145</v>
      </c>
      <c r="BO40" s="55">
        <v>10</v>
      </c>
      <c r="BP40" s="56">
        <v>153</v>
      </c>
      <c r="BQ40" s="55">
        <v>5</v>
      </c>
      <c r="BR40" s="56">
        <v>145</v>
      </c>
      <c r="BS40" s="55">
        <v>12</v>
      </c>
      <c r="BT40" s="56">
        <v>118</v>
      </c>
      <c r="BU40" s="55">
        <v>12</v>
      </c>
      <c r="BV40" s="56">
        <v>149</v>
      </c>
      <c r="BW40" s="55">
        <v>8</v>
      </c>
      <c r="BX40" s="56">
        <v>133</v>
      </c>
      <c r="BY40" s="55">
        <v>9</v>
      </c>
      <c r="BZ40" s="56">
        <v>165</v>
      </c>
      <c r="CA40" s="55" t="s">
        <v>2</v>
      </c>
      <c r="CB40" s="56" t="s">
        <v>2</v>
      </c>
      <c r="CC40" s="55">
        <v>7</v>
      </c>
      <c r="CD40" s="56">
        <v>145</v>
      </c>
      <c r="CE40" s="55">
        <v>11</v>
      </c>
      <c r="CF40" s="56">
        <v>175</v>
      </c>
      <c r="CG40" s="55">
        <v>10</v>
      </c>
      <c r="CH40" s="56">
        <v>165</v>
      </c>
      <c r="CI40" s="55">
        <v>10</v>
      </c>
      <c r="CJ40" s="56">
        <v>178</v>
      </c>
      <c r="CK40" s="55">
        <v>14</v>
      </c>
      <c r="CL40" s="56">
        <v>180</v>
      </c>
      <c r="CM40" s="55">
        <v>9</v>
      </c>
      <c r="CN40" s="56">
        <v>130</v>
      </c>
      <c r="CO40" s="55">
        <v>7</v>
      </c>
      <c r="CP40" s="56">
        <v>180</v>
      </c>
      <c r="CQ40" s="55">
        <v>7</v>
      </c>
      <c r="CR40" s="56">
        <v>190</v>
      </c>
      <c r="CS40" s="55" t="s">
        <v>2</v>
      </c>
      <c r="CT40" s="56" t="s">
        <v>2</v>
      </c>
      <c r="CU40" s="55">
        <v>9</v>
      </c>
      <c r="CV40" s="56">
        <v>180</v>
      </c>
      <c r="CW40" s="55">
        <v>13</v>
      </c>
      <c r="CX40" s="56">
        <v>155</v>
      </c>
      <c r="CY40" s="55">
        <v>8</v>
      </c>
      <c r="CZ40" s="56">
        <v>190</v>
      </c>
      <c r="DA40" s="55">
        <v>11</v>
      </c>
      <c r="DB40" s="56">
        <v>190</v>
      </c>
      <c r="DC40" s="55">
        <v>11</v>
      </c>
      <c r="DD40" s="56">
        <v>175</v>
      </c>
      <c r="DE40" s="55">
        <v>11</v>
      </c>
      <c r="DF40" s="56">
        <v>190</v>
      </c>
      <c r="DG40" s="55">
        <v>13</v>
      </c>
      <c r="DH40" s="56">
        <v>165</v>
      </c>
      <c r="DI40" s="55">
        <v>10</v>
      </c>
      <c r="DJ40" s="56">
        <v>198</v>
      </c>
      <c r="DK40" s="55">
        <v>9</v>
      </c>
      <c r="DL40" s="56">
        <v>175</v>
      </c>
      <c r="DM40" s="55">
        <v>9</v>
      </c>
      <c r="DN40" s="56">
        <v>180</v>
      </c>
      <c r="DO40" s="55">
        <v>7</v>
      </c>
      <c r="DP40" s="56">
        <v>185</v>
      </c>
      <c r="DQ40" s="55">
        <v>15</v>
      </c>
      <c r="DR40" s="56">
        <v>190</v>
      </c>
      <c r="DS40" s="55">
        <v>12</v>
      </c>
      <c r="DT40" s="56">
        <v>185</v>
      </c>
      <c r="DU40" s="55">
        <v>10</v>
      </c>
      <c r="DV40" s="56">
        <v>215</v>
      </c>
      <c r="DW40" s="55">
        <v>11</v>
      </c>
      <c r="DX40" s="56">
        <v>220</v>
      </c>
      <c r="DY40" s="55">
        <v>14</v>
      </c>
      <c r="DZ40" s="56">
        <v>220</v>
      </c>
      <c r="EA40" s="55">
        <v>8</v>
      </c>
      <c r="EB40" s="56">
        <v>185</v>
      </c>
      <c r="EC40" s="55">
        <v>7</v>
      </c>
      <c r="ED40" s="56">
        <v>205</v>
      </c>
      <c r="EE40" s="55">
        <v>9</v>
      </c>
      <c r="EF40" s="56">
        <v>190</v>
      </c>
      <c r="EG40" s="55">
        <v>12</v>
      </c>
      <c r="EH40" s="56">
        <v>233</v>
      </c>
      <c r="EI40" s="55">
        <v>7</v>
      </c>
      <c r="EJ40" s="56">
        <v>210</v>
      </c>
      <c r="EK40" s="55">
        <v>10</v>
      </c>
      <c r="EL40" s="56">
        <v>195</v>
      </c>
      <c r="EM40" s="55">
        <v>9</v>
      </c>
      <c r="EN40" s="56">
        <v>200</v>
      </c>
      <c r="EO40" s="55">
        <v>10</v>
      </c>
      <c r="EP40" s="56">
        <v>200</v>
      </c>
      <c r="EQ40" s="55">
        <v>5</v>
      </c>
      <c r="ER40" s="56">
        <v>200</v>
      </c>
      <c r="ES40" s="55" t="s">
        <v>2</v>
      </c>
      <c r="ET40" s="56" t="s">
        <v>2</v>
      </c>
      <c r="EU40" s="55">
        <v>8</v>
      </c>
      <c r="EV40" s="56">
        <v>200</v>
      </c>
      <c r="EW40" s="55">
        <v>7</v>
      </c>
      <c r="EX40" s="56">
        <v>245</v>
      </c>
      <c r="EY40" s="55">
        <v>13</v>
      </c>
      <c r="EZ40" s="56">
        <v>210</v>
      </c>
      <c r="FA40" s="55">
        <v>11</v>
      </c>
      <c r="FB40" s="56">
        <v>245</v>
      </c>
      <c r="FC40" s="55">
        <v>5</v>
      </c>
      <c r="FD40" s="56">
        <v>260</v>
      </c>
      <c r="FE40" s="55">
        <v>10</v>
      </c>
      <c r="FF40" s="56">
        <v>208</v>
      </c>
      <c r="FG40" s="55">
        <v>7</v>
      </c>
      <c r="FH40" s="56">
        <v>220</v>
      </c>
      <c r="FI40" s="55">
        <v>9</v>
      </c>
      <c r="FJ40" s="56">
        <v>210</v>
      </c>
      <c r="FK40" s="55">
        <v>8</v>
      </c>
      <c r="FL40" s="56">
        <v>210</v>
      </c>
      <c r="FM40" s="55">
        <v>6</v>
      </c>
      <c r="FN40" s="56">
        <v>243</v>
      </c>
      <c r="FO40" s="55">
        <v>6</v>
      </c>
      <c r="FP40" s="56">
        <v>240</v>
      </c>
      <c r="FQ40" s="55">
        <v>10</v>
      </c>
      <c r="FR40" s="56">
        <v>258</v>
      </c>
      <c r="FS40" s="55">
        <v>10</v>
      </c>
      <c r="FT40" s="56">
        <v>248</v>
      </c>
      <c r="FU40" s="55">
        <v>7</v>
      </c>
      <c r="FV40" s="56">
        <v>300</v>
      </c>
      <c r="FW40" s="55">
        <v>7</v>
      </c>
      <c r="FX40" s="56">
        <v>280</v>
      </c>
      <c r="FY40" s="55">
        <v>8</v>
      </c>
      <c r="FZ40" s="56">
        <v>300</v>
      </c>
      <c r="GA40" s="55">
        <v>8</v>
      </c>
      <c r="GB40" s="56">
        <v>300</v>
      </c>
      <c r="GC40" s="55">
        <v>8</v>
      </c>
      <c r="GD40" s="56">
        <v>280</v>
      </c>
      <c r="GE40" s="55">
        <v>11</v>
      </c>
      <c r="GF40" s="56">
        <v>330</v>
      </c>
      <c r="GG40" s="55" t="s">
        <v>2</v>
      </c>
      <c r="GH40" s="56" t="s">
        <v>2</v>
      </c>
      <c r="GI40" s="55">
        <v>7</v>
      </c>
      <c r="GJ40" s="56">
        <v>320</v>
      </c>
      <c r="GK40" s="55">
        <v>6</v>
      </c>
      <c r="GL40" s="56">
        <v>310</v>
      </c>
      <c r="GM40" s="55">
        <v>5</v>
      </c>
      <c r="GN40" s="56">
        <v>285</v>
      </c>
      <c r="GO40" s="55">
        <v>8</v>
      </c>
      <c r="GP40" s="56">
        <v>335</v>
      </c>
      <c r="GQ40" s="55">
        <v>6</v>
      </c>
      <c r="GR40" s="56">
        <v>335</v>
      </c>
      <c r="GS40" s="55">
        <v>6</v>
      </c>
      <c r="GT40" s="56">
        <v>310</v>
      </c>
      <c r="GU40" s="55" t="s">
        <v>2</v>
      </c>
      <c r="GV40" s="56" t="s">
        <v>2</v>
      </c>
      <c r="GW40" s="55">
        <v>10</v>
      </c>
      <c r="GX40" s="56">
        <v>360</v>
      </c>
      <c r="GY40" s="55" t="s">
        <v>2</v>
      </c>
      <c r="GZ40" s="56" t="s">
        <v>2</v>
      </c>
      <c r="HA40" t="s">
        <v>2</v>
      </c>
      <c r="HB40" s="56" t="s">
        <v>2</v>
      </c>
      <c r="HC40">
        <v>8</v>
      </c>
      <c r="HD40" s="56">
        <v>395</v>
      </c>
      <c r="HE40">
        <v>6</v>
      </c>
      <c r="HF40" s="56">
        <v>395</v>
      </c>
    </row>
    <row r="41" spans="1:214" x14ac:dyDescent="0.25">
      <c r="A41" s="53"/>
      <c r="B41" s="54" t="s">
        <v>781</v>
      </c>
      <c r="C41" s="55">
        <v>8</v>
      </c>
      <c r="D41" s="56">
        <v>115</v>
      </c>
      <c r="E41" s="55" t="s">
        <v>2</v>
      </c>
      <c r="F41" s="56" t="s">
        <v>2</v>
      </c>
      <c r="G41" s="55" t="s">
        <v>2</v>
      </c>
      <c r="H41" s="56" t="s">
        <v>2</v>
      </c>
      <c r="I41" s="55" t="s">
        <v>2</v>
      </c>
      <c r="J41" s="56" t="s">
        <v>2</v>
      </c>
      <c r="K41" s="55">
        <v>6</v>
      </c>
      <c r="L41" s="56">
        <v>105</v>
      </c>
      <c r="M41" s="55" t="s">
        <v>2</v>
      </c>
      <c r="N41" s="56" t="s">
        <v>2</v>
      </c>
      <c r="O41" s="55">
        <v>6</v>
      </c>
      <c r="P41" s="56">
        <v>113</v>
      </c>
      <c r="Q41" s="55">
        <v>5</v>
      </c>
      <c r="R41" s="56">
        <v>125</v>
      </c>
      <c r="S41" s="55">
        <v>6</v>
      </c>
      <c r="T41" s="56">
        <v>115</v>
      </c>
      <c r="U41" s="55">
        <v>7</v>
      </c>
      <c r="V41" s="56">
        <v>115</v>
      </c>
      <c r="W41" s="55">
        <v>8</v>
      </c>
      <c r="X41" s="56">
        <v>117</v>
      </c>
      <c r="Y41" s="55">
        <v>6</v>
      </c>
      <c r="Z41" s="56">
        <v>120</v>
      </c>
      <c r="AA41" s="55">
        <v>8</v>
      </c>
      <c r="AB41" s="56">
        <v>123</v>
      </c>
      <c r="AC41" s="55">
        <v>5</v>
      </c>
      <c r="AD41" s="56">
        <v>125</v>
      </c>
      <c r="AE41" s="55" t="s">
        <v>2</v>
      </c>
      <c r="AF41" s="56" t="s">
        <v>2</v>
      </c>
      <c r="AG41" s="55">
        <v>12</v>
      </c>
      <c r="AH41" s="56">
        <v>130</v>
      </c>
      <c r="AI41" s="55">
        <v>9</v>
      </c>
      <c r="AJ41" s="56">
        <v>125</v>
      </c>
      <c r="AK41" s="55" t="s">
        <v>2</v>
      </c>
      <c r="AL41" s="56" t="s">
        <v>2</v>
      </c>
      <c r="AM41" s="55">
        <v>8</v>
      </c>
      <c r="AN41" s="56">
        <v>133</v>
      </c>
      <c r="AO41" s="55">
        <v>9</v>
      </c>
      <c r="AP41" s="56">
        <v>165</v>
      </c>
      <c r="AQ41" s="55">
        <v>10</v>
      </c>
      <c r="AR41" s="56">
        <v>150</v>
      </c>
      <c r="AS41" s="55">
        <v>7</v>
      </c>
      <c r="AT41" s="56">
        <v>150</v>
      </c>
      <c r="AU41" s="55">
        <v>7</v>
      </c>
      <c r="AV41" s="56">
        <v>140</v>
      </c>
      <c r="AW41" s="55">
        <v>7</v>
      </c>
      <c r="AX41" s="56">
        <v>145</v>
      </c>
      <c r="AY41" s="55">
        <v>11</v>
      </c>
      <c r="AZ41" s="56">
        <v>140</v>
      </c>
      <c r="BA41" s="55" t="s">
        <v>2</v>
      </c>
      <c r="BB41" s="56" t="s">
        <v>2</v>
      </c>
      <c r="BC41" s="55">
        <v>7</v>
      </c>
      <c r="BD41" s="56">
        <v>160</v>
      </c>
      <c r="BE41" s="55">
        <v>7</v>
      </c>
      <c r="BF41" s="56">
        <v>140</v>
      </c>
      <c r="BG41" s="55">
        <v>6</v>
      </c>
      <c r="BH41" s="56">
        <v>180</v>
      </c>
      <c r="BI41" s="55" t="s">
        <v>2</v>
      </c>
      <c r="BJ41" s="56" t="s">
        <v>2</v>
      </c>
      <c r="BK41" s="55" t="s">
        <v>2</v>
      </c>
      <c r="BL41" s="56" t="s">
        <v>2</v>
      </c>
      <c r="BM41" s="55">
        <v>9</v>
      </c>
      <c r="BN41" s="56">
        <v>150</v>
      </c>
      <c r="BO41" s="55">
        <v>13</v>
      </c>
      <c r="BP41" s="56">
        <v>160</v>
      </c>
      <c r="BQ41" s="55">
        <v>7</v>
      </c>
      <c r="BR41" s="56">
        <v>150</v>
      </c>
      <c r="BS41" s="55">
        <v>8</v>
      </c>
      <c r="BT41" s="56">
        <v>183</v>
      </c>
      <c r="BU41" s="55">
        <v>11</v>
      </c>
      <c r="BV41" s="56">
        <v>165</v>
      </c>
      <c r="BW41" s="55">
        <v>14</v>
      </c>
      <c r="BX41" s="56">
        <v>220</v>
      </c>
      <c r="BY41" s="55">
        <v>6</v>
      </c>
      <c r="BZ41" s="56">
        <v>215</v>
      </c>
      <c r="CA41" s="55">
        <v>10</v>
      </c>
      <c r="CB41" s="56">
        <v>183</v>
      </c>
      <c r="CC41" s="55">
        <v>9</v>
      </c>
      <c r="CD41" s="56">
        <v>160</v>
      </c>
      <c r="CE41" s="55">
        <v>13</v>
      </c>
      <c r="CF41" s="56">
        <v>220</v>
      </c>
      <c r="CG41" s="55">
        <v>5</v>
      </c>
      <c r="CH41" s="56">
        <v>200</v>
      </c>
      <c r="CI41" s="55">
        <v>6</v>
      </c>
      <c r="CJ41" s="56">
        <v>175</v>
      </c>
      <c r="CK41" s="55">
        <v>9</v>
      </c>
      <c r="CL41" s="56">
        <v>170</v>
      </c>
      <c r="CM41" s="55">
        <v>5</v>
      </c>
      <c r="CN41" s="56">
        <v>200</v>
      </c>
      <c r="CO41" s="55">
        <v>6</v>
      </c>
      <c r="CP41" s="56">
        <v>205</v>
      </c>
      <c r="CQ41" s="55">
        <v>6</v>
      </c>
      <c r="CR41" s="56">
        <v>185</v>
      </c>
      <c r="CS41" s="55">
        <v>5</v>
      </c>
      <c r="CT41" s="56">
        <v>200</v>
      </c>
      <c r="CU41" s="55">
        <v>9</v>
      </c>
      <c r="CV41" s="56">
        <v>210</v>
      </c>
      <c r="CW41" s="55">
        <v>6</v>
      </c>
      <c r="CX41" s="56">
        <v>188</v>
      </c>
      <c r="CY41" s="55">
        <v>7</v>
      </c>
      <c r="CZ41" s="56">
        <v>220</v>
      </c>
      <c r="DA41" s="55">
        <v>8</v>
      </c>
      <c r="DB41" s="56">
        <v>250</v>
      </c>
      <c r="DC41" s="55">
        <v>8</v>
      </c>
      <c r="DD41" s="56">
        <v>180</v>
      </c>
      <c r="DE41" s="55">
        <v>6</v>
      </c>
      <c r="DF41" s="56">
        <v>200</v>
      </c>
      <c r="DG41" s="55">
        <v>12</v>
      </c>
      <c r="DH41" s="56">
        <v>195</v>
      </c>
      <c r="DI41" s="55">
        <v>6</v>
      </c>
      <c r="DJ41" s="56">
        <v>245</v>
      </c>
      <c r="DK41" s="55">
        <v>8</v>
      </c>
      <c r="DL41" s="56">
        <v>220</v>
      </c>
      <c r="DM41" s="55">
        <v>5</v>
      </c>
      <c r="DN41" s="56">
        <v>200</v>
      </c>
      <c r="DO41" s="55">
        <v>5</v>
      </c>
      <c r="DP41" s="56">
        <v>200</v>
      </c>
      <c r="DQ41" s="55">
        <v>9</v>
      </c>
      <c r="DR41" s="56">
        <v>220</v>
      </c>
      <c r="DS41" s="55">
        <v>6</v>
      </c>
      <c r="DT41" s="56">
        <v>248</v>
      </c>
      <c r="DU41" s="55">
        <v>8</v>
      </c>
      <c r="DV41" s="56">
        <v>235</v>
      </c>
      <c r="DW41" s="55">
        <v>7</v>
      </c>
      <c r="DX41" s="56">
        <v>240</v>
      </c>
      <c r="DY41" s="55">
        <v>8</v>
      </c>
      <c r="DZ41" s="56">
        <v>218</v>
      </c>
      <c r="EA41" s="55">
        <v>10</v>
      </c>
      <c r="EB41" s="56">
        <v>253</v>
      </c>
      <c r="EC41" s="55">
        <v>5</v>
      </c>
      <c r="ED41" s="56">
        <v>285</v>
      </c>
      <c r="EE41" s="55">
        <v>13</v>
      </c>
      <c r="EF41" s="56">
        <v>210</v>
      </c>
      <c r="EG41" s="55">
        <v>7</v>
      </c>
      <c r="EH41" s="56">
        <v>260</v>
      </c>
      <c r="EI41" s="55">
        <v>10</v>
      </c>
      <c r="EJ41" s="56">
        <v>235</v>
      </c>
      <c r="EK41" s="55">
        <v>10</v>
      </c>
      <c r="EL41" s="56">
        <v>250</v>
      </c>
      <c r="EM41" s="55">
        <v>8</v>
      </c>
      <c r="EN41" s="56">
        <v>278</v>
      </c>
      <c r="EO41" s="55">
        <v>8</v>
      </c>
      <c r="EP41" s="56">
        <v>210</v>
      </c>
      <c r="EQ41" s="55">
        <v>10</v>
      </c>
      <c r="ER41" s="56">
        <v>260</v>
      </c>
      <c r="ES41" s="55" t="s">
        <v>2</v>
      </c>
      <c r="ET41" s="56" t="s">
        <v>2</v>
      </c>
      <c r="EU41" s="55">
        <v>7</v>
      </c>
      <c r="EV41" s="56">
        <v>285</v>
      </c>
      <c r="EW41" s="55">
        <v>12</v>
      </c>
      <c r="EX41" s="56">
        <v>223</v>
      </c>
      <c r="EY41" s="55">
        <v>6</v>
      </c>
      <c r="EZ41" s="56">
        <v>300</v>
      </c>
      <c r="FA41" s="55">
        <v>5</v>
      </c>
      <c r="FB41" s="56">
        <v>300</v>
      </c>
      <c r="FC41" s="55">
        <v>10</v>
      </c>
      <c r="FD41" s="56">
        <v>333</v>
      </c>
      <c r="FE41" s="55">
        <v>8</v>
      </c>
      <c r="FF41" s="56">
        <v>320</v>
      </c>
      <c r="FG41" s="55">
        <v>6</v>
      </c>
      <c r="FH41" s="56">
        <v>328</v>
      </c>
      <c r="FI41" s="55">
        <v>10</v>
      </c>
      <c r="FJ41" s="56">
        <v>313</v>
      </c>
      <c r="FK41" s="55" t="s">
        <v>2</v>
      </c>
      <c r="FL41" s="56" t="s">
        <v>2</v>
      </c>
      <c r="FM41" s="55">
        <v>6</v>
      </c>
      <c r="FN41" s="56">
        <v>300</v>
      </c>
      <c r="FO41" s="55" t="s">
        <v>2</v>
      </c>
      <c r="FP41" s="56" t="s">
        <v>2</v>
      </c>
      <c r="FQ41" s="55">
        <v>8</v>
      </c>
      <c r="FR41" s="56">
        <v>333</v>
      </c>
      <c r="FS41" s="55">
        <v>6</v>
      </c>
      <c r="FT41" s="56">
        <v>350</v>
      </c>
      <c r="FU41" s="55">
        <v>10</v>
      </c>
      <c r="FV41" s="56">
        <v>345</v>
      </c>
      <c r="FW41" s="55">
        <v>7</v>
      </c>
      <c r="FX41" s="56">
        <v>370</v>
      </c>
      <c r="FY41" s="55">
        <v>9</v>
      </c>
      <c r="FZ41" s="56">
        <v>350</v>
      </c>
      <c r="GA41" s="55" t="s">
        <v>2</v>
      </c>
      <c r="GB41" s="56" t="s">
        <v>2</v>
      </c>
      <c r="GC41" s="55">
        <v>5</v>
      </c>
      <c r="GD41" s="56">
        <v>370</v>
      </c>
      <c r="GE41" s="55">
        <v>6</v>
      </c>
      <c r="GF41" s="56">
        <v>365</v>
      </c>
      <c r="GG41" s="55">
        <v>5</v>
      </c>
      <c r="GH41" s="56">
        <v>380</v>
      </c>
      <c r="GI41" s="55">
        <v>8</v>
      </c>
      <c r="GJ41" s="56">
        <v>415</v>
      </c>
      <c r="GK41" s="55">
        <v>7</v>
      </c>
      <c r="GL41" s="56">
        <v>470</v>
      </c>
      <c r="GM41" s="55">
        <v>7</v>
      </c>
      <c r="GN41" s="56">
        <v>421</v>
      </c>
      <c r="GO41" s="55" t="s">
        <v>2</v>
      </c>
      <c r="GP41" s="56" t="s">
        <v>2</v>
      </c>
      <c r="GQ41" s="55">
        <v>5</v>
      </c>
      <c r="GR41" s="56">
        <v>340</v>
      </c>
      <c r="GS41" s="55">
        <v>7</v>
      </c>
      <c r="GT41" s="56">
        <v>520</v>
      </c>
      <c r="GU41" s="55" t="s">
        <v>2</v>
      </c>
      <c r="GV41" s="56" t="s">
        <v>2</v>
      </c>
      <c r="GW41" s="55" t="s">
        <v>2</v>
      </c>
      <c r="GX41" s="56" t="s">
        <v>2</v>
      </c>
      <c r="GY41" s="55" t="s">
        <v>2</v>
      </c>
      <c r="GZ41" s="56" t="s">
        <v>2</v>
      </c>
      <c r="HA41" t="s">
        <v>2</v>
      </c>
      <c r="HB41" s="56" t="s">
        <v>2</v>
      </c>
      <c r="HC41">
        <v>7</v>
      </c>
      <c r="HD41" s="56">
        <v>420</v>
      </c>
      <c r="HE41" t="s">
        <v>2</v>
      </c>
      <c r="HF41" s="56" t="s">
        <v>2</v>
      </c>
    </row>
    <row r="42" spans="1:214" x14ac:dyDescent="0.25">
      <c r="A42" s="53"/>
      <c r="B42" s="54" t="s">
        <v>782</v>
      </c>
      <c r="C42" s="55">
        <v>26</v>
      </c>
      <c r="D42" s="56">
        <v>103</v>
      </c>
      <c r="E42" s="55">
        <v>23</v>
      </c>
      <c r="F42" s="56">
        <v>120</v>
      </c>
      <c r="G42" s="55">
        <v>28</v>
      </c>
      <c r="H42" s="56">
        <v>120</v>
      </c>
      <c r="I42" s="55">
        <v>42</v>
      </c>
      <c r="J42" s="56">
        <v>120</v>
      </c>
      <c r="K42" s="55">
        <v>21</v>
      </c>
      <c r="L42" s="56">
        <v>120</v>
      </c>
      <c r="M42" s="55">
        <v>26</v>
      </c>
      <c r="N42" s="56">
        <v>130</v>
      </c>
      <c r="O42" s="55">
        <v>26</v>
      </c>
      <c r="P42" s="56">
        <v>118</v>
      </c>
      <c r="Q42" s="55">
        <v>31</v>
      </c>
      <c r="R42" s="56">
        <v>125</v>
      </c>
      <c r="S42" s="55">
        <v>31</v>
      </c>
      <c r="T42" s="56">
        <v>125</v>
      </c>
      <c r="U42" s="55">
        <v>24</v>
      </c>
      <c r="V42" s="56">
        <v>130</v>
      </c>
      <c r="W42" s="55">
        <v>33</v>
      </c>
      <c r="X42" s="56">
        <v>125</v>
      </c>
      <c r="Y42" s="55">
        <v>29</v>
      </c>
      <c r="Z42" s="56">
        <v>125</v>
      </c>
      <c r="AA42" s="55">
        <v>17</v>
      </c>
      <c r="AB42" s="56">
        <v>110</v>
      </c>
      <c r="AC42" s="55">
        <v>19</v>
      </c>
      <c r="AD42" s="56">
        <v>130</v>
      </c>
      <c r="AE42" s="55">
        <v>14</v>
      </c>
      <c r="AF42" s="56">
        <v>145</v>
      </c>
      <c r="AG42" s="55">
        <v>24</v>
      </c>
      <c r="AH42" s="56">
        <v>133</v>
      </c>
      <c r="AI42" s="55">
        <v>23</v>
      </c>
      <c r="AJ42" s="56">
        <v>135</v>
      </c>
      <c r="AK42" s="55">
        <v>32</v>
      </c>
      <c r="AL42" s="56">
        <v>140</v>
      </c>
      <c r="AM42" s="55">
        <v>33</v>
      </c>
      <c r="AN42" s="56">
        <v>140</v>
      </c>
      <c r="AO42" s="55">
        <v>42</v>
      </c>
      <c r="AP42" s="56">
        <v>135</v>
      </c>
      <c r="AQ42" s="55">
        <v>19</v>
      </c>
      <c r="AR42" s="56">
        <v>155</v>
      </c>
      <c r="AS42" s="55">
        <v>34</v>
      </c>
      <c r="AT42" s="56">
        <v>140</v>
      </c>
      <c r="AU42" s="55">
        <v>29</v>
      </c>
      <c r="AV42" s="56">
        <v>150</v>
      </c>
      <c r="AW42" s="55">
        <v>37</v>
      </c>
      <c r="AX42" s="56">
        <v>150</v>
      </c>
      <c r="AY42" s="55">
        <v>28</v>
      </c>
      <c r="AZ42" s="56">
        <v>135</v>
      </c>
      <c r="BA42" s="55">
        <v>24</v>
      </c>
      <c r="BB42" s="56">
        <v>155</v>
      </c>
      <c r="BC42" s="55">
        <v>39</v>
      </c>
      <c r="BD42" s="56">
        <v>150</v>
      </c>
      <c r="BE42" s="55">
        <v>37</v>
      </c>
      <c r="BF42" s="56">
        <v>160</v>
      </c>
      <c r="BG42" s="55">
        <v>23</v>
      </c>
      <c r="BH42" s="56">
        <v>155</v>
      </c>
      <c r="BI42" s="55">
        <v>28</v>
      </c>
      <c r="BJ42" s="56">
        <v>160</v>
      </c>
      <c r="BK42" s="55">
        <v>28</v>
      </c>
      <c r="BL42" s="56">
        <v>155</v>
      </c>
      <c r="BM42" s="55">
        <v>49</v>
      </c>
      <c r="BN42" s="56">
        <v>155</v>
      </c>
      <c r="BO42" s="55">
        <v>27</v>
      </c>
      <c r="BP42" s="56">
        <v>165</v>
      </c>
      <c r="BQ42" s="55">
        <v>20</v>
      </c>
      <c r="BR42" s="56">
        <v>160</v>
      </c>
      <c r="BS42" s="55">
        <v>32</v>
      </c>
      <c r="BT42" s="56">
        <v>168</v>
      </c>
      <c r="BU42" s="55">
        <v>39</v>
      </c>
      <c r="BV42" s="56">
        <v>185</v>
      </c>
      <c r="BW42" s="55">
        <v>21</v>
      </c>
      <c r="BX42" s="56">
        <v>170</v>
      </c>
      <c r="BY42" s="55">
        <v>27</v>
      </c>
      <c r="BZ42" s="56">
        <v>200</v>
      </c>
      <c r="CA42" s="55">
        <v>30</v>
      </c>
      <c r="CB42" s="56">
        <v>173</v>
      </c>
      <c r="CC42" s="55">
        <v>24</v>
      </c>
      <c r="CD42" s="56">
        <v>198</v>
      </c>
      <c r="CE42" s="55">
        <v>21</v>
      </c>
      <c r="CF42" s="56">
        <v>200</v>
      </c>
      <c r="CG42" s="55">
        <v>16</v>
      </c>
      <c r="CH42" s="56">
        <v>193</v>
      </c>
      <c r="CI42" s="55">
        <v>26</v>
      </c>
      <c r="CJ42" s="56">
        <v>210</v>
      </c>
      <c r="CK42" s="55">
        <v>23</v>
      </c>
      <c r="CL42" s="56">
        <v>220</v>
      </c>
      <c r="CM42" s="55">
        <v>21</v>
      </c>
      <c r="CN42" s="56">
        <v>180</v>
      </c>
      <c r="CO42" s="55">
        <v>31</v>
      </c>
      <c r="CP42" s="56">
        <v>215</v>
      </c>
      <c r="CQ42" s="55">
        <v>25</v>
      </c>
      <c r="CR42" s="56">
        <v>230</v>
      </c>
      <c r="CS42" s="55">
        <v>25</v>
      </c>
      <c r="CT42" s="56">
        <v>250</v>
      </c>
      <c r="CU42" s="55">
        <v>29</v>
      </c>
      <c r="CV42" s="56">
        <v>240</v>
      </c>
      <c r="CW42" s="55">
        <v>33</v>
      </c>
      <c r="CX42" s="56">
        <v>240</v>
      </c>
      <c r="CY42" s="55">
        <v>26</v>
      </c>
      <c r="CZ42" s="56">
        <v>230</v>
      </c>
      <c r="DA42" s="55">
        <v>35</v>
      </c>
      <c r="DB42" s="56">
        <v>250</v>
      </c>
      <c r="DC42" s="55">
        <v>18</v>
      </c>
      <c r="DD42" s="56">
        <v>255</v>
      </c>
      <c r="DE42" s="55">
        <v>43</v>
      </c>
      <c r="DF42" s="56">
        <v>210</v>
      </c>
      <c r="DG42" s="55">
        <v>18</v>
      </c>
      <c r="DH42" s="56">
        <v>208</v>
      </c>
      <c r="DI42" s="55">
        <v>28</v>
      </c>
      <c r="DJ42" s="56">
        <v>240</v>
      </c>
      <c r="DK42" s="55">
        <v>22</v>
      </c>
      <c r="DL42" s="56">
        <v>243</v>
      </c>
      <c r="DM42" s="55">
        <v>29</v>
      </c>
      <c r="DN42" s="56">
        <v>230</v>
      </c>
      <c r="DO42" s="55">
        <v>24</v>
      </c>
      <c r="DP42" s="56">
        <v>220</v>
      </c>
      <c r="DQ42" s="55">
        <v>30</v>
      </c>
      <c r="DR42" s="56">
        <v>220</v>
      </c>
      <c r="DS42" s="55">
        <v>25</v>
      </c>
      <c r="DT42" s="56">
        <v>225</v>
      </c>
      <c r="DU42" s="55">
        <v>33</v>
      </c>
      <c r="DV42" s="56">
        <v>245</v>
      </c>
      <c r="DW42" s="55">
        <v>26</v>
      </c>
      <c r="DX42" s="56">
        <v>230</v>
      </c>
      <c r="DY42" s="55">
        <v>33</v>
      </c>
      <c r="DZ42" s="56">
        <v>250</v>
      </c>
      <c r="EA42" s="55">
        <v>28</v>
      </c>
      <c r="EB42" s="56">
        <v>235</v>
      </c>
      <c r="EC42" s="55">
        <v>27</v>
      </c>
      <c r="ED42" s="56">
        <v>250</v>
      </c>
      <c r="EE42" s="55">
        <v>29</v>
      </c>
      <c r="EF42" s="56">
        <v>260</v>
      </c>
      <c r="EG42" s="55">
        <v>31</v>
      </c>
      <c r="EH42" s="56">
        <v>270</v>
      </c>
      <c r="EI42" s="55">
        <v>24</v>
      </c>
      <c r="EJ42" s="56">
        <v>240</v>
      </c>
      <c r="EK42" s="55">
        <v>22</v>
      </c>
      <c r="EL42" s="56">
        <v>240</v>
      </c>
      <c r="EM42" s="55">
        <v>28</v>
      </c>
      <c r="EN42" s="56">
        <v>253</v>
      </c>
      <c r="EO42" s="55">
        <v>33</v>
      </c>
      <c r="EP42" s="56">
        <v>260</v>
      </c>
      <c r="EQ42" s="55">
        <v>22</v>
      </c>
      <c r="ER42" s="56">
        <v>245</v>
      </c>
      <c r="ES42" s="55">
        <v>15</v>
      </c>
      <c r="ET42" s="56">
        <v>250</v>
      </c>
      <c r="EU42" s="55">
        <v>17</v>
      </c>
      <c r="EV42" s="56">
        <v>260</v>
      </c>
      <c r="EW42" s="55">
        <v>29</v>
      </c>
      <c r="EX42" s="56">
        <v>260</v>
      </c>
      <c r="EY42" s="55">
        <v>14</v>
      </c>
      <c r="EZ42" s="56">
        <v>275</v>
      </c>
      <c r="FA42" s="55">
        <v>16</v>
      </c>
      <c r="FB42" s="56">
        <v>273</v>
      </c>
      <c r="FC42" s="55">
        <v>19</v>
      </c>
      <c r="FD42" s="56">
        <v>260</v>
      </c>
      <c r="FE42" s="55">
        <v>17</v>
      </c>
      <c r="FF42" s="56">
        <v>255</v>
      </c>
      <c r="FG42" s="55">
        <v>26</v>
      </c>
      <c r="FH42" s="56">
        <v>260</v>
      </c>
      <c r="FI42" s="55">
        <v>21</v>
      </c>
      <c r="FJ42" s="56">
        <v>270</v>
      </c>
      <c r="FK42" s="55">
        <v>23</v>
      </c>
      <c r="FL42" s="56">
        <v>275</v>
      </c>
      <c r="FM42" s="55">
        <v>26</v>
      </c>
      <c r="FN42" s="56">
        <v>310</v>
      </c>
      <c r="FO42" s="55">
        <v>18</v>
      </c>
      <c r="FP42" s="56">
        <v>275</v>
      </c>
      <c r="FQ42" s="55">
        <v>16</v>
      </c>
      <c r="FR42" s="56">
        <v>250</v>
      </c>
      <c r="FS42" s="55">
        <v>25</v>
      </c>
      <c r="FT42" s="56">
        <v>280</v>
      </c>
      <c r="FU42" s="55">
        <v>16</v>
      </c>
      <c r="FV42" s="56">
        <v>293</v>
      </c>
      <c r="FW42" s="55">
        <v>22</v>
      </c>
      <c r="FX42" s="56">
        <v>280</v>
      </c>
      <c r="FY42" s="55">
        <v>20</v>
      </c>
      <c r="FZ42" s="56">
        <v>285</v>
      </c>
      <c r="GA42" s="55">
        <v>18</v>
      </c>
      <c r="GB42" s="56">
        <v>328</v>
      </c>
      <c r="GC42" s="55">
        <v>13</v>
      </c>
      <c r="GD42" s="56">
        <v>330</v>
      </c>
      <c r="GE42" s="55">
        <v>12</v>
      </c>
      <c r="GF42" s="56">
        <v>310</v>
      </c>
      <c r="GG42" s="55">
        <v>13</v>
      </c>
      <c r="GH42" s="56">
        <v>330</v>
      </c>
      <c r="GI42" s="55">
        <v>19</v>
      </c>
      <c r="GJ42" s="56">
        <v>340</v>
      </c>
      <c r="GK42" s="55">
        <v>23</v>
      </c>
      <c r="GL42" s="56">
        <v>340</v>
      </c>
      <c r="GM42" s="55">
        <v>21</v>
      </c>
      <c r="GN42" s="56">
        <v>350</v>
      </c>
      <c r="GO42" s="55">
        <v>26</v>
      </c>
      <c r="GP42" s="56">
        <v>300</v>
      </c>
      <c r="GQ42" s="55">
        <v>15</v>
      </c>
      <c r="GR42" s="56">
        <v>350</v>
      </c>
      <c r="GS42" s="55">
        <v>32</v>
      </c>
      <c r="GT42" s="56">
        <v>375</v>
      </c>
      <c r="GU42" s="55">
        <v>15</v>
      </c>
      <c r="GV42" s="56">
        <v>380</v>
      </c>
      <c r="GW42" s="55">
        <v>22</v>
      </c>
      <c r="GX42" s="56">
        <v>360</v>
      </c>
      <c r="GY42" s="55">
        <v>27</v>
      </c>
      <c r="GZ42" s="56">
        <v>375</v>
      </c>
      <c r="HA42">
        <v>25</v>
      </c>
      <c r="HB42" s="56">
        <v>380</v>
      </c>
      <c r="HC42">
        <v>17</v>
      </c>
      <c r="HD42" s="56">
        <v>380</v>
      </c>
      <c r="HE42">
        <v>16</v>
      </c>
      <c r="HF42" s="56">
        <v>398</v>
      </c>
    </row>
    <row r="43" spans="1:214" x14ac:dyDescent="0.25">
      <c r="A43" s="53"/>
      <c r="B43" s="54" t="s">
        <v>783</v>
      </c>
      <c r="C43" s="55">
        <v>40</v>
      </c>
      <c r="D43" s="56">
        <v>120</v>
      </c>
      <c r="E43" s="55">
        <v>61</v>
      </c>
      <c r="F43" s="56">
        <v>115</v>
      </c>
      <c r="G43" s="55">
        <v>62</v>
      </c>
      <c r="H43" s="56">
        <v>113</v>
      </c>
      <c r="I43" s="55">
        <v>73</v>
      </c>
      <c r="J43" s="56">
        <v>115</v>
      </c>
      <c r="K43" s="55">
        <v>45</v>
      </c>
      <c r="L43" s="56">
        <v>120</v>
      </c>
      <c r="M43" s="55">
        <v>55</v>
      </c>
      <c r="N43" s="56">
        <v>110</v>
      </c>
      <c r="O43" s="55">
        <v>63</v>
      </c>
      <c r="P43" s="56">
        <v>115</v>
      </c>
      <c r="Q43" s="55">
        <v>67</v>
      </c>
      <c r="R43" s="56">
        <v>110</v>
      </c>
      <c r="S43" s="55">
        <v>46</v>
      </c>
      <c r="T43" s="56">
        <v>120</v>
      </c>
      <c r="U43" s="55">
        <v>46</v>
      </c>
      <c r="V43" s="56">
        <v>110</v>
      </c>
      <c r="W43" s="55">
        <v>52</v>
      </c>
      <c r="X43" s="56">
        <v>120</v>
      </c>
      <c r="Y43" s="55">
        <v>50</v>
      </c>
      <c r="Z43" s="56">
        <v>120</v>
      </c>
      <c r="AA43" s="55">
        <v>45</v>
      </c>
      <c r="AB43" s="56">
        <v>125</v>
      </c>
      <c r="AC43" s="55">
        <v>38</v>
      </c>
      <c r="AD43" s="56">
        <v>120</v>
      </c>
      <c r="AE43" s="55">
        <v>39</v>
      </c>
      <c r="AF43" s="56">
        <v>130</v>
      </c>
      <c r="AG43" s="55">
        <v>44</v>
      </c>
      <c r="AH43" s="56">
        <v>130</v>
      </c>
      <c r="AI43" s="55">
        <v>42</v>
      </c>
      <c r="AJ43" s="56">
        <v>125</v>
      </c>
      <c r="AK43" s="55">
        <v>58</v>
      </c>
      <c r="AL43" s="56">
        <v>130</v>
      </c>
      <c r="AM43" s="55">
        <v>48</v>
      </c>
      <c r="AN43" s="56">
        <v>140</v>
      </c>
      <c r="AO43" s="55">
        <v>52</v>
      </c>
      <c r="AP43" s="56">
        <v>133</v>
      </c>
      <c r="AQ43" s="55">
        <v>44</v>
      </c>
      <c r="AR43" s="56">
        <v>135</v>
      </c>
      <c r="AS43" s="55">
        <v>53</v>
      </c>
      <c r="AT43" s="56">
        <v>140</v>
      </c>
      <c r="AU43" s="55">
        <v>36</v>
      </c>
      <c r="AV43" s="56">
        <v>138</v>
      </c>
      <c r="AW43" s="55">
        <v>58</v>
      </c>
      <c r="AX43" s="56">
        <v>143</v>
      </c>
      <c r="AY43" s="55">
        <v>32</v>
      </c>
      <c r="AZ43" s="56">
        <v>138</v>
      </c>
      <c r="BA43" s="55">
        <v>34</v>
      </c>
      <c r="BB43" s="56">
        <v>145</v>
      </c>
      <c r="BC43" s="55">
        <v>49</v>
      </c>
      <c r="BD43" s="56">
        <v>145</v>
      </c>
      <c r="BE43" s="55">
        <v>53</v>
      </c>
      <c r="BF43" s="56">
        <v>145</v>
      </c>
      <c r="BG43" s="55">
        <v>36</v>
      </c>
      <c r="BH43" s="56">
        <v>147</v>
      </c>
      <c r="BI43" s="55">
        <v>50</v>
      </c>
      <c r="BJ43" s="56">
        <v>150</v>
      </c>
      <c r="BK43" s="55">
        <v>47</v>
      </c>
      <c r="BL43" s="56">
        <v>148</v>
      </c>
      <c r="BM43" s="55">
        <v>68</v>
      </c>
      <c r="BN43" s="56">
        <v>150</v>
      </c>
      <c r="BO43" s="55">
        <v>55</v>
      </c>
      <c r="BP43" s="56">
        <v>145</v>
      </c>
      <c r="BQ43" s="55">
        <v>48</v>
      </c>
      <c r="BR43" s="56">
        <v>150</v>
      </c>
      <c r="BS43" s="55">
        <v>47</v>
      </c>
      <c r="BT43" s="56">
        <v>150</v>
      </c>
      <c r="BU43" s="55">
        <v>46</v>
      </c>
      <c r="BV43" s="56">
        <v>160</v>
      </c>
      <c r="BW43" s="55">
        <v>41</v>
      </c>
      <c r="BX43" s="56">
        <v>160</v>
      </c>
      <c r="BY43" s="55">
        <v>52</v>
      </c>
      <c r="BZ43" s="56">
        <v>160</v>
      </c>
      <c r="CA43" s="55">
        <v>57</v>
      </c>
      <c r="CB43" s="56">
        <v>160</v>
      </c>
      <c r="CC43" s="55">
        <v>53</v>
      </c>
      <c r="CD43" s="56">
        <v>150</v>
      </c>
      <c r="CE43" s="55">
        <v>57</v>
      </c>
      <c r="CF43" s="56">
        <v>165</v>
      </c>
      <c r="CG43" s="55">
        <v>40</v>
      </c>
      <c r="CH43" s="56">
        <v>170</v>
      </c>
      <c r="CI43" s="55">
        <v>58</v>
      </c>
      <c r="CJ43" s="56">
        <v>170</v>
      </c>
      <c r="CK43" s="55">
        <v>39</v>
      </c>
      <c r="CL43" s="56">
        <v>170</v>
      </c>
      <c r="CM43" s="55">
        <v>41</v>
      </c>
      <c r="CN43" s="56">
        <v>170</v>
      </c>
      <c r="CO43" s="55">
        <v>39</v>
      </c>
      <c r="CP43" s="56">
        <v>170</v>
      </c>
      <c r="CQ43" s="55">
        <v>48</v>
      </c>
      <c r="CR43" s="56">
        <v>178</v>
      </c>
      <c r="CS43" s="55">
        <v>39</v>
      </c>
      <c r="CT43" s="56">
        <v>180</v>
      </c>
      <c r="CU43" s="55">
        <v>32</v>
      </c>
      <c r="CV43" s="56">
        <v>173</v>
      </c>
      <c r="CW43" s="55">
        <v>43</v>
      </c>
      <c r="CX43" s="56">
        <v>180</v>
      </c>
      <c r="CY43" s="55">
        <v>44</v>
      </c>
      <c r="CZ43" s="56">
        <v>185</v>
      </c>
      <c r="DA43" s="55">
        <v>58</v>
      </c>
      <c r="DB43" s="56">
        <v>180</v>
      </c>
      <c r="DC43" s="55">
        <v>59</v>
      </c>
      <c r="DD43" s="56">
        <v>190</v>
      </c>
      <c r="DE43" s="55">
        <v>49</v>
      </c>
      <c r="DF43" s="56">
        <v>185</v>
      </c>
      <c r="DG43" s="55">
        <v>42</v>
      </c>
      <c r="DH43" s="56">
        <v>190</v>
      </c>
      <c r="DI43" s="55">
        <v>40</v>
      </c>
      <c r="DJ43" s="56">
        <v>190</v>
      </c>
      <c r="DK43" s="55">
        <v>46</v>
      </c>
      <c r="DL43" s="56">
        <v>183</v>
      </c>
      <c r="DM43" s="55">
        <v>42</v>
      </c>
      <c r="DN43" s="56">
        <v>198</v>
      </c>
      <c r="DO43" s="55">
        <v>46</v>
      </c>
      <c r="DP43" s="56">
        <v>200</v>
      </c>
      <c r="DQ43" s="55">
        <v>46</v>
      </c>
      <c r="DR43" s="56">
        <v>195</v>
      </c>
      <c r="DS43" s="55">
        <v>58</v>
      </c>
      <c r="DT43" s="56">
        <v>200</v>
      </c>
      <c r="DU43" s="55">
        <v>57</v>
      </c>
      <c r="DV43" s="56">
        <v>200</v>
      </c>
      <c r="DW43" s="55">
        <v>46</v>
      </c>
      <c r="DX43" s="56">
        <v>193</v>
      </c>
      <c r="DY43" s="55">
        <v>36</v>
      </c>
      <c r="DZ43" s="56">
        <v>213</v>
      </c>
      <c r="EA43" s="55">
        <v>65</v>
      </c>
      <c r="EB43" s="56">
        <v>195</v>
      </c>
      <c r="EC43" s="55">
        <v>54</v>
      </c>
      <c r="ED43" s="56">
        <v>220</v>
      </c>
      <c r="EE43" s="55">
        <v>54</v>
      </c>
      <c r="EF43" s="56">
        <v>203</v>
      </c>
      <c r="EG43" s="55">
        <v>27</v>
      </c>
      <c r="EH43" s="56">
        <v>220</v>
      </c>
      <c r="EI43" s="55">
        <v>47</v>
      </c>
      <c r="EJ43" s="56">
        <v>200</v>
      </c>
      <c r="EK43" s="55">
        <v>48</v>
      </c>
      <c r="EL43" s="56">
        <v>225</v>
      </c>
      <c r="EM43" s="55">
        <v>37</v>
      </c>
      <c r="EN43" s="56">
        <v>220</v>
      </c>
      <c r="EO43" s="55">
        <v>51</v>
      </c>
      <c r="EP43" s="56">
        <v>210</v>
      </c>
      <c r="EQ43" s="55">
        <v>48</v>
      </c>
      <c r="ER43" s="56">
        <v>213</v>
      </c>
      <c r="ES43" s="55">
        <v>45</v>
      </c>
      <c r="ET43" s="56">
        <v>210</v>
      </c>
      <c r="EU43" s="55">
        <v>40</v>
      </c>
      <c r="EV43" s="56">
        <v>220</v>
      </c>
      <c r="EW43" s="55">
        <v>48</v>
      </c>
      <c r="EX43" s="56">
        <v>218</v>
      </c>
      <c r="EY43" s="55">
        <v>39</v>
      </c>
      <c r="EZ43" s="56">
        <v>240</v>
      </c>
      <c r="FA43" s="55">
        <v>34</v>
      </c>
      <c r="FB43" s="56">
        <v>243</v>
      </c>
      <c r="FC43" s="55">
        <v>47</v>
      </c>
      <c r="FD43" s="56">
        <v>220</v>
      </c>
      <c r="FE43" s="55">
        <v>39</v>
      </c>
      <c r="FF43" s="56">
        <v>230</v>
      </c>
      <c r="FG43" s="55">
        <v>42</v>
      </c>
      <c r="FH43" s="56">
        <v>220</v>
      </c>
      <c r="FI43" s="55">
        <v>36</v>
      </c>
      <c r="FJ43" s="56">
        <v>235</v>
      </c>
      <c r="FK43" s="55">
        <v>41</v>
      </c>
      <c r="FL43" s="56">
        <v>240</v>
      </c>
      <c r="FM43" s="55">
        <v>39</v>
      </c>
      <c r="FN43" s="56">
        <v>240</v>
      </c>
      <c r="FO43" s="55">
        <v>33</v>
      </c>
      <c r="FP43" s="56">
        <v>230</v>
      </c>
      <c r="FQ43" s="55">
        <v>33</v>
      </c>
      <c r="FR43" s="56">
        <v>235</v>
      </c>
      <c r="FS43" s="55">
        <v>37</v>
      </c>
      <c r="FT43" s="56">
        <v>240</v>
      </c>
      <c r="FU43" s="55">
        <v>29</v>
      </c>
      <c r="FV43" s="56">
        <v>250</v>
      </c>
      <c r="FW43" s="55">
        <v>35</v>
      </c>
      <c r="FX43" s="56">
        <v>270</v>
      </c>
      <c r="FY43" s="55">
        <v>19</v>
      </c>
      <c r="FZ43" s="56">
        <v>290</v>
      </c>
      <c r="GA43" s="55">
        <v>29</v>
      </c>
      <c r="GB43" s="56">
        <v>280</v>
      </c>
      <c r="GC43" s="55">
        <v>31</v>
      </c>
      <c r="GD43" s="56">
        <v>280</v>
      </c>
      <c r="GE43" s="55">
        <v>31</v>
      </c>
      <c r="GF43" s="56">
        <v>290</v>
      </c>
      <c r="GG43" s="55">
        <v>31</v>
      </c>
      <c r="GH43" s="56">
        <v>315</v>
      </c>
      <c r="GI43" s="55">
        <v>27</v>
      </c>
      <c r="GJ43" s="56">
        <v>300</v>
      </c>
      <c r="GK43" s="55">
        <v>24</v>
      </c>
      <c r="GL43" s="56">
        <v>310</v>
      </c>
      <c r="GM43" s="55">
        <v>33</v>
      </c>
      <c r="GN43" s="56">
        <v>290</v>
      </c>
      <c r="GO43" s="55">
        <v>38</v>
      </c>
      <c r="GP43" s="56">
        <v>323</v>
      </c>
      <c r="GQ43" s="55">
        <v>25</v>
      </c>
      <c r="GR43" s="56">
        <v>300</v>
      </c>
      <c r="GS43" s="55">
        <v>31</v>
      </c>
      <c r="GT43" s="56">
        <v>320</v>
      </c>
      <c r="GU43" s="55">
        <v>22</v>
      </c>
      <c r="GV43" s="56">
        <v>335</v>
      </c>
      <c r="GW43" s="55">
        <v>27</v>
      </c>
      <c r="GX43" s="56">
        <v>350</v>
      </c>
      <c r="GY43" s="55">
        <v>34</v>
      </c>
      <c r="GZ43" s="56">
        <v>340</v>
      </c>
      <c r="HA43">
        <v>23</v>
      </c>
      <c r="HB43" s="56">
        <v>360</v>
      </c>
      <c r="HC43">
        <v>30</v>
      </c>
      <c r="HD43" s="56">
        <v>370</v>
      </c>
      <c r="HE43">
        <v>19</v>
      </c>
      <c r="HF43" s="56">
        <v>380</v>
      </c>
    </row>
    <row r="44" spans="1:214" x14ac:dyDescent="0.25">
      <c r="A44" s="53"/>
      <c r="B44" s="54" t="s">
        <v>784</v>
      </c>
      <c r="C44" s="55">
        <v>8</v>
      </c>
      <c r="D44" s="56">
        <v>105</v>
      </c>
      <c r="E44" s="55">
        <v>9</v>
      </c>
      <c r="F44" s="56">
        <v>100</v>
      </c>
      <c r="G44" s="55">
        <v>6</v>
      </c>
      <c r="H44" s="56">
        <v>110</v>
      </c>
      <c r="I44" s="55">
        <v>11</v>
      </c>
      <c r="J44" s="56">
        <v>95</v>
      </c>
      <c r="K44" s="55">
        <v>13</v>
      </c>
      <c r="L44" s="56">
        <v>110</v>
      </c>
      <c r="M44" s="55">
        <v>9</v>
      </c>
      <c r="N44" s="56">
        <v>100</v>
      </c>
      <c r="O44" s="55">
        <v>7</v>
      </c>
      <c r="P44" s="56">
        <v>110</v>
      </c>
      <c r="Q44" s="55">
        <v>16</v>
      </c>
      <c r="R44" s="56">
        <v>98</v>
      </c>
      <c r="S44" s="55" t="s">
        <v>2</v>
      </c>
      <c r="T44" s="56" t="s">
        <v>2</v>
      </c>
      <c r="U44" s="55">
        <v>8</v>
      </c>
      <c r="V44" s="56">
        <v>108</v>
      </c>
      <c r="W44" s="55">
        <v>10</v>
      </c>
      <c r="X44" s="56">
        <v>116</v>
      </c>
      <c r="Y44" s="55" t="s">
        <v>2</v>
      </c>
      <c r="Z44" s="56" t="s">
        <v>2</v>
      </c>
      <c r="AA44" s="55">
        <v>7</v>
      </c>
      <c r="AB44" s="56">
        <v>125</v>
      </c>
      <c r="AC44" s="55">
        <v>14</v>
      </c>
      <c r="AD44" s="56">
        <v>100</v>
      </c>
      <c r="AE44" s="55">
        <v>6</v>
      </c>
      <c r="AF44" s="56">
        <v>113</v>
      </c>
      <c r="AG44" s="55">
        <v>11</v>
      </c>
      <c r="AH44" s="56">
        <v>100</v>
      </c>
      <c r="AI44" s="55">
        <v>14</v>
      </c>
      <c r="AJ44" s="56">
        <v>113</v>
      </c>
      <c r="AK44" s="55">
        <v>7</v>
      </c>
      <c r="AL44" s="56">
        <v>120</v>
      </c>
      <c r="AM44" s="55">
        <v>7</v>
      </c>
      <c r="AN44" s="56">
        <v>120</v>
      </c>
      <c r="AO44" s="55">
        <v>11</v>
      </c>
      <c r="AP44" s="56">
        <v>130</v>
      </c>
      <c r="AQ44" s="55">
        <v>9</v>
      </c>
      <c r="AR44" s="56">
        <v>120</v>
      </c>
      <c r="AS44" s="55">
        <v>8</v>
      </c>
      <c r="AT44" s="56">
        <v>133</v>
      </c>
      <c r="AU44" s="55">
        <v>11</v>
      </c>
      <c r="AV44" s="56">
        <v>140</v>
      </c>
      <c r="AW44" s="55">
        <v>8</v>
      </c>
      <c r="AX44" s="56">
        <v>128</v>
      </c>
      <c r="AY44" s="55">
        <v>6</v>
      </c>
      <c r="AZ44" s="56">
        <v>125</v>
      </c>
      <c r="BA44" s="55">
        <v>15</v>
      </c>
      <c r="BB44" s="56">
        <v>135</v>
      </c>
      <c r="BC44" s="55">
        <v>8</v>
      </c>
      <c r="BD44" s="56">
        <v>135</v>
      </c>
      <c r="BE44" s="55" t="s">
        <v>2</v>
      </c>
      <c r="BF44" s="56" t="s">
        <v>2</v>
      </c>
      <c r="BG44" s="55">
        <v>8</v>
      </c>
      <c r="BH44" s="56">
        <v>140</v>
      </c>
      <c r="BI44" s="55" t="s">
        <v>2</v>
      </c>
      <c r="BJ44" s="56" t="s">
        <v>2</v>
      </c>
      <c r="BK44" s="55">
        <v>6</v>
      </c>
      <c r="BL44" s="56">
        <v>155</v>
      </c>
      <c r="BM44" s="55">
        <v>10</v>
      </c>
      <c r="BN44" s="56">
        <v>140</v>
      </c>
      <c r="BO44" s="55">
        <v>6</v>
      </c>
      <c r="BP44" s="56">
        <v>133</v>
      </c>
      <c r="BQ44" s="55">
        <v>9</v>
      </c>
      <c r="BR44" s="56">
        <v>140</v>
      </c>
      <c r="BS44" s="55" t="s">
        <v>2</v>
      </c>
      <c r="BT44" s="56" t="s">
        <v>2</v>
      </c>
      <c r="BU44" s="55">
        <v>12</v>
      </c>
      <c r="BV44" s="56">
        <v>153</v>
      </c>
      <c r="BW44" s="55">
        <v>5</v>
      </c>
      <c r="BX44" s="56">
        <v>135</v>
      </c>
      <c r="BY44" s="55">
        <v>8</v>
      </c>
      <c r="BZ44" s="56">
        <v>163</v>
      </c>
      <c r="CA44" s="55">
        <v>6</v>
      </c>
      <c r="CB44" s="56">
        <v>138</v>
      </c>
      <c r="CC44" s="55">
        <v>7</v>
      </c>
      <c r="CD44" s="56">
        <v>140</v>
      </c>
      <c r="CE44" s="55">
        <v>7</v>
      </c>
      <c r="CF44" s="56">
        <v>170</v>
      </c>
      <c r="CG44" s="55">
        <v>9</v>
      </c>
      <c r="CH44" s="56">
        <v>210</v>
      </c>
      <c r="CI44" s="55" t="s">
        <v>2</v>
      </c>
      <c r="CJ44" s="56" t="s">
        <v>2</v>
      </c>
      <c r="CK44" s="55">
        <v>10</v>
      </c>
      <c r="CL44" s="56">
        <v>153</v>
      </c>
      <c r="CM44" s="55">
        <v>9</v>
      </c>
      <c r="CN44" s="56">
        <v>190</v>
      </c>
      <c r="CO44" s="55">
        <v>8</v>
      </c>
      <c r="CP44" s="56">
        <v>188</v>
      </c>
      <c r="CQ44" s="55">
        <v>13</v>
      </c>
      <c r="CR44" s="56">
        <v>154</v>
      </c>
      <c r="CS44" s="55">
        <v>9</v>
      </c>
      <c r="CT44" s="56">
        <v>180</v>
      </c>
      <c r="CU44" s="55">
        <v>9</v>
      </c>
      <c r="CV44" s="56">
        <v>185</v>
      </c>
      <c r="CW44" s="55">
        <v>9</v>
      </c>
      <c r="CX44" s="56">
        <v>200</v>
      </c>
      <c r="CY44" s="55" t="s">
        <v>2</v>
      </c>
      <c r="CZ44" s="56" t="s">
        <v>2</v>
      </c>
      <c r="DA44" s="55">
        <v>13</v>
      </c>
      <c r="DB44" s="56">
        <v>170</v>
      </c>
      <c r="DC44" s="55" t="s">
        <v>2</v>
      </c>
      <c r="DD44" s="56" t="s">
        <v>2</v>
      </c>
      <c r="DE44" s="55">
        <v>10</v>
      </c>
      <c r="DF44" s="56">
        <v>185</v>
      </c>
      <c r="DG44" s="55">
        <v>11</v>
      </c>
      <c r="DH44" s="56">
        <v>195</v>
      </c>
      <c r="DI44" s="55">
        <v>8</v>
      </c>
      <c r="DJ44" s="56">
        <v>198</v>
      </c>
      <c r="DK44" s="55">
        <v>7</v>
      </c>
      <c r="DL44" s="56">
        <v>185</v>
      </c>
      <c r="DM44" s="55">
        <v>10</v>
      </c>
      <c r="DN44" s="56">
        <v>198</v>
      </c>
      <c r="DO44" s="55">
        <v>5</v>
      </c>
      <c r="DP44" s="56">
        <v>190</v>
      </c>
      <c r="DQ44" s="55">
        <v>10</v>
      </c>
      <c r="DR44" s="56">
        <v>193</v>
      </c>
      <c r="DS44" s="55">
        <v>8</v>
      </c>
      <c r="DT44" s="56">
        <v>223</v>
      </c>
      <c r="DU44" s="55">
        <v>6</v>
      </c>
      <c r="DV44" s="56">
        <v>183</v>
      </c>
      <c r="DW44" s="55">
        <v>6</v>
      </c>
      <c r="DX44" s="56">
        <v>198</v>
      </c>
      <c r="DY44" s="55">
        <v>10</v>
      </c>
      <c r="DZ44" s="56">
        <v>250</v>
      </c>
      <c r="EA44" s="55">
        <v>6</v>
      </c>
      <c r="EB44" s="56">
        <v>220</v>
      </c>
      <c r="EC44" s="55">
        <v>7</v>
      </c>
      <c r="ED44" s="56">
        <v>195</v>
      </c>
      <c r="EE44" s="55" t="s">
        <v>2</v>
      </c>
      <c r="EF44" s="56" t="s">
        <v>2</v>
      </c>
      <c r="EG44" s="55">
        <v>15</v>
      </c>
      <c r="EH44" s="56">
        <v>220</v>
      </c>
      <c r="EI44" s="55">
        <v>5</v>
      </c>
      <c r="EJ44" s="56">
        <v>215</v>
      </c>
      <c r="EK44" s="55">
        <v>7</v>
      </c>
      <c r="EL44" s="56">
        <v>220</v>
      </c>
      <c r="EM44" s="55">
        <v>7</v>
      </c>
      <c r="EN44" s="56">
        <v>235</v>
      </c>
      <c r="EO44" s="55">
        <v>10</v>
      </c>
      <c r="EP44" s="56">
        <v>223</v>
      </c>
      <c r="EQ44" s="55">
        <v>13</v>
      </c>
      <c r="ER44" s="56">
        <v>210</v>
      </c>
      <c r="ES44" s="55">
        <v>8</v>
      </c>
      <c r="ET44" s="56">
        <v>243</v>
      </c>
      <c r="EU44" s="55">
        <v>10</v>
      </c>
      <c r="EV44" s="56">
        <v>240</v>
      </c>
      <c r="EW44" s="55">
        <v>14</v>
      </c>
      <c r="EX44" s="56">
        <v>208</v>
      </c>
      <c r="EY44" s="55">
        <v>12</v>
      </c>
      <c r="EZ44" s="56">
        <v>223</v>
      </c>
      <c r="FA44" s="55">
        <v>8</v>
      </c>
      <c r="FB44" s="56">
        <v>220</v>
      </c>
      <c r="FC44" s="55">
        <v>6</v>
      </c>
      <c r="FD44" s="56">
        <v>300</v>
      </c>
      <c r="FE44" s="55">
        <v>9</v>
      </c>
      <c r="FF44" s="56">
        <v>230</v>
      </c>
      <c r="FG44" s="55" t="s">
        <v>2</v>
      </c>
      <c r="FH44" s="56" t="s">
        <v>2</v>
      </c>
      <c r="FI44" s="55">
        <v>6</v>
      </c>
      <c r="FJ44" s="56">
        <v>240</v>
      </c>
      <c r="FK44" s="55">
        <v>8</v>
      </c>
      <c r="FL44" s="56">
        <v>240</v>
      </c>
      <c r="FM44" s="55" t="s">
        <v>2</v>
      </c>
      <c r="FN44" s="56" t="s">
        <v>2</v>
      </c>
      <c r="FO44" s="55">
        <v>7</v>
      </c>
      <c r="FP44" s="56">
        <v>230</v>
      </c>
      <c r="FQ44" s="55" t="s">
        <v>2</v>
      </c>
      <c r="FR44" s="56" t="s">
        <v>2</v>
      </c>
      <c r="FS44" s="55" t="s">
        <v>2</v>
      </c>
      <c r="FT44" s="56" t="s">
        <v>2</v>
      </c>
      <c r="FU44" s="55">
        <v>6</v>
      </c>
      <c r="FV44" s="56">
        <v>253</v>
      </c>
      <c r="FW44" s="55">
        <v>7</v>
      </c>
      <c r="FX44" s="56">
        <v>270</v>
      </c>
      <c r="FY44" s="55">
        <v>8</v>
      </c>
      <c r="FZ44" s="56">
        <v>313</v>
      </c>
      <c r="GA44" s="55" t="s">
        <v>2</v>
      </c>
      <c r="GB44" s="56" t="s">
        <v>2</v>
      </c>
      <c r="GC44" s="55" t="s">
        <v>2</v>
      </c>
      <c r="GD44" s="56" t="s">
        <v>2</v>
      </c>
      <c r="GE44" s="55">
        <v>8</v>
      </c>
      <c r="GF44" s="56">
        <v>305</v>
      </c>
      <c r="GG44" s="55" t="s">
        <v>2</v>
      </c>
      <c r="GH44" s="56" t="s">
        <v>2</v>
      </c>
      <c r="GI44" s="55">
        <v>6</v>
      </c>
      <c r="GJ44" s="56">
        <v>290</v>
      </c>
      <c r="GK44" s="55">
        <v>5</v>
      </c>
      <c r="GL44" s="56">
        <v>335</v>
      </c>
      <c r="GM44" s="55" t="s">
        <v>2</v>
      </c>
      <c r="GN44" s="56" t="s">
        <v>2</v>
      </c>
      <c r="GO44" s="55">
        <v>8</v>
      </c>
      <c r="GP44" s="56">
        <v>330</v>
      </c>
      <c r="GQ44" s="55">
        <v>9</v>
      </c>
      <c r="GR44" s="56">
        <v>340</v>
      </c>
      <c r="GS44" s="55">
        <v>5</v>
      </c>
      <c r="GT44" s="56">
        <v>320</v>
      </c>
      <c r="GU44" s="55">
        <v>8</v>
      </c>
      <c r="GV44" s="56">
        <v>315</v>
      </c>
      <c r="GW44" s="55" t="s">
        <v>2</v>
      </c>
      <c r="GX44" s="56" t="s">
        <v>2</v>
      </c>
      <c r="GY44" s="55">
        <v>6</v>
      </c>
      <c r="GZ44" s="56">
        <v>315</v>
      </c>
      <c r="HA44">
        <v>9</v>
      </c>
      <c r="HB44" s="56">
        <v>330</v>
      </c>
      <c r="HC44">
        <v>8</v>
      </c>
      <c r="HD44" s="56">
        <v>325</v>
      </c>
      <c r="HE44">
        <v>6</v>
      </c>
      <c r="HF44" s="56">
        <v>348</v>
      </c>
    </row>
    <row r="45" spans="1:214" x14ac:dyDescent="0.25">
      <c r="A45" s="53"/>
      <c r="B45" s="54" t="s">
        <v>785</v>
      </c>
      <c r="C45" s="55">
        <v>15</v>
      </c>
      <c r="D45" s="56">
        <v>100</v>
      </c>
      <c r="E45" s="55">
        <v>13</v>
      </c>
      <c r="F45" s="56">
        <v>100</v>
      </c>
      <c r="G45" s="55">
        <v>10</v>
      </c>
      <c r="H45" s="56">
        <v>90</v>
      </c>
      <c r="I45" s="55">
        <v>11</v>
      </c>
      <c r="J45" s="56">
        <v>100</v>
      </c>
      <c r="K45" s="55">
        <v>8</v>
      </c>
      <c r="L45" s="56">
        <v>95</v>
      </c>
      <c r="M45" s="55">
        <v>14</v>
      </c>
      <c r="N45" s="56">
        <v>105</v>
      </c>
      <c r="O45" s="55">
        <v>7</v>
      </c>
      <c r="P45" s="56">
        <v>95</v>
      </c>
      <c r="Q45" s="55">
        <v>8</v>
      </c>
      <c r="R45" s="56">
        <v>95</v>
      </c>
      <c r="S45" s="55">
        <v>14</v>
      </c>
      <c r="T45" s="56">
        <v>101</v>
      </c>
      <c r="U45" s="55">
        <v>8</v>
      </c>
      <c r="V45" s="56">
        <v>100</v>
      </c>
      <c r="W45" s="55" t="s">
        <v>2</v>
      </c>
      <c r="X45" s="56" t="s">
        <v>2</v>
      </c>
      <c r="Y45" s="55">
        <v>9</v>
      </c>
      <c r="Z45" s="56">
        <v>100</v>
      </c>
      <c r="AA45" s="55">
        <v>8</v>
      </c>
      <c r="AB45" s="56">
        <v>103</v>
      </c>
      <c r="AC45" s="55">
        <v>10</v>
      </c>
      <c r="AD45" s="56">
        <v>123</v>
      </c>
      <c r="AE45" s="55" t="s">
        <v>2</v>
      </c>
      <c r="AF45" s="56" t="s">
        <v>2</v>
      </c>
      <c r="AG45" s="55" t="s">
        <v>2</v>
      </c>
      <c r="AH45" s="56" t="s">
        <v>2</v>
      </c>
      <c r="AI45" s="55">
        <v>6</v>
      </c>
      <c r="AJ45" s="56">
        <v>130</v>
      </c>
      <c r="AK45" s="55">
        <v>8</v>
      </c>
      <c r="AL45" s="56">
        <v>110</v>
      </c>
      <c r="AM45" s="55">
        <v>7</v>
      </c>
      <c r="AN45" s="56">
        <v>135</v>
      </c>
      <c r="AO45" s="55">
        <v>7</v>
      </c>
      <c r="AP45" s="56">
        <v>115</v>
      </c>
      <c r="AQ45" s="55" t="s">
        <v>2</v>
      </c>
      <c r="AR45" s="56" t="s">
        <v>2</v>
      </c>
      <c r="AS45" s="55">
        <v>8</v>
      </c>
      <c r="AT45" s="56">
        <v>123</v>
      </c>
      <c r="AU45" s="55">
        <v>6</v>
      </c>
      <c r="AV45" s="56">
        <v>115</v>
      </c>
      <c r="AW45" s="55">
        <v>8</v>
      </c>
      <c r="AX45" s="56">
        <v>118</v>
      </c>
      <c r="AY45" s="55">
        <v>5</v>
      </c>
      <c r="AZ45" s="56">
        <v>160</v>
      </c>
      <c r="BA45" s="55">
        <v>6</v>
      </c>
      <c r="BB45" s="56">
        <v>120</v>
      </c>
      <c r="BC45" s="55">
        <v>7</v>
      </c>
      <c r="BD45" s="56">
        <v>160</v>
      </c>
      <c r="BE45" s="55">
        <v>11</v>
      </c>
      <c r="BF45" s="56">
        <v>135</v>
      </c>
      <c r="BG45" s="55">
        <v>10</v>
      </c>
      <c r="BH45" s="56">
        <v>125</v>
      </c>
      <c r="BI45" s="55" t="s">
        <v>2</v>
      </c>
      <c r="BJ45" s="56" t="s">
        <v>2</v>
      </c>
      <c r="BK45" s="55" t="s">
        <v>2</v>
      </c>
      <c r="BL45" s="56" t="s">
        <v>2</v>
      </c>
      <c r="BM45" s="55">
        <v>10</v>
      </c>
      <c r="BN45" s="56">
        <v>143</v>
      </c>
      <c r="BO45" s="55">
        <v>8</v>
      </c>
      <c r="BP45" s="56">
        <v>165</v>
      </c>
      <c r="BQ45" s="55">
        <v>7</v>
      </c>
      <c r="BR45" s="56">
        <v>130</v>
      </c>
      <c r="BS45" s="55">
        <v>6</v>
      </c>
      <c r="BT45" s="56">
        <v>168</v>
      </c>
      <c r="BU45" s="55">
        <v>9</v>
      </c>
      <c r="BV45" s="56">
        <v>145</v>
      </c>
      <c r="BW45" s="55" t="s">
        <v>2</v>
      </c>
      <c r="BX45" s="56" t="s">
        <v>2</v>
      </c>
      <c r="BY45" s="55" t="s">
        <v>2</v>
      </c>
      <c r="BZ45" s="56" t="s">
        <v>2</v>
      </c>
      <c r="CA45" s="55">
        <v>6</v>
      </c>
      <c r="CB45" s="56">
        <v>168</v>
      </c>
      <c r="CC45" s="55" t="s">
        <v>2</v>
      </c>
      <c r="CD45" s="56" t="s">
        <v>2</v>
      </c>
      <c r="CE45" s="55" t="s">
        <v>2</v>
      </c>
      <c r="CF45" s="56" t="s">
        <v>2</v>
      </c>
      <c r="CG45" s="55" t="s">
        <v>2</v>
      </c>
      <c r="CH45" s="56" t="s">
        <v>2</v>
      </c>
      <c r="CI45" s="55">
        <v>8</v>
      </c>
      <c r="CJ45" s="56">
        <v>165</v>
      </c>
      <c r="CK45" s="55">
        <v>6</v>
      </c>
      <c r="CL45" s="56">
        <v>168</v>
      </c>
      <c r="CM45" s="55" t="s">
        <v>2</v>
      </c>
      <c r="CN45" s="56" t="s">
        <v>2</v>
      </c>
      <c r="CO45" s="55">
        <v>6</v>
      </c>
      <c r="CP45" s="56">
        <v>195</v>
      </c>
      <c r="CQ45" s="55">
        <v>5</v>
      </c>
      <c r="CR45" s="56">
        <v>220</v>
      </c>
      <c r="CS45" s="55">
        <v>8</v>
      </c>
      <c r="CT45" s="56">
        <v>180</v>
      </c>
      <c r="CU45" s="55">
        <v>8</v>
      </c>
      <c r="CV45" s="56">
        <v>200</v>
      </c>
      <c r="CW45" s="55">
        <v>7</v>
      </c>
      <c r="CX45" s="56">
        <v>230</v>
      </c>
      <c r="CY45" s="55" t="s">
        <v>2</v>
      </c>
      <c r="CZ45" s="56" t="s">
        <v>2</v>
      </c>
      <c r="DA45" s="55">
        <v>7</v>
      </c>
      <c r="DB45" s="56">
        <v>180</v>
      </c>
      <c r="DC45" s="55">
        <v>6</v>
      </c>
      <c r="DD45" s="56">
        <v>183</v>
      </c>
      <c r="DE45" s="55">
        <v>6</v>
      </c>
      <c r="DF45" s="56">
        <v>195</v>
      </c>
      <c r="DG45" s="55">
        <v>5</v>
      </c>
      <c r="DH45" s="56">
        <v>220</v>
      </c>
      <c r="DI45" s="55">
        <v>9</v>
      </c>
      <c r="DJ45" s="56">
        <v>230</v>
      </c>
      <c r="DK45" s="55">
        <v>7</v>
      </c>
      <c r="DL45" s="56">
        <v>190</v>
      </c>
      <c r="DM45" s="55">
        <v>5</v>
      </c>
      <c r="DN45" s="56">
        <v>185</v>
      </c>
      <c r="DO45" s="55">
        <v>8</v>
      </c>
      <c r="DP45" s="56">
        <v>185</v>
      </c>
      <c r="DQ45" s="55">
        <v>10</v>
      </c>
      <c r="DR45" s="56">
        <v>210</v>
      </c>
      <c r="DS45" s="55" t="s">
        <v>2</v>
      </c>
      <c r="DT45" s="56" t="s">
        <v>2</v>
      </c>
      <c r="DU45" s="55">
        <v>7</v>
      </c>
      <c r="DV45" s="56">
        <v>220</v>
      </c>
      <c r="DW45" s="55">
        <v>10</v>
      </c>
      <c r="DX45" s="56">
        <v>245</v>
      </c>
      <c r="DY45" s="55">
        <v>7</v>
      </c>
      <c r="DZ45" s="56">
        <v>200</v>
      </c>
      <c r="EA45" s="55">
        <v>7</v>
      </c>
      <c r="EB45" s="56">
        <v>230</v>
      </c>
      <c r="EC45" s="55">
        <v>10</v>
      </c>
      <c r="ED45" s="56">
        <v>220</v>
      </c>
      <c r="EE45" s="55" t="s">
        <v>2</v>
      </c>
      <c r="EF45" s="56" t="s">
        <v>2</v>
      </c>
      <c r="EG45" s="55">
        <v>11</v>
      </c>
      <c r="EH45" s="56">
        <v>220</v>
      </c>
      <c r="EI45" s="55">
        <v>6</v>
      </c>
      <c r="EJ45" s="56">
        <v>210</v>
      </c>
      <c r="EK45" s="55">
        <v>8</v>
      </c>
      <c r="EL45" s="56">
        <v>228</v>
      </c>
      <c r="EM45" s="55">
        <v>6</v>
      </c>
      <c r="EN45" s="56">
        <v>230</v>
      </c>
      <c r="EO45" s="55">
        <v>6</v>
      </c>
      <c r="EP45" s="56">
        <v>203</v>
      </c>
      <c r="EQ45" s="55">
        <v>8</v>
      </c>
      <c r="ER45" s="56">
        <v>220</v>
      </c>
      <c r="ES45" s="55">
        <v>6</v>
      </c>
      <c r="ET45" s="56">
        <v>190</v>
      </c>
      <c r="EU45" s="55">
        <v>15</v>
      </c>
      <c r="EV45" s="56">
        <v>240</v>
      </c>
      <c r="EW45" s="55">
        <v>14</v>
      </c>
      <c r="EX45" s="56">
        <v>243</v>
      </c>
      <c r="EY45" s="55">
        <v>5</v>
      </c>
      <c r="EZ45" s="56">
        <v>195</v>
      </c>
      <c r="FA45" s="55">
        <v>6</v>
      </c>
      <c r="FB45" s="56">
        <v>225</v>
      </c>
      <c r="FC45" s="55">
        <v>6</v>
      </c>
      <c r="FD45" s="56">
        <v>223</v>
      </c>
      <c r="FE45" s="55">
        <v>8</v>
      </c>
      <c r="FF45" s="56">
        <v>225</v>
      </c>
      <c r="FG45" s="55">
        <v>8</v>
      </c>
      <c r="FH45" s="56">
        <v>245</v>
      </c>
      <c r="FI45" s="55">
        <v>12</v>
      </c>
      <c r="FJ45" s="56">
        <v>255</v>
      </c>
      <c r="FK45" s="55">
        <v>6</v>
      </c>
      <c r="FL45" s="56">
        <v>260</v>
      </c>
      <c r="FM45" s="55">
        <v>12</v>
      </c>
      <c r="FN45" s="56">
        <v>245</v>
      </c>
      <c r="FO45" s="55">
        <v>13</v>
      </c>
      <c r="FP45" s="56">
        <v>250</v>
      </c>
      <c r="FQ45" s="55" t="s">
        <v>2</v>
      </c>
      <c r="FR45" s="56" t="s">
        <v>2</v>
      </c>
      <c r="FS45" s="55">
        <v>5</v>
      </c>
      <c r="FT45" s="56">
        <v>250</v>
      </c>
      <c r="FU45" s="55">
        <v>7</v>
      </c>
      <c r="FV45" s="56">
        <v>280</v>
      </c>
      <c r="FW45" s="55">
        <v>8</v>
      </c>
      <c r="FX45" s="56">
        <v>275</v>
      </c>
      <c r="FY45" s="55">
        <v>6</v>
      </c>
      <c r="FZ45" s="56">
        <v>283</v>
      </c>
      <c r="GA45" s="55">
        <v>6</v>
      </c>
      <c r="GB45" s="56">
        <v>278</v>
      </c>
      <c r="GC45" s="55">
        <v>7</v>
      </c>
      <c r="GD45" s="56">
        <v>300</v>
      </c>
      <c r="GE45" s="55" t="s">
        <v>2</v>
      </c>
      <c r="GF45" s="56" t="s">
        <v>2</v>
      </c>
      <c r="GG45" s="55">
        <v>6</v>
      </c>
      <c r="GH45" s="56">
        <v>318</v>
      </c>
      <c r="GI45" s="55">
        <v>7</v>
      </c>
      <c r="GJ45" s="56">
        <v>320</v>
      </c>
      <c r="GK45" s="55">
        <v>8</v>
      </c>
      <c r="GL45" s="56">
        <v>310</v>
      </c>
      <c r="GM45" s="55">
        <v>8</v>
      </c>
      <c r="GN45" s="56">
        <v>330</v>
      </c>
      <c r="GO45" s="55" t="s">
        <v>2</v>
      </c>
      <c r="GP45" s="56" t="s">
        <v>2</v>
      </c>
      <c r="GQ45" s="55">
        <v>7</v>
      </c>
      <c r="GR45" s="56">
        <v>350</v>
      </c>
      <c r="GS45" s="55">
        <v>6</v>
      </c>
      <c r="GT45" s="56">
        <v>325</v>
      </c>
      <c r="GU45" s="55" t="s">
        <v>2</v>
      </c>
      <c r="GV45" s="56" t="s">
        <v>2</v>
      </c>
      <c r="GW45" s="55">
        <v>7</v>
      </c>
      <c r="GX45" s="56">
        <v>340</v>
      </c>
      <c r="GY45" s="55">
        <v>5</v>
      </c>
      <c r="GZ45" s="56">
        <v>360</v>
      </c>
      <c r="HA45" t="s">
        <v>2</v>
      </c>
      <c r="HB45" s="56" t="s">
        <v>2</v>
      </c>
      <c r="HC45">
        <v>6</v>
      </c>
      <c r="HD45" s="56">
        <v>370</v>
      </c>
      <c r="HE45" t="s">
        <v>2</v>
      </c>
      <c r="HF45" s="56" t="s">
        <v>2</v>
      </c>
    </row>
    <row r="46" spans="1:214" x14ac:dyDescent="0.25">
      <c r="A46" s="53"/>
      <c r="B46" s="54" t="s">
        <v>786</v>
      </c>
      <c r="C46" s="55" t="s">
        <v>2</v>
      </c>
      <c r="D46" s="56" t="s">
        <v>2</v>
      </c>
      <c r="E46" s="55" t="s">
        <v>2</v>
      </c>
      <c r="F46" s="56" t="s">
        <v>2</v>
      </c>
      <c r="G46" s="55" t="s">
        <v>2</v>
      </c>
      <c r="H46" s="56" t="s">
        <v>2</v>
      </c>
      <c r="I46" s="55" t="s">
        <v>2</v>
      </c>
      <c r="J46" s="56" t="s">
        <v>2</v>
      </c>
      <c r="K46" s="55" t="s">
        <v>2</v>
      </c>
      <c r="L46" s="56" t="s">
        <v>2</v>
      </c>
      <c r="M46" s="55" t="s">
        <v>2</v>
      </c>
      <c r="N46" s="56" t="s">
        <v>2</v>
      </c>
      <c r="O46" s="55" t="s">
        <v>2</v>
      </c>
      <c r="P46" s="56" t="s">
        <v>2</v>
      </c>
      <c r="Q46" s="55" t="s">
        <v>2</v>
      </c>
      <c r="R46" s="56" t="s">
        <v>2</v>
      </c>
      <c r="S46" s="55" t="s">
        <v>2</v>
      </c>
      <c r="T46" s="56" t="s">
        <v>2</v>
      </c>
      <c r="U46" s="55" t="s">
        <v>2</v>
      </c>
      <c r="V46" s="56" t="s">
        <v>2</v>
      </c>
      <c r="W46" s="55" t="s">
        <v>2</v>
      </c>
      <c r="X46" s="56" t="s">
        <v>2</v>
      </c>
      <c r="Y46" s="55" t="s">
        <v>2</v>
      </c>
      <c r="Z46" s="56" t="s">
        <v>2</v>
      </c>
      <c r="AA46" s="55" t="s">
        <v>2</v>
      </c>
      <c r="AB46" s="56" t="s">
        <v>2</v>
      </c>
      <c r="AC46" s="55" t="s">
        <v>2</v>
      </c>
      <c r="AD46" s="56" t="s">
        <v>2</v>
      </c>
      <c r="AE46" s="55" t="s">
        <v>2</v>
      </c>
      <c r="AF46" s="56" t="s">
        <v>2</v>
      </c>
      <c r="AG46" s="55" t="s">
        <v>2</v>
      </c>
      <c r="AH46" s="56" t="s">
        <v>2</v>
      </c>
      <c r="AI46" s="55" t="s">
        <v>2</v>
      </c>
      <c r="AJ46" s="56" t="s">
        <v>2</v>
      </c>
      <c r="AK46" s="55" t="s">
        <v>2</v>
      </c>
      <c r="AL46" s="56" t="s">
        <v>2</v>
      </c>
      <c r="AM46" s="55" t="s">
        <v>2</v>
      </c>
      <c r="AN46" s="56" t="s">
        <v>2</v>
      </c>
      <c r="AO46" s="55" t="s">
        <v>2</v>
      </c>
      <c r="AP46" s="56" t="s">
        <v>2</v>
      </c>
      <c r="AQ46" s="55" t="s">
        <v>2</v>
      </c>
      <c r="AR46" s="56" t="s">
        <v>2</v>
      </c>
      <c r="AS46" s="55" t="s">
        <v>2</v>
      </c>
      <c r="AT46" s="56" t="s">
        <v>2</v>
      </c>
      <c r="AU46" s="55" t="s">
        <v>2</v>
      </c>
      <c r="AV46" s="56" t="s">
        <v>2</v>
      </c>
      <c r="AW46" s="55" t="s">
        <v>2</v>
      </c>
      <c r="AX46" s="56" t="s">
        <v>2</v>
      </c>
      <c r="AY46" s="55" t="s">
        <v>2</v>
      </c>
      <c r="AZ46" s="56" t="s">
        <v>2</v>
      </c>
      <c r="BA46" s="55" t="s">
        <v>2</v>
      </c>
      <c r="BB46" s="56" t="s">
        <v>2</v>
      </c>
      <c r="BC46" s="55" t="s">
        <v>2</v>
      </c>
      <c r="BD46" s="56" t="s">
        <v>2</v>
      </c>
      <c r="BE46" s="55" t="s">
        <v>2</v>
      </c>
      <c r="BF46" s="56" t="s">
        <v>2</v>
      </c>
      <c r="BG46" s="55" t="s">
        <v>2</v>
      </c>
      <c r="BH46" s="56" t="s">
        <v>2</v>
      </c>
      <c r="BI46" s="55" t="s">
        <v>2</v>
      </c>
      <c r="BJ46" s="56" t="s">
        <v>2</v>
      </c>
      <c r="BK46" s="55" t="s">
        <v>2</v>
      </c>
      <c r="BL46" s="56" t="s">
        <v>2</v>
      </c>
      <c r="BM46" s="55" t="s">
        <v>2</v>
      </c>
      <c r="BN46" s="56" t="s">
        <v>2</v>
      </c>
      <c r="BO46" s="55" t="s">
        <v>2</v>
      </c>
      <c r="BP46" s="56" t="s">
        <v>2</v>
      </c>
      <c r="BQ46" s="55" t="s">
        <v>2</v>
      </c>
      <c r="BR46" s="56" t="s">
        <v>2</v>
      </c>
      <c r="BS46" s="55" t="s">
        <v>2</v>
      </c>
      <c r="BT46" s="56" t="s">
        <v>2</v>
      </c>
      <c r="BU46" s="55" t="s">
        <v>2</v>
      </c>
      <c r="BV46" s="56" t="s">
        <v>2</v>
      </c>
      <c r="BW46" s="55" t="s">
        <v>2</v>
      </c>
      <c r="BX46" s="56" t="s">
        <v>2</v>
      </c>
      <c r="BY46" s="55" t="s">
        <v>2</v>
      </c>
      <c r="BZ46" s="56" t="s">
        <v>2</v>
      </c>
      <c r="CA46" s="55" t="s">
        <v>2</v>
      </c>
      <c r="CB46" s="56" t="s">
        <v>2</v>
      </c>
      <c r="CC46" s="55" t="s">
        <v>2</v>
      </c>
      <c r="CD46" s="56" t="s">
        <v>2</v>
      </c>
      <c r="CE46" s="55" t="s">
        <v>2</v>
      </c>
      <c r="CF46" s="56" t="s">
        <v>2</v>
      </c>
      <c r="CG46" s="55" t="s">
        <v>2</v>
      </c>
      <c r="CH46" s="56" t="s">
        <v>2</v>
      </c>
      <c r="CI46" s="55" t="s">
        <v>2</v>
      </c>
      <c r="CJ46" s="56" t="s">
        <v>2</v>
      </c>
      <c r="CK46" s="55" t="s">
        <v>2</v>
      </c>
      <c r="CL46" s="56" t="s">
        <v>2</v>
      </c>
      <c r="CM46" s="55" t="s">
        <v>2</v>
      </c>
      <c r="CN46" s="56" t="s">
        <v>2</v>
      </c>
      <c r="CO46" s="55" t="s">
        <v>2</v>
      </c>
      <c r="CP46" s="56" t="s">
        <v>2</v>
      </c>
      <c r="CQ46" s="55" t="s">
        <v>2</v>
      </c>
      <c r="CR46" s="56" t="s">
        <v>2</v>
      </c>
      <c r="CS46" s="55" t="s">
        <v>2</v>
      </c>
      <c r="CT46" s="56" t="s">
        <v>2</v>
      </c>
      <c r="CU46" s="55" t="s">
        <v>2</v>
      </c>
      <c r="CV46" s="56" t="s">
        <v>2</v>
      </c>
      <c r="CW46" s="55" t="s">
        <v>2</v>
      </c>
      <c r="CX46" s="56" t="s">
        <v>2</v>
      </c>
      <c r="CY46" s="55" t="s">
        <v>2</v>
      </c>
      <c r="CZ46" s="56" t="s">
        <v>2</v>
      </c>
      <c r="DA46" s="55" t="s">
        <v>2</v>
      </c>
      <c r="DB46" s="56" t="s">
        <v>2</v>
      </c>
      <c r="DC46" s="55" t="s">
        <v>2</v>
      </c>
      <c r="DD46" s="56" t="s">
        <v>2</v>
      </c>
      <c r="DE46" s="55" t="s">
        <v>2</v>
      </c>
      <c r="DF46" s="56" t="s">
        <v>2</v>
      </c>
      <c r="DG46" s="55" t="s">
        <v>2</v>
      </c>
      <c r="DH46" s="56" t="s">
        <v>2</v>
      </c>
      <c r="DI46" s="55" t="s">
        <v>2</v>
      </c>
      <c r="DJ46" s="56" t="s">
        <v>2</v>
      </c>
      <c r="DK46" s="55" t="s">
        <v>2</v>
      </c>
      <c r="DL46" s="56" t="s">
        <v>2</v>
      </c>
      <c r="DM46" s="55" t="s">
        <v>2</v>
      </c>
      <c r="DN46" s="56" t="s">
        <v>2</v>
      </c>
      <c r="DO46" s="55" t="s">
        <v>2</v>
      </c>
      <c r="DP46" s="56" t="s">
        <v>2</v>
      </c>
      <c r="DQ46" s="55" t="s">
        <v>2</v>
      </c>
      <c r="DR46" s="56" t="s">
        <v>2</v>
      </c>
      <c r="DS46" s="55" t="s">
        <v>2</v>
      </c>
      <c r="DT46" s="56" t="s">
        <v>2</v>
      </c>
      <c r="DU46" s="55" t="s">
        <v>2</v>
      </c>
      <c r="DV46" s="56" t="s">
        <v>2</v>
      </c>
      <c r="DW46" s="55" t="s">
        <v>2</v>
      </c>
      <c r="DX46" s="56" t="s">
        <v>2</v>
      </c>
      <c r="DY46" s="55" t="s">
        <v>2</v>
      </c>
      <c r="DZ46" s="56" t="s">
        <v>2</v>
      </c>
      <c r="EA46" s="55" t="s">
        <v>2</v>
      </c>
      <c r="EB46" s="56" t="s">
        <v>2</v>
      </c>
      <c r="EC46" s="55" t="s">
        <v>2</v>
      </c>
      <c r="ED46" s="56" t="s">
        <v>2</v>
      </c>
      <c r="EE46" s="55" t="s">
        <v>2</v>
      </c>
      <c r="EF46" s="56" t="s">
        <v>2</v>
      </c>
      <c r="EG46" s="55" t="s">
        <v>2</v>
      </c>
      <c r="EH46" s="56" t="s">
        <v>2</v>
      </c>
      <c r="EI46" s="55" t="s">
        <v>2</v>
      </c>
      <c r="EJ46" s="56" t="s">
        <v>2</v>
      </c>
      <c r="EK46" s="55" t="s">
        <v>2</v>
      </c>
      <c r="EL46" s="56" t="s">
        <v>2</v>
      </c>
      <c r="EM46" s="55" t="s">
        <v>2</v>
      </c>
      <c r="EN46" s="56" t="s">
        <v>2</v>
      </c>
      <c r="EO46" s="55" t="s">
        <v>2</v>
      </c>
      <c r="EP46" s="56" t="s">
        <v>2</v>
      </c>
      <c r="EQ46" s="55">
        <v>5</v>
      </c>
      <c r="ER46" s="56">
        <v>195</v>
      </c>
      <c r="ES46" s="55" t="s">
        <v>2</v>
      </c>
      <c r="ET46" s="56" t="s">
        <v>2</v>
      </c>
      <c r="EU46" s="55" t="s">
        <v>2</v>
      </c>
      <c r="EV46" s="56" t="s">
        <v>2</v>
      </c>
      <c r="EW46" s="55" t="s">
        <v>2</v>
      </c>
      <c r="EX46" s="56" t="s">
        <v>2</v>
      </c>
      <c r="EY46" s="55" t="s">
        <v>2</v>
      </c>
      <c r="EZ46" s="56" t="s">
        <v>2</v>
      </c>
      <c r="FA46" s="55" t="s">
        <v>2</v>
      </c>
      <c r="FB46" s="56" t="s">
        <v>2</v>
      </c>
      <c r="FC46" s="55">
        <v>6</v>
      </c>
      <c r="FD46" s="56">
        <v>138</v>
      </c>
      <c r="FE46" s="55" t="s">
        <v>2</v>
      </c>
      <c r="FF46" s="56" t="s">
        <v>2</v>
      </c>
      <c r="FG46" s="55" t="s">
        <v>2</v>
      </c>
      <c r="FH46" s="56" t="s">
        <v>2</v>
      </c>
      <c r="FI46" s="55" t="s">
        <v>2</v>
      </c>
      <c r="FJ46" s="56" t="s">
        <v>2</v>
      </c>
      <c r="FK46" s="55" t="s">
        <v>2</v>
      </c>
      <c r="FL46" s="56" t="s">
        <v>2</v>
      </c>
      <c r="FM46" s="55" t="s">
        <v>2</v>
      </c>
      <c r="FN46" s="56" t="s">
        <v>2</v>
      </c>
      <c r="FO46" s="55" t="s">
        <v>2</v>
      </c>
      <c r="FP46" s="56" t="s">
        <v>2</v>
      </c>
      <c r="FQ46" s="55" t="s">
        <v>2</v>
      </c>
      <c r="FR46" s="56" t="s">
        <v>2</v>
      </c>
      <c r="FS46" s="55" t="s">
        <v>2</v>
      </c>
      <c r="FT46" s="56" t="s">
        <v>2</v>
      </c>
      <c r="FU46" s="55" t="s">
        <v>2</v>
      </c>
      <c r="FV46" s="56" t="s">
        <v>2</v>
      </c>
      <c r="FW46" s="55" t="s">
        <v>2</v>
      </c>
      <c r="FX46" s="56" t="s">
        <v>2</v>
      </c>
      <c r="FY46" s="55" t="s">
        <v>2</v>
      </c>
      <c r="FZ46" s="56" t="s">
        <v>2</v>
      </c>
      <c r="GA46" s="55" t="s">
        <v>2</v>
      </c>
      <c r="GB46" s="56" t="s">
        <v>2</v>
      </c>
      <c r="GC46" s="55" t="s">
        <v>2</v>
      </c>
      <c r="GD46" s="56" t="s">
        <v>2</v>
      </c>
      <c r="GE46" s="55" t="s">
        <v>2</v>
      </c>
      <c r="GF46" s="56" t="s">
        <v>2</v>
      </c>
      <c r="GG46" s="55" t="s">
        <v>2</v>
      </c>
      <c r="GH46" s="56" t="s">
        <v>2</v>
      </c>
      <c r="GI46" s="55" t="s">
        <v>2</v>
      </c>
      <c r="GJ46" s="56" t="s">
        <v>2</v>
      </c>
      <c r="GK46" s="55" t="s">
        <v>2</v>
      </c>
      <c r="GL46" s="56" t="s">
        <v>2</v>
      </c>
      <c r="GM46" s="55" t="s">
        <v>2</v>
      </c>
      <c r="GN46" s="56" t="s">
        <v>2</v>
      </c>
      <c r="GO46" s="55" t="s">
        <v>2</v>
      </c>
      <c r="GP46" s="56" t="s">
        <v>2</v>
      </c>
      <c r="GQ46" s="55" t="s">
        <v>2</v>
      </c>
      <c r="GR46" s="56" t="s">
        <v>2</v>
      </c>
      <c r="GS46" s="55" t="s">
        <v>2</v>
      </c>
      <c r="GT46" s="56" t="s">
        <v>2</v>
      </c>
      <c r="GU46" s="55" t="s">
        <v>2</v>
      </c>
      <c r="GV46" s="56" t="s">
        <v>2</v>
      </c>
      <c r="GW46" s="55" t="s">
        <v>2</v>
      </c>
      <c r="GX46" s="56" t="s">
        <v>2</v>
      </c>
      <c r="GY46" s="55" t="s">
        <v>2</v>
      </c>
      <c r="GZ46" s="56" t="s">
        <v>2</v>
      </c>
      <c r="HA46" t="s">
        <v>2</v>
      </c>
      <c r="HB46" s="56" t="s">
        <v>2</v>
      </c>
      <c r="HC46" t="s">
        <v>2</v>
      </c>
      <c r="HD46" s="56" t="s">
        <v>2</v>
      </c>
      <c r="HE46" t="s">
        <v>2</v>
      </c>
      <c r="HF46" s="56" t="s">
        <v>2</v>
      </c>
    </row>
    <row r="47" spans="1:214" x14ac:dyDescent="0.25">
      <c r="A47" s="53"/>
      <c r="B47" s="54" t="s">
        <v>787</v>
      </c>
      <c r="C47" s="55">
        <v>70</v>
      </c>
      <c r="D47" s="56">
        <v>115</v>
      </c>
      <c r="E47" s="55">
        <v>58</v>
      </c>
      <c r="F47" s="56">
        <v>115</v>
      </c>
      <c r="G47" s="55">
        <v>49</v>
      </c>
      <c r="H47" s="56">
        <v>115</v>
      </c>
      <c r="I47" s="55">
        <v>65</v>
      </c>
      <c r="J47" s="56">
        <v>115</v>
      </c>
      <c r="K47" s="55">
        <v>57</v>
      </c>
      <c r="L47" s="56">
        <v>110</v>
      </c>
      <c r="M47" s="55">
        <v>43</v>
      </c>
      <c r="N47" s="56">
        <v>115</v>
      </c>
      <c r="O47" s="55">
        <v>45</v>
      </c>
      <c r="P47" s="56">
        <v>120</v>
      </c>
      <c r="Q47" s="55">
        <v>60</v>
      </c>
      <c r="R47" s="56">
        <v>118</v>
      </c>
      <c r="S47" s="55">
        <v>42</v>
      </c>
      <c r="T47" s="56">
        <v>110</v>
      </c>
      <c r="U47" s="55">
        <v>52</v>
      </c>
      <c r="V47" s="56">
        <v>115</v>
      </c>
      <c r="W47" s="55">
        <v>53</v>
      </c>
      <c r="X47" s="56">
        <v>120</v>
      </c>
      <c r="Y47" s="55">
        <v>66</v>
      </c>
      <c r="Z47" s="56">
        <v>120</v>
      </c>
      <c r="AA47" s="55">
        <v>61</v>
      </c>
      <c r="AB47" s="56">
        <v>120</v>
      </c>
      <c r="AC47" s="55">
        <v>50</v>
      </c>
      <c r="AD47" s="56">
        <v>120</v>
      </c>
      <c r="AE47" s="55">
        <v>43</v>
      </c>
      <c r="AF47" s="56">
        <v>115</v>
      </c>
      <c r="AG47" s="55">
        <v>67</v>
      </c>
      <c r="AH47" s="56">
        <v>120</v>
      </c>
      <c r="AI47" s="55">
        <v>53</v>
      </c>
      <c r="AJ47" s="56">
        <v>120</v>
      </c>
      <c r="AK47" s="55">
        <v>53</v>
      </c>
      <c r="AL47" s="56">
        <v>130</v>
      </c>
      <c r="AM47" s="55">
        <v>55</v>
      </c>
      <c r="AN47" s="56">
        <v>125</v>
      </c>
      <c r="AO47" s="55">
        <v>60</v>
      </c>
      <c r="AP47" s="56">
        <v>125</v>
      </c>
      <c r="AQ47" s="55">
        <v>45</v>
      </c>
      <c r="AR47" s="56">
        <v>130</v>
      </c>
      <c r="AS47" s="55">
        <v>45</v>
      </c>
      <c r="AT47" s="56">
        <v>130</v>
      </c>
      <c r="AU47" s="55">
        <v>51</v>
      </c>
      <c r="AV47" s="56">
        <v>135</v>
      </c>
      <c r="AW47" s="55">
        <v>53</v>
      </c>
      <c r="AX47" s="56">
        <v>130</v>
      </c>
      <c r="AY47" s="55">
        <v>39</v>
      </c>
      <c r="AZ47" s="56">
        <v>140</v>
      </c>
      <c r="BA47" s="55">
        <v>44</v>
      </c>
      <c r="BB47" s="56">
        <v>135</v>
      </c>
      <c r="BC47" s="55">
        <v>43</v>
      </c>
      <c r="BD47" s="56">
        <v>145</v>
      </c>
      <c r="BE47" s="55">
        <v>49</v>
      </c>
      <c r="BF47" s="56">
        <v>155</v>
      </c>
      <c r="BG47" s="55">
        <v>52</v>
      </c>
      <c r="BH47" s="56">
        <v>145</v>
      </c>
      <c r="BI47" s="55">
        <v>43</v>
      </c>
      <c r="BJ47" s="56">
        <v>140</v>
      </c>
      <c r="BK47" s="55">
        <v>54</v>
      </c>
      <c r="BL47" s="56">
        <v>150</v>
      </c>
      <c r="BM47" s="55">
        <v>46</v>
      </c>
      <c r="BN47" s="56">
        <v>145</v>
      </c>
      <c r="BO47" s="55">
        <v>44</v>
      </c>
      <c r="BP47" s="56">
        <v>163</v>
      </c>
      <c r="BQ47" s="55">
        <v>44</v>
      </c>
      <c r="BR47" s="56">
        <v>145</v>
      </c>
      <c r="BS47" s="55">
        <v>40</v>
      </c>
      <c r="BT47" s="56">
        <v>150</v>
      </c>
      <c r="BU47" s="55">
        <v>54</v>
      </c>
      <c r="BV47" s="56">
        <v>150</v>
      </c>
      <c r="BW47" s="55">
        <v>39</v>
      </c>
      <c r="BX47" s="56">
        <v>155</v>
      </c>
      <c r="BY47" s="55">
        <v>51</v>
      </c>
      <c r="BZ47" s="56">
        <v>155</v>
      </c>
      <c r="CA47" s="55">
        <v>33</v>
      </c>
      <c r="CB47" s="56">
        <v>155</v>
      </c>
      <c r="CC47" s="55">
        <v>49</v>
      </c>
      <c r="CD47" s="56">
        <v>155</v>
      </c>
      <c r="CE47" s="55">
        <v>38</v>
      </c>
      <c r="CF47" s="56">
        <v>160</v>
      </c>
      <c r="CG47" s="55">
        <v>44</v>
      </c>
      <c r="CH47" s="56">
        <v>165</v>
      </c>
      <c r="CI47" s="55">
        <v>39</v>
      </c>
      <c r="CJ47" s="56">
        <v>170</v>
      </c>
      <c r="CK47" s="55">
        <v>42</v>
      </c>
      <c r="CL47" s="56">
        <v>163</v>
      </c>
      <c r="CM47" s="55">
        <v>47</v>
      </c>
      <c r="CN47" s="56">
        <v>170</v>
      </c>
      <c r="CO47" s="55">
        <v>37</v>
      </c>
      <c r="CP47" s="56">
        <v>175</v>
      </c>
      <c r="CQ47" s="55">
        <v>44</v>
      </c>
      <c r="CR47" s="56">
        <v>170</v>
      </c>
      <c r="CS47" s="55">
        <v>49</v>
      </c>
      <c r="CT47" s="56">
        <v>165</v>
      </c>
      <c r="CU47" s="55">
        <v>38</v>
      </c>
      <c r="CV47" s="56">
        <v>175</v>
      </c>
      <c r="CW47" s="55">
        <v>50</v>
      </c>
      <c r="CX47" s="56">
        <v>170</v>
      </c>
      <c r="CY47" s="55">
        <v>35</v>
      </c>
      <c r="CZ47" s="56">
        <v>170</v>
      </c>
      <c r="DA47" s="55">
        <v>51</v>
      </c>
      <c r="DB47" s="56">
        <v>180</v>
      </c>
      <c r="DC47" s="55">
        <v>37</v>
      </c>
      <c r="DD47" s="56">
        <v>185</v>
      </c>
      <c r="DE47" s="55">
        <v>40</v>
      </c>
      <c r="DF47" s="56">
        <v>178</v>
      </c>
      <c r="DG47" s="55">
        <v>32</v>
      </c>
      <c r="DH47" s="56">
        <v>180</v>
      </c>
      <c r="DI47" s="55">
        <v>38</v>
      </c>
      <c r="DJ47" s="56">
        <v>185</v>
      </c>
      <c r="DK47" s="55">
        <v>34</v>
      </c>
      <c r="DL47" s="56">
        <v>180</v>
      </c>
      <c r="DM47" s="55">
        <v>44</v>
      </c>
      <c r="DN47" s="56">
        <v>195</v>
      </c>
      <c r="DO47" s="55">
        <v>22</v>
      </c>
      <c r="DP47" s="56">
        <v>183</v>
      </c>
      <c r="DQ47" s="55">
        <v>51</v>
      </c>
      <c r="DR47" s="56">
        <v>200</v>
      </c>
      <c r="DS47" s="55">
        <v>38</v>
      </c>
      <c r="DT47" s="56">
        <v>215</v>
      </c>
      <c r="DU47" s="55">
        <v>52</v>
      </c>
      <c r="DV47" s="56">
        <v>198</v>
      </c>
      <c r="DW47" s="55">
        <v>25</v>
      </c>
      <c r="DX47" s="56">
        <v>195</v>
      </c>
      <c r="DY47" s="55">
        <v>40</v>
      </c>
      <c r="DZ47" s="56">
        <v>203</v>
      </c>
      <c r="EA47" s="55">
        <v>48</v>
      </c>
      <c r="EB47" s="56">
        <v>200</v>
      </c>
      <c r="EC47" s="55">
        <v>40</v>
      </c>
      <c r="ED47" s="56">
        <v>195</v>
      </c>
      <c r="EE47" s="55">
        <v>41</v>
      </c>
      <c r="EF47" s="56">
        <v>195</v>
      </c>
      <c r="EG47" s="55">
        <v>37</v>
      </c>
      <c r="EH47" s="56">
        <v>205</v>
      </c>
      <c r="EI47" s="55">
        <v>41</v>
      </c>
      <c r="EJ47" s="56">
        <v>200</v>
      </c>
      <c r="EK47" s="55">
        <v>45</v>
      </c>
      <c r="EL47" s="56">
        <v>200</v>
      </c>
      <c r="EM47" s="55">
        <v>39</v>
      </c>
      <c r="EN47" s="56">
        <v>216</v>
      </c>
      <c r="EO47" s="55">
        <v>46</v>
      </c>
      <c r="EP47" s="56">
        <v>220</v>
      </c>
      <c r="EQ47" s="55">
        <v>33</v>
      </c>
      <c r="ER47" s="56">
        <v>210</v>
      </c>
      <c r="ES47" s="55">
        <v>43</v>
      </c>
      <c r="ET47" s="56">
        <v>220</v>
      </c>
      <c r="EU47" s="55">
        <v>36</v>
      </c>
      <c r="EV47" s="56">
        <v>215</v>
      </c>
      <c r="EW47" s="55">
        <v>32</v>
      </c>
      <c r="EX47" s="56">
        <v>228</v>
      </c>
      <c r="EY47" s="55">
        <v>30</v>
      </c>
      <c r="EZ47" s="56">
        <v>215</v>
      </c>
      <c r="FA47" s="55">
        <v>33</v>
      </c>
      <c r="FB47" s="56">
        <v>230</v>
      </c>
      <c r="FC47" s="55">
        <v>34</v>
      </c>
      <c r="FD47" s="56">
        <v>230</v>
      </c>
      <c r="FE47" s="55">
        <v>38</v>
      </c>
      <c r="FF47" s="56">
        <v>215</v>
      </c>
      <c r="FG47" s="55">
        <v>32</v>
      </c>
      <c r="FH47" s="56">
        <v>230</v>
      </c>
      <c r="FI47" s="55">
        <v>31</v>
      </c>
      <c r="FJ47" s="56">
        <v>230</v>
      </c>
      <c r="FK47" s="55">
        <v>26</v>
      </c>
      <c r="FL47" s="56">
        <v>230</v>
      </c>
      <c r="FM47" s="55">
        <v>41</v>
      </c>
      <c r="FN47" s="56">
        <v>240</v>
      </c>
      <c r="FO47" s="55">
        <v>22</v>
      </c>
      <c r="FP47" s="56">
        <v>228</v>
      </c>
      <c r="FQ47" s="55">
        <v>34</v>
      </c>
      <c r="FR47" s="56">
        <v>235</v>
      </c>
      <c r="FS47" s="55">
        <v>31</v>
      </c>
      <c r="FT47" s="56">
        <v>245</v>
      </c>
      <c r="FU47" s="55">
        <v>24</v>
      </c>
      <c r="FV47" s="56">
        <v>250</v>
      </c>
      <c r="FW47" s="55">
        <v>29</v>
      </c>
      <c r="FX47" s="56">
        <v>270</v>
      </c>
      <c r="FY47" s="55">
        <v>19</v>
      </c>
      <c r="FZ47" s="56">
        <v>265</v>
      </c>
      <c r="GA47" s="55">
        <v>25</v>
      </c>
      <c r="GB47" s="56">
        <v>290</v>
      </c>
      <c r="GC47" s="55">
        <v>28</v>
      </c>
      <c r="GD47" s="56">
        <v>293</v>
      </c>
      <c r="GE47" s="55">
        <v>34</v>
      </c>
      <c r="GF47" s="56">
        <v>295</v>
      </c>
      <c r="GG47" s="55">
        <v>33</v>
      </c>
      <c r="GH47" s="56">
        <v>300</v>
      </c>
      <c r="GI47" s="55">
        <v>29</v>
      </c>
      <c r="GJ47" s="56">
        <v>310</v>
      </c>
      <c r="GK47" s="55">
        <v>34</v>
      </c>
      <c r="GL47" s="56">
        <v>320</v>
      </c>
      <c r="GM47" s="55">
        <v>20</v>
      </c>
      <c r="GN47" s="56">
        <v>320</v>
      </c>
      <c r="GO47" s="55">
        <v>31</v>
      </c>
      <c r="GP47" s="56">
        <v>283</v>
      </c>
      <c r="GQ47" s="55">
        <v>29</v>
      </c>
      <c r="GR47" s="56">
        <v>290</v>
      </c>
      <c r="GS47" s="55">
        <v>19</v>
      </c>
      <c r="GT47" s="56">
        <v>340</v>
      </c>
      <c r="GU47" s="55">
        <v>25</v>
      </c>
      <c r="GV47" s="56">
        <v>350</v>
      </c>
      <c r="GW47" s="55">
        <v>30</v>
      </c>
      <c r="GX47" s="56">
        <v>350</v>
      </c>
      <c r="GY47" s="55">
        <v>27</v>
      </c>
      <c r="GZ47" s="56">
        <v>350</v>
      </c>
      <c r="HA47">
        <v>47</v>
      </c>
      <c r="HB47" s="56">
        <v>326</v>
      </c>
      <c r="HC47">
        <v>25</v>
      </c>
      <c r="HD47" s="56">
        <v>341</v>
      </c>
      <c r="HE47">
        <v>28</v>
      </c>
      <c r="HF47" s="56">
        <v>360</v>
      </c>
    </row>
    <row r="48" spans="1:214" x14ac:dyDescent="0.25">
      <c r="A48" s="53"/>
      <c r="B48" s="54" t="s">
        <v>788</v>
      </c>
      <c r="C48" s="55">
        <v>137</v>
      </c>
      <c r="D48" s="56">
        <v>130</v>
      </c>
      <c r="E48" s="55">
        <v>134</v>
      </c>
      <c r="F48" s="56">
        <v>130</v>
      </c>
      <c r="G48" s="55">
        <v>126</v>
      </c>
      <c r="H48" s="56">
        <v>130</v>
      </c>
      <c r="I48" s="55">
        <v>200</v>
      </c>
      <c r="J48" s="56">
        <v>130</v>
      </c>
      <c r="K48" s="55">
        <v>116</v>
      </c>
      <c r="L48" s="56">
        <v>130</v>
      </c>
      <c r="M48" s="55">
        <v>138</v>
      </c>
      <c r="N48" s="56">
        <v>135</v>
      </c>
      <c r="O48" s="55">
        <v>122</v>
      </c>
      <c r="P48" s="56">
        <v>135</v>
      </c>
      <c r="Q48" s="55">
        <v>182</v>
      </c>
      <c r="R48" s="56">
        <v>130</v>
      </c>
      <c r="S48" s="55">
        <v>114</v>
      </c>
      <c r="T48" s="56">
        <v>135</v>
      </c>
      <c r="U48" s="55">
        <v>140</v>
      </c>
      <c r="V48" s="56">
        <v>135</v>
      </c>
      <c r="W48" s="55">
        <v>125</v>
      </c>
      <c r="X48" s="56">
        <v>135</v>
      </c>
      <c r="Y48" s="55">
        <v>171</v>
      </c>
      <c r="Z48" s="56">
        <v>140</v>
      </c>
      <c r="AA48" s="55">
        <v>99</v>
      </c>
      <c r="AB48" s="56">
        <v>140</v>
      </c>
      <c r="AC48" s="55">
        <v>122</v>
      </c>
      <c r="AD48" s="56">
        <v>140</v>
      </c>
      <c r="AE48" s="55">
        <v>101</v>
      </c>
      <c r="AF48" s="56">
        <v>140</v>
      </c>
      <c r="AG48" s="55">
        <v>137</v>
      </c>
      <c r="AH48" s="56">
        <v>140</v>
      </c>
      <c r="AI48" s="55">
        <v>99</v>
      </c>
      <c r="AJ48" s="56">
        <v>145</v>
      </c>
      <c r="AK48" s="55">
        <v>101</v>
      </c>
      <c r="AL48" s="56">
        <v>145</v>
      </c>
      <c r="AM48" s="55">
        <v>107</v>
      </c>
      <c r="AN48" s="56">
        <v>150</v>
      </c>
      <c r="AO48" s="55">
        <v>133</v>
      </c>
      <c r="AP48" s="56">
        <v>150</v>
      </c>
      <c r="AQ48" s="55">
        <v>104</v>
      </c>
      <c r="AR48" s="56">
        <v>155</v>
      </c>
      <c r="AS48" s="55">
        <v>97</v>
      </c>
      <c r="AT48" s="56">
        <v>155</v>
      </c>
      <c r="AU48" s="55">
        <v>88</v>
      </c>
      <c r="AV48" s="56">
        <v>160</v>
      </c>
      <c r="AW48" s="55">
        <v>112</v>
      </c>
      <c r="AX48" s="56">
        <v>155</v>
      </c>
      <c r="AY48" s="55">
        <v>97</v>
      </c>
      <c r="AZ48" s="56">
        <v>160</v>
      </c>
      <c r="BA48" s="55">
        <v>93</v>
      </c>
      <c r="BB48" s="56">
        <v>160</v>
      </c>
      <c r="BC48" s="55">
        <v>74</v>
      </c>
      <c r="BD48" s="56">
        <v>160</v>
      </c>
      <c r="BE48" s="55">
        <v>89</v>
      </c>
      <c r="BF48" s="56">
        <v>160</v>
      </c>
      <c r="BG48" s="55">
        <v>81</v>
      </c>
      <c r="BH48" s="56">
        <v>170</v>
      </c>
      <c r="BI48" s="55">
        <v>87</v>
      </c>
      <c r="BJ48" s="56">
        <v>170</v>
      </c>
      <c r="BK48" s="55">
        <v>75</v>
      </c>
      <c r="BL48" s="56">
        <v>170</v>
      </c>
      <c r="BM48" s="55">
        <v>126</v>
      </c>
      <c r="BN48" s="56">
        <v>175</v>
      </c>
      <c r="BO48" s="55">
        <v>83</v>
      </c>
      <c r="BP48" s="56">
        <v>170</v>
      </c>
      <c r="BQ48" s="55">
        <v>88</v>
      </c>
      <c r="BR48" s="56">
        <v>175</v>
      </c>
      <c r="BS48" s="55">
        <v>88</v>
      </c>
      <c r="BT48" s="56">
        <v>180</v>
      </c>
      <c r="BU48" s="55">
        <v>121</v>
      </c>
      <c r="BV48" s="56">
        <v>175</v>
      </c>
      <c r="BW48" s="55">
        <v>96</v>
      </c>
      <c r="BX48" s="56">
        <v>175</v>
      </c>
      <c r="BY48" s="55">
        <v>84</v>
      </c>
      <c r="BZ48" s="56">
        <v>180</v>
      </c>
      <c r="CA48" s="55">
        <v>89</v>
      </c>
      <c r="CB48" s="56">
        <v>180</v>
      </c>
      <c r="CC48" s="55">
        <v>114</v>
      </c>
      <c r="CD48" s="56">
        <v>190</v>
      </c>
      <c r="CE48" s="55">
        <v>113</v>
      </c>
      <c r="CF48" s="56">
        <v>190</v>
      </c>
      <c r="CG48" s="55">
        <v>93</v>
      </c>
      <c r="CH48" s="56">
        <v>190</v>
      </c>
      <c r="CI48" s="55">
        <v>81</v>
      </c>
      <c r="CJ48" s="56">
        <v>190</v>
      </c>
      <c r="CK48" s="55">
        <v>108</v>
      </c>
      <c r="CL48" s="56">
        <v>185</v>
      </c>
      <c r="CM48" s="55">
        <v>100</v>
      </c>
      <c r="CN48" s="56">
        <v>190</v>
      </c>
      <c r="CO48" s="55">
        <v>94</v>
      </c>
      <c r="CP48" s="56">
        <v>193</v>
      </c>
      <c r="CQ48" s="55">
        <v>85</v>
      </c>
      <c r="CR48" s="56">
        <v>195</v>
      </c>
      <c r="CS48" s="55">
        <v>108</v>
      </c>
      <c r="CT48" s="56">
        <v>200</v>
      </c>
      <c r="CU48" s="55">
        <v>110</v>
      </c>
      <c r="CV48" s="56">
        <v>195</v>
      </c>
      <c r="CW48" s="55">
        <v>101</v>
      </c>
      <c r="CX48" s="56">
        <v>195</v>
      </c>
      <c r="CY48" s="55">
        <v>104</v>
      </c>
      <c r="CZ48" s="56">
        <v>195</v>
      </c>
      <c r="DA48" s="55">
        <v>99</v>
      </c>
      <c r="DB48" s="56">
        <v>200</v>
      </c>
      <c r="DC48" s="55">
        <v>96</v>
      </c>
      <c r="DD48" s="56">
        <v>200</v>
      </c>
      <c r="DE48" s="55">
        <v>100</v>
      </c>
      <c r="DF48" s="56">
        <v>208</v>
      </c>
      <c r="DG48" s="55">
        <v>93</v>
      </c>
      <c r="DH48" s="56">
        <v>200</v>
      </c>
      <c r="DI48" s="55">
        <v>118</v>
      </c>
      <c r="DJ48" s="56">
        <v>203</v>
      </c>
      <c r="DK48" s="55">
        <v>96</v>
      </c>
      <c r="DL48" s="56">
        <v>210</v>
      </c>
      <c r="DM48" s="55">
        <v>88</v>
      </c>
      <c r="DN48" s="56">
        <v>200</v>
      </c>
      <c r="DO48" s="55">
        <v>94</v>
      </c>
      <c r="DP48" s="56">
        <v>210</v>
      </c>
      <c r="DQ48" s="55">
        <v>92</v>
      </c>
      <c r="DR48" s="56">
        <v>215</v>
      </c>
      <c r="DS48" s="55">
        <v>94</v>
      </c>
      <c r="DT48" s="56">
        <v>220</v>
      </c>
      <c r="DU48" s="55">
        <v>98</v>
      </c>
      <c r="DV48" s="56">
        <v>215</v>
      </c>
      <c r="DW48" s="55">
        <v>97</v>
      </c>
      <c r="DX48" s="56">
        <v>220</v>
      </c>
      <c r="DY48" s="55">
        <v>91</v>
      </c>
      <c r="DZ48" s="56">
        <v>210</v>
      </c>
      <c r="EA48" s="55">
        <v>75</v>
      </c>
      <c r="EB48" s="56">
        <v>220</v>
      </c>
      <c r="EC48" s="55">
        <v>91</v>
      </c>
      <c r="ED48" s="56">
        <v>220</v>
      </c>
      <c r="EE48" s="55">
        <v>77</v>
      </c>
      <c r="EF48" s="56">
        <v>215</v>
      </c>
      <c r="EG48" s="55">
        <v>101</v>
      </c>
      <c r="EH48" s="56">
        <v>230</v>
      </c>
      <c r="EI48" s="55">
        <v>104</v>
      </c>
      <c r="EJ48" s="56">
        <v>220</v>
      </c>
      <c r="EK48" s="55">
        <v>81</v>
      </c>
      <c r="EL48" s="56">
        <v>220</v>
      </c>
      <c r="EM48" s="55">
        <v>78</v>
      </c>
      <c r="EN48" s="56">
        <v>230</v>
      </c>
      <c r="EO48" s="55">
        <v>74</v>
      </c>
      <c r="EP48" s="56">
        <v>230</v>
      </c>
      <c r="EQ48" s="55">
        <v>84</v>
      </c>
      <c r="ER48" s="56">
        <v>230</v>
      </c>
      <c r="ES48" s="55">
        <v>86</v>
      </c>
      <c r="ET48" s="56">
        <v>233</v>
      </c>
      <c r="EU48" s="55">
        <v>69</v>
      </c>
      <c r="EV48" s="56">
        <v>230</v>
      </c>
      <c r="EW48" s="55">
        <v>98</v>
      </c>
      <c r="EX48" s="56">
        <v>230</v>
      </c>
      <c r="EY48" s="55">
        <v>84</v>
      </c>
      <c r="EZ48" s="56">
        <v>230</v>
      </c>
      <c r="FA48" s="55">
        <v>84</v>
      </c>
      <c r="FB48" s="56">
        <v>240</v>
      </c>
      <c r="FC48" s="55">
        <v>63</v>
      </c>
      <c r="FD48" s="56">
        <v>235</v>
      </c>
      <c r="FE48" s="55">
        <v>80</v>
      </c>
      <c r="FF48" s="56">
        <v>240</v>
      </c>
      <c r="FG48" s="55">
        <v>71</v>
      </c>
      <c r="FH48" s="56">
        <v>240</v>
      </c>
      <c r="FI48" s="55">
        <v>76</v>
      </c>
      <c r="FJ48" s="56">
        <v>240</v>
      </c>
      <c r="FK48" s="55">
        <v>53</v>
      </c>
      <c r="FL48" s="56">
        <v>240</v>
      </c>
      <c r="FM48" s="55">
        <v>81</v>
      </c>
      <c r="FN48" s="56">
        <v>250</v>
      </c>
      <c r="FO48" s="55">
        <v>51</v>
      </c>
      <c r="FP48" s="56">
        <v>260</v>
      </c>
      <c r="FQ48" s="55">
        <v>64</v>
      </c>
      <c r="FR48" s="56">
        <v>253</v>
      </c>
      <c r="FS48" s="55">
        <v>62</v>
      </c>
      <c r="FT48" s="56">
        <v>265</v>
      </c>
      <c r="FU48" s="55">
        <v>63</v>
      </c>
      <c r="FV48" s="56">
        <v>260</v>
      </c>
      <c r="FW48" s="55">
        <v>52</v>
      </c>
      <c r="FX48" s="56">
        <v>260</v>
      </c>
      <c r="FY48" s="55">
        <v>65</v>
      </c>
      <c r="FZ48" s="56">
        <v>280</v>
      </c>
      <c r="GA48" s="55">
        <v>61</v>
      </c>
      <c r="GB48" s="56">
        <v>295</v>
      </c>
      <c r="GC48" s="55">
        <v>42</v>
      </c>
      <c r="GD48" s="56">
        <v>320</v>
      </c>
      <c r="GE48" s="55">
        <v>39</v>
      </c>
      <c r="GF48" s="56">
        <v>300</v>
      </c>
      <c r="GG48" s="55">
        <v>56</v>
      </c>
      <c r="GH48" s="56">
        <v>310</v>
      </c>
      <c r="GI48" s="55">
        <v>53</v>
      </c>
      <c r="GJ48" s="56">
        <v>330</v>
      </c>
      <c r="GK48" s="55">
        <v>71</v>
      </c>
      <c r="GL48" s="56">
        <v>320</v>
      </c>
      <c r="GM48" s="55">
        <v>46</v>
      </c>
      <c r="GN48" s="56">
        <v>328</v>
      </c>
      <c r="GO48" s="55">
        <v>50</v>
      </c>
      <c r="GP48" s="56">
        <v>323</v>
      </c>
      <c r="GQ48" s="55">
        <v>51</v>
      </c>
      <c r="GR48" s="56">
        <v>350</v>
      </c>
      <c r="GS48" s="55">
        <v>69</v>
      </c>
      <c r="GT48" s="56">
        <v>350</v>
      </c>
      <c r="GU48" s="55">
        <v>48</v>
      </c>
      <c r="GV48" s="56">
        <v>350</v>
      </c>
      <c r="GW48" s="55">
        <v>40</v>
      </c>
      <c r="GX48" s="56">
        <v>360</v>
      </c>
      <c r="GY48" s="55">
        <v>51</v>
      </c>
      <c r="GZ48" s="56">
        <v>370</v>
      </c>
      <c r="HA48">
        <v>42</v>
      </c>
      <c r="HB48" s="56">
        <v>370</v>
      </c>
      <c r="HC48">
        <v>56</v>
      </c>
      <c r="HD48" s="56">
        <v>385</v>
      </c>
      <c r="HE48">
        <v>46</v>
      </c>
      <c r="HF48" s="56">
        <v>415</v>
      </c>
    </row>
    <row r="49" spans="1:214" x14ac:dyDescent="0.25">
      <c r="A49" s="57"/>
      <c r="B49" s="57" t="s">
        <v>752</v>
      </c>
      <c r="C49" s="58">
        <v>525</v>
      </c>
      <c r="D49" s="59">
        <v>120</v>
      </c>
      <c r="E49" s="58">
        <v>492</v>
      </c>
      <c r="F49" s="59">
        <v>120</v>
      </c>
      <c r="G49" s="58">
        <v>517</v>
      </c>
      <c r="H49" s="59">
        <v>120</v>
      </c>
      <c r="I49" s="58">
        <v>680</v>
      </c>
      <c r="J49" s="59">
        <v>120</v>
      </c>
      <c r="K49" s="58">
        <v>480</v>
      </c>
      <c r="L49" s="59">
        <v>120</v>
      </c>
      <c r="M49" s="58">
        <v>513</v>
      </c>
      <c r="N49" s="59">
        <v>125</v>
      </c>
      <c r="O49" s="58">
        <v>484</v>
      </c>
      <c r="P49" s="59">
        <v>125</v>
      </c>
      <c r="Q49" s="58">
        <v>588</v>
      </c>
      <c r="R49" s="59">
        <v>125</v>
      </c>
      <c r="S49" s="58">
        <v>471</v>
      </c>
      <c r="T49" s="59">
        <v>125</v>
      </c>
      <c r="U49" s="58">
        <v>503</v>
      </c>
      <c r="V49" s="59">
        <v>125</v>
      </c>
      <c r="W49" s="58">
        <v>507</v>
      </c>
      <c r="X49" s="59">
        <v>130</v>
      </c>
      <c r="Y49" s="58">
        <v>569</v>
      </c>
      <c r="Z49" s="59">
        <v>130</v>
      </c>
      <c r="AA49" s="58">
        <v>476</v>
      </c>
      <c r="AB49" s="59">
        <v>130</v>
      </c>
      <c r="AC49" s="58">
        <v>474</v>
      </c>
      <c r="AD49" s="59">
        <v>135</v>
      </c>
      <c r="AE49" s="58">
        <v>427</v>
      </c>
      <c r="AF49" s="59">
        <v>135</v>
      </c>
      <c r="AG49" s="58">
        <v>512</v>
      </c>
      <c r="AH49" s="59">
        <v>135</v>
      </c>
      <c r="AI49" s="58">
        <v>472</v>
      </c>
      <c r="AJ49" s="59">
        <v>135</v>
      </c>
      <c r="AK49" s="58">
        <v>482</v>
      </c>
      <c r="AL49" s="59">
        <v>140</v>
      </c>
      <c r="AM49" s="58">
        <v>466</v>
      </c>
      <c r="AN49" s="59">
        <v>140</v>
      </c>
      <c r="AO49" s="58">
        <v>540</v>
      </c>
      <c r="AP49" s="59">
        <v>140</v>
      </c>
      <c r="AQ49" s="58">
        <v>431</v>
      </c>
      <c r="AR49" s="59">
        <v>145</v>
      </c>
      <c r="AS49" s="58">
        <v>469</v>
      </c>
      <c r="AT49" s="59">
        <v>145</v>
      </c>
      <c r="AU49" s="58">
        <v>444</v>
      </c>
      <c r="AV49" s="59">
        <v>145</v>
      </c>
      <c r="AW49" s="58">
        <v>485</v>
      </c>
      <c r="AX49" s="59">
        <v>150</v>
      </c>
      <c r="AY49" s="58">
        <v>401</v>
      </c>
      <c r="AZ49" s="59">
        <v>150</v>
      </c>
      <c r="BA49" s="58">
        <v>429</v>
      </c>
      <c r="BB49" s="59">
        <v>150</v>
      </c>
      <c r="BC49" s="58">
        <v>385</v>
      </c>
      <c r="BD49" s="59">
        <v>150</v>
      </c>
      <c r="BE49" s="58">
        <v>459</v>
      </c>
      <c r="BF49" s="59">
        <v>160</v>
      </c>
      <c r="BG49" s="58">
        <v>398</v>
      </c>
      <c r="BH49" s="59">
        <v>155</v>
      </c>
      <c r="BI49" s="58">
        <v>407</v>
      </c>
      <c r="BJ49" s="59">
        <v>160</v>
      </c>
      <c r="BK49" s="58">
        <v>375</v>
      </c>
      <c r="BL49" s="59">
        <v>160</v>
      </c>
      <c r="BM49" s="58">
        <v>512</v>
      </c>
      <c r="BN49" s="59">
        <v>160</v>
      </c>
      <c r="BO49" s="58">
        <v>410</v>
      </c>
      <c r="BP49" s="59">
        <v>160</v>
      </c>
      <c r="BQ49" s="58">
        <v>399</v>
      </c>
      <c r="BR49" s="59">
        <v>160</v>
      </c>
      <c r="BS49" s="58">
        <v>396</v>
      </c>
      <c r="BT49" s="59">
        <v>160</v>
      </c>
      <c r="BU49" s="58">
        <v>491</v>
      </c>
      <c r="BV49" s="59">
        <v>165</v>
      </c>
      <c r="BW49" s="58">
        <v>405</v>
      </c>
      <c r="BX49" s="59">
        <v>165</v>
      </c>
      <c r="BY49" s="58">
        <v>401</v>
      </c>
      <c r="BZ49" s="59">
        <v>170</v>
      </c>
      <c r="CA49" s="58">
        <v>403</v>
      </c>
      <c r="CB49" s="59">
        <v>170</v>
      </c>
      <c r="CC49" s="58">
        <v>450</v>
      </c>
      <c r="CD49" s="59">
        <v>175</v>
      </c>
      <c r="CE49" s="58">
        <v>427</v>
      </c>
      <c r="CF49" s="59">
        <v>175</v>
      </c>
      <c r="CG49" s="58">
        <v>390</v>
      </c>
      <c r="CH49" s="59">
        <v>175</v>
      </c>
      <c r="CI49" s="58">
        <v>392</v>
      </c>
      <c r="CJ49" s="59">
        <v>180</v>
      </c>
      <c r="CK49" s="58">
        <v>410</v>
      </c>
      <c r="CL49" s="59">
        <v>180</v>
      </c>
      <c r="CM49" s="58">
        <v>387</v>
      </c>
      <c r="CN49" s="59">
        <v>180</v>
      </c>
      <c r="CO49" s="58">
        <v>377</v>
      </c>
      <c r="CP49" s="59">
        <v>185</v>
      </c>
      <c r="CQ49" s="58">
        <v>383</v>
      </c>
      <c r="CR49" s="59">
        <v>180</v>
      </c>
      <c r="CS49" s="58">
        <v>414</v>
      </c>
      <c r="CT49" s="59">
        <v>190</v>
      </c>
      <c r="CU49" s="58">
        <v>406</v>
      </c>
      <c r="CV49" s="59">
        <v>190</v>
      </c>
      <c r="CW49" s="58">
        <v>441</v>
      </c>
      <c r="CX49" s="59">
        <v>190</v>
      </c>
      <c r="CY49" s="58">
        <v>401</v>
      </c>
      <c r="CZ49" s="59">
        <v>190</v>
      </c>
      <c r="DA49" s="58">
        <v>466</v>
      </c>
      <c r="DB49" s="59">
        <v>195</v>
      </c>
      <c r="DC49" s="58">
        <v>402</v>
      </c>
      <c r="DD49" s="59">
        <v>190</v>
      </c>
      <c r="DE49" s="58">
        <v>416</v>
      </c>
      <c r="DF49" s="59">
        <v>195</v>
      </c>
      <c r="DG49" s="58">
        <v>380</v>
      </c>
      <c r="DH49" s="59">
        <v>190</v>
      </c>
      <c r="DI49" s="58">
        <v>428</v>
      </c>
      <c r="DJ49" s="59">
        <v>200</v>
      </c>
      <c r="DK49" s="58">
        <v>402</v>
      </c>
      <c r="DL49" s="59">
        <v>195</v>
      </c>
      <c r="DM49" s="58">
        <v>386</v>
      </c>
      <c r="DN49" s="59">
        <v>195</v>
      </c>
      <c r="DO49" s="58">
        <v>378</v>
      </c>
      <c r="DP49" s="59">
        <v>200</v>
      </c>
      <c r="DQ49" s="58">
        <v>435</v>
      </c>
      <c r="DR49" s="59">
        <v>200</v>
      </c>
      <c r="DS49" s="58">
        <v>403</v>
      </c>
      <c r="DT49" s="59">
        <v>210</v>
      </c>
      <c r="DU49" s="58">
        <v>433</v>
      </c>
      <c r="DV49" s="59">
        <v>210</v>
      </c>
      <c r="DW49" s="58">
        <v>366</v>
      </c>
      <c r="DX49" s="59">
        <v>210</v>
      </c>
      <c r="DY49" s="58">
        <v>390</v>
      </c>
      <c r="DZ49" s="59">
        <v>210</v>
      </c>
      <c r="EA49" s="58">
        <v>402</v>
      </c>
      <c r="EB49" s="59">
        <v>210</v>
      </c>
      <c r="EC49" s="58">
        <v>403</v>
      </c>
      <c r="ED49" s="59">
        <v>215</v>
      </c>
      <c r="EE49" s="58">
        <v>386</v>
      </c>
      <c r="EF49" s="59">
        <v>210</v>
      </c>
      <c r="EG49" s="58">
        <v>386</v>
      </c>
      <c r="EH49" s="59">
        <v>220</v>
      </c>
      <c r="EI49" s="58">
        <v>397</v>
      </c>
      <c r="EJ49" s="59">
        <v>210</v>
      </c>
      <c r="EK49" s="58">
        <v>392</v>
      </c>
      <c r="EL49" s="59">
        <v>220</v>
      </c>
      <c r="EM49" s="58">
        <v>357</v>
      </c>
      <c r="EN49" s="59">
        <v>220</v>
      </c>
      <c r="EO49" s="58">
        <v>419</v>
      </c>
      <c r="EP49" s="59">
        <v>220</v>
      </c>
      <c r="EQ49" s="58">
        <v>372</v>
      </c>
      <c r="ER49" s="59">
        <v>223</v>
      </c>
      <c r="ES49" s="58">
        <v>370</v>
      </c>
      <c r="ET49" s="59">
        <v>220</v>
      </c>
      <c r="EU49" s="58">
        <v>346</v>
      </c>
      <c r="EV49" s="59">
        <v>220</v>
      </c>
      <c r="EW49" s="58">
        <v>398</v>
      </c>
      <c r="EX49" s="59">
        <v>228</v>
      </c>
      <c r="EY49" s="58">
        <v>340</v>
      </c>
      <c r="EZ49" s="59">
        <v>230</v>
      </c>
      <c r="FA49" s="58">
        <v>334</v>
      </c>
      <c r="FB49" s="59">
        <v>240</v>
      </c>
      <c r="FC49" s="58">
        <v>306</v>
      </c>
      <c r="FD49" s="59">
        <v>230</v>
      </c>
      <c r="FE49" s="58">
        <v>316</v>
      </c>
      <c r="FF49" s="59">
        <v>230</v>
      </c>
      <c r="FG49" s="58">
        <v>319</v>
      </c>
      <c r="FH49" s="59">
        <v>240</v>
      </c>
      <c r="FI49" s="58">
        <v>312</v>
      </c>
      <c r="FJ49" s="59">
        <v>240</v>
      </c>
      <c r="FK49" s="58">
        <v>277</v>
      </c>
      <c r="FL49" s="59">
        <v>240</v>
      </c>
      <c r="FM49" s="58">
        <v>364</v>
      </c>
      <c r="FN49" s="59">
        <v>250</v>
      </c>
      <c r="FO49" s="58">
        <v>287</v>
      </c>
      <c r="FP49" s="59">
        <v>250</v>
      </c>
      <c r="FQ49" s="58">
        <v>272</v>
      </c>
      <c r="FR49" s="59">
        <v>248</v>
      </c>
      <c r="FS49" s="58">
        <v>290</v>
      </c>
      <c r="FT49" s="59">
        <v>255</v>
      </c>
      <c r="FU49" s="58">
        <v>280</v>
      </c>
      <c r="FV49" s="59">
        <v>260</v>
      </c>
      <c r="FW49" s="58">
        <v>282</v>
      </c>
      <c r="FX49" s="59">
        <v>270</v>
      </c>
      <c r="FY49" s="58">
        <v>279</v>
      </c>
      <c r="FZ49" s="59">
        <v>280</v>
      </c>
      <c r="GA49" s="58">
        <v>263</v>
      </c>
      <c r="GB49" s="59">
        <v>290</v>
      </c>
      <c r="GC49" s="58">
        <v>261</v>
      </c>
      <c r="GD49" s="59">
        <v>295</v>
      </c>
      <c r="GE49" s="58">
        <v>269</v>
      </c>
      <c r="GF49" s="59">
        <v>300</v>
      </c>
      <c r="GG49" s="58">
        <v>265</v>
      </c>
      <c r="GH49" s="59">
        <v>310</v>
      </c>
      <c r="GI49" s="58">
        <v>262</v>
      </c>
      <c r="GJ49" s="59">
        <v>320</v>
      </c>
      <c r="GK49" s="58">
        <v>273</v>
      </c>
      <c r="GL49" s="59">
        <v>320</v>
      </c>
      <c r="GM49" s="58">
        <v>245</v>
      </c>
      <c r="GN49" s="59">
        <v>320</v>
      </c>
      <c r="GO49" s="58">
        <v>286</v>
      </c>
      <c r="GP49" s="59">
        <v>320</v>
      </c>
      <c r="GQ49" s="58">
        <v>272</v>
      </c>
      <c r="GR49" s="59">
        <v>340</v>
      </c>
      <c r="GS49" s="58">
        <v>304</v>
      </c>
      <c r="GT49" s="59">
        <v>350</v>
      </c>
      <c r="GU49" s="58">
        <v>227</v>
      </c>
      <c r="GV49" s="59">
        <v>350</v>
      </c>
      <c r="GW49" s="58">
        <v>251</v>
      </c>
      <c r="GX49" s="59">
        <v>350</v>
      </c>
      <c r="GY49" s="58">
        <v>277</v>
      </c>
      <c r="GZ49" s="59">
        <v>360</v>
      </c>
      <c r="HA49" s="6">
        <v>267</v>
      </c>
      <c r="HB49" s="59">
        <v>360</v>
      </c>
      <c r="HC49" s="6">
        <v>285</v>
      </c>
      <c r="HD49" s="59">
        <v>380</v>
      </c>
      <c r="HE49" s="6">
        <v>243</v>
      </c>
      <c r="HF49" s="59">
        <v>385</v>
      </c>
    </row>
    <row r="50" spans="1:214" s="10" customFormat="1" x14ac:dyDescent="0.25">
      <c r="A50" s="53" t="s">
        <v>789</v>
      </c>
      <c r="B50" s="54" t="s">
        <v>790</v>
      </c>
      <c r="C50" s="55">
        <v>13</v>
      </c>
      <c r="D50" s="56">
        <v>100</v>
      </c>
      <c r="E50" s="55">
        <v>14</v>
      </c>
      <c r="F50" s="56">
        <v>106</v>
      </c>
      <c r="G50" s="55">
        <v>9</v>
      </c>
      <c r="H50" s="56">
        <v>110</v>
      </c>
      <c r="I50" s="55">
        <v>17</v>
      </c>
      <c r="J50" s="56">
        <v>110</v>
      </c>
      <c r="K50" s="55">
        <v>14</v>
      </c>
      <c r="L50" s="56">
        <v>110</v>
      </c>
      <c r="M50" s="55">
        <v>15</v>
      </c>
      <c r="N50" s="56">
        <v>100</v>
      </c>
      <c r="O50" s="55" t="s">
        <v>2</v>
      </c>
      <c r="P50" s="56" t="s">
        <v>2</v>
      </c>
      <c r="Q50" s="55">
        <v>13</v>
      </c>
      <c r="R50" s="56">
        <v>115</v>
      </c>
      <c r="S50" s="55">
        <v>12</v>
      </c>
      <c r="T50" s="56">
        <v>123</v>
      </c>
      <c r="U50" s="55">
        <v>14</v>
      </c>
      <c r="V50" s="56">
        <v>123</v>
      </c>
      <c r="W50" s="55">
        <v>10</v>
      </c>
      <c r="X50" s="56">
        <v>125</v>
      </c>
      <c r="Y50" s="55">
        <v>11</v>
      </c>
      <c r="Z50" s="56">
        <v>115</v>
      </c>
      <c r="AA50" s="55">
        <v>11</v>
      </c>
      <c r="AB50" s="56">
        <v>125</v>
      </c>
      <c r="AC50" s="55">
        <v>11</v>
      </c>
      <c r="AD50" s="56">
        <v>130</v>
      </c>
      <c r="AE50" s="55">
        <v>15</v>
      </c>
      <c r="AF50" s="56">
        <v>130</v>
      </c>
      <c r="AG50" s="55">
        <v>12</v>
      </c>
      <c r="AH50" s="56">
        <v>160</v>
      </c>
      <c r="AI50" s="55">
        <v>10</v>
      </c>
      <c r="AJ50" s="56">
        <v>133</v>
      </c>
      <c r="AK50" s="55">
        <v>13</v>
      </c>
      <c r="AL50" s="56">
        <v>140</v>
      </c>
      <c r="AM50" s="55">
        <v>8</v>
      </c>
      <c r="AN50" s="56">
        <v>143</v>
      </c>
      <c r="AO50" s="55">
        <v>12</v>
      </c>
      <c r="AP50" s="56">
        <v>145</v>
      </c>
      <c r="AQ50" s="55">
        <v>10</v>
      </c>
      <c r="AR50" s="56">
        <v>135</v>
      </c>
      <c r="AS50" s="55">
        <v>14</v>
      </c>
      <c r="AT50" s="56">
        <v>150</v>
      </c>
      <c r="AU50" s="55">
        <v>12</v>
      </c>
      <c r="AV50" s="56">
        <v>143</v>
      </c>
      <c r="AW50" s="55">
        <v>18</v>
      </c>
      <c r="AX50" s="56">
        <v>160</v>
      </c>
      <c r="AY50" s="55">
        <v>9</v>
      </c>
      <c r="AZ50" s="56">
        <v>150</v>
      </c>
      <c r="BA50" s="55">
        <v>10</v>
      </c>
      <c r="BB50" s="56">
        <v>163</v>
      </c>
      <c r="BC50" s="55">
        <v>15</v>
      </c>
      <c r="BD50" s="56">
        <v>160</v>
      </c>
      <c r="BE50" s="55">
        <v>16</v>
      </c>
      <c r="BF50" s="56">
        <v>180</v>
      </c>
      <c r="BG50" s="55">
        <v>16</v>
      </c>
      <c r="BH50" s="56">
        <v>163</v>
      </c>
      <c r="BI50" s="55">
        <v>19</v>
      </c>
      <c r="BJ50" s="56">
        <v>160</v>
      </c>
      <c r="BK50" s="55">
        <v>21</v>
      </c>
      <c r="BL50" s="56">
        <v>170</v>
      </c>
      <c r="BM50" s="55">
        <v>18</v>
      </c>
      <c r="BN50" s="56">
        <v>180</v>
      </c>
      <c r="BO50" s="55">
        <v>14</v>
      </c>
      <c r="BP50" s="56">
        <v>183</v>
      </c>
      <c r="BQ50" s="55">
        <v>23</v>
      </c>
      <c r="BR50" s="56">
        <v>180</v>
      </c>
      <c r="BS50" s="55">
        <v>20</v>
      </c>
      <c r="BT50" s="56">
        <v>188</v>
      </c>
      <c r="BU50" s="55">
        <v>17</v>
      </c>
      <c r="BV50" s="56">
        <v>200</v>
      </c>
      <c r="BW50" s="55">
        <v>13</v>
      </c>
      <c r="BX50" s="56">
        <v>200</v>
      </c>
      <c r="BY50" s="55">
        <v>18</v>
      </c>
      <c r="BZ50" s="56">
        <v>203</v>
      </c>
      <c r="CA50" s="55">
        <v>18</v>
      </c>
      <c r="CB50" s="56">
        <v>145</v>
      </c>
      <c r="CC50" s="55">
        <v>13</v>
      </c>
      <c r="CD50" s="56">
        <v>205</v>
      </c>
      <c r="CE50" s="55">
        <v>11</v>
      </c>
      <c r="CF50" s="56">
        <v>220</v>
      </c>
      <c r="CG50" s="55">
        <v>25</v>
      </c>
      <c r="CH50" s="56">
        <v>195</v>
      </c>
      <c r="CI50" s="55">
        <v>23</v>
      </c>
      <c r="CJ50" s="56">
        <v>225</v>
      </c>
      <c r="CK50" s="55">
        <v>26</v>
      </c>
      <c r="CL50" s="56">
        <v>290</v>
      </c>
      <c r="CM50" s="55">
        <v>21</v>
      </c>
      <c r="CN50" s="56">
        <v>300</v>
      </c>
      <c r="CO50" s="55">
        <v>25</v>
      </c>
      <c r="CP50" s="56">
        <v>400</v>
      </c>
      <c r="CQ50" s="55">
        <v>33</v>
      </c>
      <c r="CR50" s="56">
        <v>280</v>
      </c>
      <c r="CS50" s="55">
        <v>39</v>
      </c>
      <c r="CT50" s="56">
        <v>300</v>
      </c>
      <c r="CU50" s="55">
        <v>40</v>
      </c>
      <c r="CV50" s="56">
        <v>330</v>
      </c>
      <c r="CW50" s="55">
        <v>24</v>
      </c>
      <c r="CX50" s="56">
        <v>300</v>
      </c>
      <c r="CY50" s="55">
        <v>24</v>
      </c>
      <c r="CZ50" s="56">
        <v>305</v>
      </c>
      <c r="DA50" s="55">
        <v>42</v>
      </c>
      <c r="DB50" s="56">
        <v>280</v>
      </c>
      <c r="DC50" s="55">
        <v>39</v>
      </c>
      <c r="DD50" s="56">
        <v>260</v>
      </c>
      <c r="DE50" s="55">
        <v>38</v>
      </c>
      <c r="DF50" s="56">
        <v>220</v>
      </c>
      <c r="DG50" s="55">
        <v>35</v>
      </c>
      <c r="DH50" s="56">
        <v>240</v>
      </c>
      <c r="DI50" s="55">
        <v>36</v>
      </c>
      <c r="DJ50" s="56">
        <v>235</v>
      </c>
      <c r="DK50" s="55">
        <v>33</v>
      </c>
      <c r="DL50" s="56">
        <v>250</v>
      </c>
      <c r="DM50" s="55">
        <v>34</v>
      </c>
      <c r="DN50" s="56">
        <v>220</v>
      </c>
      <c r="DO50" s="55">
        <v>29</v>
      </c>
      <c r="DP50" s="56">
        <v>230</v>
      </c>
      <c r="DQ50" s="55">
        <v>32</v>
      </c>
      <c r="DR50" s="56">
        <v>250</v>
      </c>
      <c r="DS50" s="55">
        <v>42</v>
      </c>
      <c r="DT50" s="56">
        <v>243</v>
      </c>
      <c r="DU50" s="55">
        <v>24</v>
      </c>
      <c r="DV50" s="56">
        <v>235</v>
      </c>
      <c r="DW50" s="55">
        <v>28</v>
      </c>
      <c r="DX50" s="56">
        <v>250</v>
      </c>
      <c r="DY50" s="55">
        <v>24</v>
      </c>
      <c r="DZ50" s="56">
        <v>235</v>
      </c>
      <c r="EA50" s="55">
        <v>29</v>
      </c>
      <c r="EB50" s="56">
        <v>240</v>
      </c>
      <c r="EC50" s="55">
        <v>34</v>
      </c>
      <c r="ED50" s="56">
        <v>230</v>
      </c>
      <c r="EE50" s="55">
        <v>33</v>
      </c>
      <c r="EF50" s="56">
        <v>230</v>
      </c>
      <c r="EG50" s="55">
        <v>29</v>
      </c>
      <c r="EH50" s="56">
        <v>250</v>
      </c>
      <c r="EI50" s="55">
        <v>27</v>
      </c>
      <c r="EJ50" s="56">
        <v>250</v>
      </c>
      <c r="EK50" s="55">
        <v>32</v>
      </c>
      <c r="EL50" s="56">
        <v>250</v>
      </c>
      <c r="EM50" s="55">
        <v>18</v>
      </c>
      <c r="EN50" s="56">
        <v>250</v>
      </c>
      <c r="EO50" s="55">
        <v>24</v>
      </c>
      <c r="EP50" s="56">
        <v>240</v>
      </c>
      <c r="EQ50" s="55">
        <v>19</v>
      </c>
      <c r="ER50" s="56">
        <v>260</v>
      </c>
      <c r="ES50" s="55">
        <v>21</v>
      </c>
      <c r="ET50" s="56">
        <v>250</v>
      </c>
      <c r="EU50" s="55">
        <v>25</v>
      </c>
      <c r="EV50" s="56">
        <v>270</v>
      </c>
      <c r="EW50" s="55">
        <v>15</v>
      </c>
      <c r="EX50" s="56">
        <v>270</v>
      </c>
      <c r="EY50" s="55">
        <v>22</v>
      </c>
      <c r="EZ50" s="56">
        <v>280</v>
      </c>
      <c r="FA50" s="55">
        <v>22</v>
      </c>
      <c r="FB50" s="56">
        <v>278</v>
      </c>
      <c r="FC50" s="55">
        <v>23</v>
      </c>
      <c r="FD50" s="56">
        <v>275</v>
      </c>
      <c r="FE50" s="55">
        <v>19</v>
      </c>
      <c r="FF50" s="56">
        <v>285</v>
      </c>
      <c r="FG50" s="55">
        <v>23</v>
      </c>
      <c r="FH50" s="56">
        <v>280</v>
      </c>
      <c r="FI50" s="55">
        <v>17</v>
      </c>
      <c r="FJ50" s="56">
        <v>280</v>
      </c>
      <c r="FK50" s="55">
        <v>17</v>
      </c>
      <c r="FL50" s="56">
        <v>295</v>
      </c>
      <c r="FM50" s="55">
        <v>23</v>
      </c>
      <c r="FN50" s="56">
        <v>290</v>
      </c>
      <c r="FO50" s="55">
        <v>21</v>
      </c>
      <c r="FP50" s="56">
        <v>300</v>
      </c>
      <c r="FQ50" s="55">
        <v>21</v>
      </c>
      <c r="FR50" s="56">
        <v>290</v>
      </c>
      <c r="FS50" s="55">
        <v>16</v>
      </c>
      <c r="FT50" s="56">
        <v>300</v>
      </c>
      <c r="FU50" s="55">
        <v>20</v>
      </c>
      <c r="FV50" s="56">
        <v>305</v>
      </c>
      <c r="FW50" s="55">
        <v>17</v>
      </c>
      <c r="FX50" s="56">
        <v>320</v>
      </c>
      <c r="FY50" s="55">
        <v>22</v>
      </c>
      <c r="FZ50" s="56">
        <v>350</v>
      </c>
      <c r="GA50" s="55">
        <v>16</v>
      </c>
      <c r="GB50" s="56">
        <v>383</v>
      </c>
      <c r="GC50" s="55">
        <v>16</v>
      </c>
      <c r="GD50" s="56">
        <v>340</v>
      </c>
      <c r="GE50" s="55">
        <v>24</v>
      </c>
      <c r="GF50" s="56">
        <v>355</v>
      </c>
      <c r="GG50" s="55">
        <v>24</v>
      </c>
      <c r="GH50" s="56">
        <v>365</v>
      </c>
      <c r="GI50" s="55">
        <v>21</v>
      </c>
      <c r="GJ50" s="56">
        <v>360</v>
      </c>
      <c r="GK50" s="55">
        <v>20</v>
      </c>
      <c r="GL50" s="56">
        <v>388</v>
      </c>
      <c r="GM50" s="55">
        <v>12</v>
      </c>
      <c r="GN50" s="56">
        <v>385</v>
      </c>
      <c r="GO50" s="55">
        <v>21</v>
      </c>
      <c r="GP50" s="56">
        <v>370</v>
      </c>
      <c r="GQ50" s="55">
        <v>20</v>
      </c>
      <c r="GR50" s="56">
        <v>385</v>
      </c>
      <c r="GS50" s="55">
        <v>15</v>
      </c>
      <c r="GT50" s="56">
        <v>375</v>
      </c>
      <c r="GU50" s="55">
        <v>7</v>
      </c>
      <c r="GV50" s="56">
        <v>380</v>
      </c>
      <c r="GW50" s="55">
        <v>18</v>
      </c>
      <c r="GX50" s="56">
        <v>390</v>
      </c>
      <c r="GY50" s="55">
        <v>11</v>
      </c>
      <c r="GZ50" s="56">
        <v>390</v>
      </c>
      <c r="HA50" s="7">
        <v>15</v>
      </c>
      <c r="HB50" s="56">
        <v>380</v>
      </c>
      <c r="HC50" s="7">
        <v>10</v>
      </c>
      <c r="HD50" s="56">
        <v>420</v>
      </c>
      <c r="HE50" s="7">
        <v>14</v>
      </c>
      <c r="HF50" s="56">
        <v>393</v>
      </c>
    </row>
    <row r="51" spans="1:214" x14ac:dyDescent="0.25">
      <c r="A51" s="53"/>
      <c r="B51" s="54" t="s">
        <v>791</v>
      </c>
      <c r="C51" s="55">
        <v>52</v>
      </c>
      <c r="D51" s="56">
        <v>115</v>
      </c>
      <c r="E51" s="55">
        <v>38</v>
      </c>
      <c r="F51" s="56">
        <v>123</v>
      </c>
      <c r="G51" s="55">
        <v>49</v>
      </c>
      <c r="H51" s="56">
        <v>115</v>
      </c>
      <c r="I51" s="55">
        <v>46</v>
      </c>
      <c r="J51" s="56">
        <v>115</v>
      </c>
      <c r="K51" s="55">
        <v>40</v>
      </c>
      <c r="L51" s="56">
        <v>119</v>
      </c>
      <c r="M51" s="55">
        <v>53</v>
      </c>
      <c r="N51" s="56">
        <v>115</v>
      </c>
      <c r="O51" s="55">
        <v>41</v>
      </c>
      <c r="P51" s="56">
        <v>110</v>
      </c>
      <c r="Q51" s="55">
        <v>48</v>
      </c>
      <c r="R51" s="56">
        <v>110</v>
      </c>
      <c r="S51" s="55">
        <v>46</v>
      </c>
      <c r="T51" s="56">
        <v>125</v>
      </c>
      <c r="U51" s="55">
        <v>27</v>
      </c>
      <c r="V51" s="56">
        <v>125</v>
      </c>
      <c r="W51" s="55">
        <v>30</v>
      </c>
      <c r="X51" s="56">
        <v>120</v>
      </c>
      <c r="Y51" s="55">
        <v>36</v>
      </c>
      <c r="Z51" s="56">
        <v>133</v>
      </c>
      <c r="AA51" s="55">
        <v>35</v>
      </c>
      <c r="AB51" s="56">
        <v>130</v>
      </c>
      <c r="AC51" s="55">
        <v>34</v>
      </c>
      <c r="AD51" s="56">
        <v>125</v>
      </c>
      <c r="AE51" s="55">
        <v>32</v>
      </c>
      <c r="AF51" s="56">
        <v>133</v>
      </c>
      <c r="AG51" s="55">
        <v>30</v>
      </c>
      <c r="AH51" s="56">
        <v>130</v>
      </c>
      <c r="AI51" s="55">
        <v>35</v>
      </c>
      <c r="AJ51" s="56">
        <v>135</v>
      </c>
      <c r="AK51" s="55">
        <v>23</v>
      </c>
      <c r="AL51" s="56">
        <v>140</v>
      </c>
      <c r="AM51" s="55">
        <v>26</v>
      </c>
      <c r="AN51" s="56">
        <v>143</v>
      </c>
      <c r="AO51" s="55">
        <v>35</v>
      </c>
      <c r="AP51" s="56">
        <v>140</v>
      </c>
      <c r="AQ51" s="55">
        <v>30</v>
      </c>
      <c r="AR51" s="56">
        <v>138</v>
      </c>
      <c r="AS51" s="55">
        <v>40</v>
      </c>
      <c r="AT51" s="56">
        <v>125</v>
      </c>
      <c r="AU51" s="55">
        <v>31</v>
      </c>
      <c r="AV51" s="56">
        <v>140</v>
      </c>
      <c r="AW51" s="55">
        <v>39</v>
      </c>
      <c r="AX51" s="56">
        <v>150</v>
      </c>
      <c r="AY51" s="55">
        <v>26</v>
      </c>
      <c r="AZ51" s="56">
        <v>148</v>
      </c>
      <c r="BA51" s="55">
        <v>32</v>
      </c>
      <c r="BB51" s="56">
        <v>140</v>
      </c>
      <c r="BC51" s="55">
        <v>25</v>
      </c>
      <c r="BD51" s="56">
        <v>135</v>
      </c>
      <c r="BE51" s="55">
        <v>48</v>
      </c>
      <c r="BF51" s="56">
        <v>160</v>
      </c>
      <c r="BG51" s="55">
        <v>34</v>
      </c>
      <c r="BH51" s="56">
        <v>153</v>
      </c>
      <c r="BI51" s="55">
        <v>39</v>
      </c>
      <c r="BJ51" s="56">
        <v>145</v>
      </c>
      <c r="BK51" s="55">
        <v>48</v>
      </c>
      <c r="BL51" s="56">
        <v>150</v>
      </c>
      <c r="BM51" s="55">
        <v>41</v>
      </c>
      <c r="BN51" s="56">
        <v>175</v>
      </c>
      <c r="BO51" s="55">
        <v>45</v>
      </c>
      <c r="BP51" s="56">
        <v>160</v>
      </c>
      <c r="BQ51" s="55">
        <v>26</v>
      </c>
      <c r="BR51" s="56">
        <v>150</v>
      </c>
      <c r="BS51" s="55">
        <v>42</v>
      </c>
      <c r="BT51" s="56">
        <v>150</v>
      </c>
      <c r="BU51" s="55">
        <v>42</v>
      </c>
      <c r="BV51" s="56">
        <v>170</v>
      </c>
      <c r="BW51" s="55">
        <v>42</v>
      </c>
      <c r="BX51" s="56">
        <v>175</v>
      </c>
      <c r="BY51" s="55">
        <v>30</v>
      </c>
      <c r="BZ51" s="56">
        <v>168</v>
      </c>
      <c r="CA51" s="55">
        <v>39</v>
      </c>
      <c r="CB51" s="56">
        <v>180</v>
      </c>
      <c r="CC51" s="55">
        <v>44</v>
      </c>
      <c r="CD51" s="56">
        <v>170</v>
      </c>
      <c r="CE51" s="55">
        <v>36</v>
      </c>
      <c r="CF51" s="56">
        <v>190</v>
      </c>
      <c r="CG51" s="55">
        <v>37</v>
      </c>
      <c r="CH51" s="56">
        <v>175</v>
      </c>
      <c r="CI51" s="55">
        <v>30</v>
      </c>
      <c r="CJ51" s="56">
        <v>178</v>
      </c>
      <c r="CK51" s="55">
        <v>43</v>
      </c>
      <c r="CL51" s="56">
        <v>200</v>
      </c>
      <c r="CM51" s="55">
        <v>34</v>
      </c>
      <c r="CN51" s="56">
        <v>190</v>
      </c>
      <c r="CO51" s="55">
        <v>37</v>
      </c>
      <c r="CP51" s="56">
        <v>200</v>
      </c>
      <c r="CQ51" s="55">
        <v>36</v>
      </c>
      <c r="CR51" s="56">
        <v>210</v>
      </c>
      <c r="CS51" s="55">
        <v>40</v>
      </c>
      <c r="CT51" s="56">
        <v>210</v>
      </c>
      <c r="CU51" s="55">
        <v>32</v>
      </c>
      <c r="CV51" s="56">
        <v>220</v>
      </c>
      <c r="CW51" s="55">
        <v>38</v>
      </c>
      <c r="CX51" s="56">
        <v>220</v>
      </c>
      <c r="CY51" s="55">
        <v>36</v>
      </c>
      <c r="CZ51" s="56">
        <v>210</v>
      </c>
      <c r="DA51" s="55">
        <v>46</v>
      </c>
      <c r="DB51" s="56">
        <v>220</v>
      </c>
      <c r="DC51" s="55">
        <v>53</v>
      </c>
      <c r="DD51" s="56">
        <v>220</v>
      </c>
      <c r="DE51" s="55">
        <v>46</v>
      </c>
      <c r="DF51" s="56">
        <v>220</v>
      </c>
      <c r="DG51" s="55">
        <v>35</v>
      </c>
      <c r="DH51" s="56">
        <v>220</v>
      </c>
      <c r="DI51" s="55">
        <v>37</v>
      </c>
      <c r="DJ51" s="56">
        <v>215</v>
      </c>
      <c r="DK51" s="55">
        <v>43</v>
      </c>
      <c r="DL51" s="56">
        <v>230</v>
      </c>
      <c r="DM51" s="55">
        <v>54</v>
      </c>
      <c r="DN51" s="56">
        <v>225</v>
      </c>
      <c r="DO51" s="55">
        <v>37</v>
      </c>
      <c r="DP51" s="56">
        <v>230</v>
      </c>
      <c r="DQ51" s="55">
        <v>46</v>
      </c>
      <c r="DR51" s="56">
        <v>230</v>
      </c>
      <c r="DS51" s="55">
        <v>47</v>
      </c>
      <c r="DT51" s="56">
        <v>220</v>
      </c>
      <c r="DU51" s="55">
        <v>58</v>
      </c>
      <c r="DV51" s="56">
        <v>230</v>
      </c>
      <c r="DW51" s="55">
        <v>48</v>
      </c>
      <c r="DX51" s="56">
        <v>240</v>
      </c>
      <c r="DY51" s="55">
        <v>37</v>
      </c>
      <c r="DZ51" s="56">
        <v>230</v>
      </c>
      <c r="EA51" s="55">
        <v>50</v>
      </c>
      <c r="EB51" s="56">
        <v>238</v>
      </c>
      <c r="EC51" s="55">
        <v>51</v>
      </c>
      <c r="ED51" s="56">
        <v>245</v>
      </c>
      <c r="EE51" s="55">
        <v>58</v>
      </c>
      <c r="EF51" s="56">
        <v>250</v>
      </c>
      <c r="EG51" s="55">
        <v>32</v>
      </c>
      <c r="EH51" s="56">
        <v>250</v>
      </c>
      <c r="EI51" s="55">
        <v>35</v>
      </c>
      <c r="EJ51" s="56">
        <v>250</v>
      </c>
      <c r="EK51" s="55">
        <v>46</v>
      </c>
      <c r="EL51" s="56">
        <v>240</v>
      </c>
      <c r="EM51" s="55">
        <v>38</v>
      </c>
      <c r="EN51" s="56">
        <v>263</v>
      </c>
      <c r="EO51" s="55">
        <v>63</v>
      </c>
      <c r="EP51" s="56">
        <v>265</v>
      </c>
      <c r="EQ51" s="55">
        <v>46</v>
      </c>
      <c r="ER51" s="56">
        <v>268</v>
      </c>
      <c r="ES51" s="55">
        <v>49</v>
      </c>
      <c r="ET51" s="56">
        <v>265</v>
      </c>
      <c r="EU51" s="55">
        <v>38</v>
      </c>
      <c r="EV51" s="56">
        <v>263</v>
      </c>
      <c r="EW51" s="55">
        <v>47</v>
      </c>
      <c r="EX51" s="56">
        <v>265</v>
      </c>
      <c r="EY51" s="55">
        <v>38</v>
      </c>
      <c r="EZ51" s="56">
        <v>270</v>
      </c>
      <c r="FA51" s="55">
        <v>40</v>
      </c>
      <c r="FB51" s="56">
        <v>273</v>
      </c>
      <c r="FC51" s="55">
        <v>35</v>
      </c>
      <c r="FD51" s="56">
        <v>280</v>
      </c>
      <c r="FE51" s="55">
        <v>38</v>
      </c>
      <c r="FF51" s="56">
        <v>268</v>
      </c>
      <c r="FG51" s="55">
        <v>24</v>
      </c>
      <c r="FH51" s="56">
        <v>280</v>
      </c>
      <c r="FI51" s="55">
        <v>46</v>
      </c>
      <c r="FJ51" s="56">
        <v>283</v>
      </c>
      <c r="FK51" s="55">
        <v>36</v>
      </c>
      <c r="FL51" s="56">
        <v>290</v>
      </c>
      <c r="FM51" s="55">
        <v>41</v>
      </c>
      <c r="FN51" s="56">
        <v>290</v>
      </c>
      <c r="FO51" s="55">
        <v>32</v>
      </c>
      <c r="FP51" s="56">
        <v>278</v>
      </c>
      <c r="FQ51" s="55">
        <v>39</v>
      </c>
      <c r="FR51" s="56">
        <v>300</v>
      </c>
      <c r="FS51" s="55">
        <v>27</v>
      </c>
      <c r="FT51" s="56">
        <v>290</v>
      </c>
      <c r="FU51" s="55">
        <v>38</v>
      </c>
      <c r="FV51" s="56">
        <v>310</v>
      </c>
      <c r="FW51" s="55">
        <v>24</v>
      </c>
      <c r="FX51" s="56">
        <v>315</v>
      </c>
      <c r="FY51" s="55">
        <v>38</v>
      </c>
      <c r="FZ51" s="56">
        <v>320</v>
      </c>
      <c r="GA51" s="55">
        <v>42</v>
      </c>
      <c r="GB51" s="56">
        <v>320</v>
      </c>
      <c r="GC51" s="55">
        <v>30</v>
      </c>
      <c r="GD51" s="56">
        <v>320</v>
      </c>
      <c r="GE51" s="55">
        <v>31</v>
      </c>
      <c r="GF51" s="56">
        <v>320</v>
      </c>
      <c r="GG51" s="55">
        <v>41</v>
      </c>
      <c r="GH51" s="56">
        <v>340</v>
      </c>
      <c r="GI51" s="55">
        <v>37</v>
      </c>
      <c r="GJ51" s="56">
        <v>350</v>
      </c>
      <c r="GK51" s="55">
        <v>45</v>
      </c>
      <c r="GL51" s="56">
        <v>350</v>
      </c>
      <c r="GM51" s="55">
        <v>31</v>
      </c>
      <c r="GN51" s="56">
        <v>360</v>
      </c>
      <c r="GO51" s="55">
        <v>39</v>
      </c>
      <c r="GP51" s="56">
        <v>365</v>
      </c>
      <c r="GQ51" s="55">
        <v>39</v>
      </c>
      <c r="GR51" s="56">
        <v>380</v>
      </c>
      <c r="GS51" s="55">
        <v>35</v>
      </c>
      <c r="GT51" s="56">
        <v>385</v>
      </c>
      <c r="GU51" s="55">
        <v>29</v>
      </c>
      <c r="GV51" s="56">
        <v>390</v>
      </c>
      <c r="GW51" s="55">
        <v>34</v>
      </c>
      <c r="GX51" s="56">
        <v>400</v>
      </c>
      <c r="GY51" s="55">
        <v>35</v>
      </c>
      <c r="GZ51" s="56">
        <v>395</v>
      </c>
      <c r="HA51">
        <v>42</v>
      </c>
      <c r="HB51" s="56">
        <v>420</v>
      </c>
      <c r="HC51">
        <v>34</v>
      </c>
      <c r="HD51" s="56">
        <v>418</v>
      </c>
      <c r="HE51">
        <v>28</v>
      </c>
      <c r="HF51" s="56">
        <v>425</v>
      </c>
    </row>
    <row r="52" spans="1:214" x14ac:dyDescent="0.25">
      <c r="A52" s="53"/>
      <c r="B52" s="54" t="s">
        <v>792</v>
      </c>
      <c r="C52" s="55">
        <v>68</v>
      </c>
      <c r="D52" s="56">
        <v>105</v>
      </c>
      <c r="E52" s="55">
        <v>59</v>
      </c>
      <c r="F52" s="56">
        <v>110</v>
      </c>
      <c r="G52" s="55">
        <v>62</v>
      </c>
      <c r="H52" s="56">
        <v>110</v>
      </c>
      <c r="I52" s="55">
        <v>63</v>
      </c>
      <c r="J52" s="56">
        <v>110</v>
      </c>
      <c r="K52" s="55">
        <v>62</v>
      </c>
      <c r="L52" s="56">
        <v>108</v>
      </c>
      <c r="M52" s="55">
        <v>59</v>
      </c>
      <c r="N52" s="56">
        <v>115</v>
      </c>
      <c r="O52" s="55">
        <v>54</v>
      </c>
      <c r="P52" s="56">
        <v>115</v>
      </c>
      <c r="Q52" s="55">
        <v>67</v>
      </c>
      <c r="R52" s="56">
        <v>110</v>
      </c>
      <c r="S52" s="55">
        <v>60</v>
      </c>
      <c r="T52" s="56">
        <v>115</v>
      </c>
      <c r="U52" s="55">
        <v>66</v>
      </c>
      <c r="V52" s="56">
        <v>120</v>
      </c>
      <c r="W52" s="55">
        <v>55</v>
      </c>
      <c r="X52" s="56">
        <v>120</v>
      </c>
      <c r="Y52" s="55">
        <v>68</v>
      </c>
      <c r="Z52" s="56">
        <v>120</v>
      </c>
      <c r="AA52" s="55">
        <v>57</v>
      </c>
      <c r="AB52" s="56">
        <v>120</v>
      </c>
      <c r="AC52" s="55">
        <v>58</v>
      </c>
      <c r="AD52" s="56">
        <v>125</v>
      </c>
      <c r="AE52" s="55">
        <v>53</v>
      </c>
      <c r="AF52" s="56">
        <v>120</v>
      </c>
      <c r="AG52" s="55">
        <v>49</v>
      </c>
      <c r="AH52" s="56">
        <v>130</v>
      </c>
      <c r="AI52" s="55">
        <v>49</v>
      </c>
      <c r="AJ52" s="56">
        <v>130</v>
      </c>
      <c r="AK52" s="55">
        <v>74</v>
      </c>
      <c r="AL52" s="56">
        <v>130</v>
      </c>
      <c r="AM52" s="55">
        <v>42</v>
      </c>
      <c r="AN52" s="56">
        <v>135</v>
      </c>
      <c r="AO52" s="55">
        <v>52</v>
      </c>
      <c r="AP52" s="56">
        <v>135</v>
      </c>
      <c r="AQ52" s="55">
        <v>42</v>
      </c>
      <c r="AR52" s="56">
        <v>138</v>
      </c>
      <c r="AS52" s="55">
        <v>51</v>
      </c>
      <c r="AT52" s="56">
        <v>145</v>
      </c>
      <c r="AU52" s="55">
        <v>44</v>
      </c>
      <c r="AV52" s="56">
        <v>150</v>
      </c>
      <c r="AW52" s="55">
        <v>42</v>
      </c>
      <c r="AX52" s="56">
        <v>140</v>
      </c>
      <c r="AY52" s="55">
        <v>46</v>
      </c>
      <c r="AZ52" s="56">
        <v>142</v>
      </c>
      <c r="BA52" s="55">
        <v>64</v>
      </c>
      <c r="BB52" s="56">
        <v>160</v>
      </c>
      <c r="BC52" s="55">
        <v>47</v>
      </c>
      <c r="BD52" s="56">
        <v>145</v>
      </c>
      <c r="BE52" s="55">
        <v>63</v>
      </c>
      <c r="BF52" s="56">
        <v>155</v>
      </c>
      <c r="BG52" s="55">
        <v>72</v>
      </c>
      <c r="BH52" s="56">
        <v>150</v>
      </c>
      <c r="BI52" s="55">
        <v>58</v>
      </c>
      <c r="BJ52" s="56">
        <v>155</v>
      </c>
      <c r="BK52" s="55">
        <v>46</v>
      </c>
      <c r="BL52" s="56">
        <v>155</v>
      </c>
      <c r="BM52" s="55">
        <v>37</v>
      </c>
      <c r="BN52" s="56">
        <v>165</v>
      </c>
      <c r="BO52" s="55">
        <v>56</v>
      </c>
      <c r="BP52" s="56">
        <v>153</v>
      </c>
      <c r="BQ52" s="55">
        <v>54</v>
      </c>
      <c r="BR52" s="56">
        <v>150</v>
      </c>
      <c r="BS52" s="55">
        <v>66</v>
      </c>
      <c r="BT52" s="56">
        <v>160</v>
      </c>
      <c r="BU52" s="55">
        <v>49</v>
      </c>
      <c r="BV52" s="56">
        <v>170</v>
      </c>
      <c r="BW52" s="55">
        <v>52</v>
      </c>
      <c r="BX52" s="56">
        <v>160</v>
      </c>
      <c r="BY52" s="55">
        <v>59</v>
      </c>
      <c r="BZ52" s="56">
        <v>165</v>
      </c>
      <c r="CA52" s="55">
        <v>58</v>
      </c>
      <c r="CB52" s="56">
        <v>170</v>
      </c>
      <c r="CC52" s="55">
        <v>48</v>
      </c>
      <c r="CD52" s="56">
        <v>173</v>
      </c>
      <c r="CE52" s="55">
        <v>64</v>
      </c>
      <c r="CF52" s="56">
        <v>170</v>
      </c>
      <c r="CG52" s="55">
        <v>68</v>
      </c>
      <c r="CH52" s="56">
        <v>170</v>
      </c>
      <c r="CI52" s="55">
        <v>41</v>
      </c>
      <c r="CJ52" s="56">
        <v>165</v>
      </c>
      <c r="CK52" s="55">
        <v>49</v>
      </c>
      <c r="CL52" s="56">
        <v>190</v>
      </c>
      <c r="CM52" s="55">
        <v>46</v>
      </c>
      <c r="CN52" s="56">
        <v>180</v>
      </c>
      <c r="CO52" s="55">
        <v>57</v>
      </c>
      <c r="CP52" s="56">
        <v>190</v>
      </c>
      <c r="CQ52" s="55">
        <v>51</v>
      </c>
      <c r="CR52" s="56">
        <v>180</v>
      </c>
      <c r="CS52" s="55">
        <v>48</v>
      </c>
      <c r="CT52" s="56">
        <v>190</v>
      </c>
      <c r="CU52" s="55">
        <v>46</v>
      </c>
      <c r="CV52" s="56">
        <v>200</v>
      </c>
      <c r="CW52" s="55">
        <v>50</v>
      </c>
      <c r="CX52" s="56">
        <v>195</v>
      </c>
      <c r="CY52" s="55">
        <v>41</v>
      </c>
      <c r="CZ52" s="56">
        <v>200</v>
      </c>
      <c r="DA52" s="55">
        <v>57</v>
      </c>
      <c r="DB52" s="56">
        <v>200</v>
      </c>
      <c r="DC52" s="55">
        <v>47</v>
      </c>
      <c r="DD52" s="56">
        <v>200</v>
      </c>
      <c r="DE52" s="55">
        <v>65</v>
      </c>
      <c r="DF52" s="56">
        <v>210</v>
      </c>
      <c r="DG52" s="55">
        <v>55</v>
      </c>
      <c r="DH52" s="56">
        <v>200</v>
      </c>
      <c r="DI52" s="55">
        <v>58</v>
      </c>
      <c r="DJ52" s="56">
        <v>197</v>
      </c>
      <c r="DK52" s="55">
        <v>57</v>
      </c>
      <c r="DL52" s="56">
        <v>210</v>
      </c>
      <c r="DM52" s="55">
        <v>63</v>
      </c>
      <c r="DN52" s="56">
        <v>200</v>
      </c>
      <c r="DO52" s="55">
        <v>59</v>
      </c>
      <c r="DP52" s="56">
        <v>210</v>
      </c>
      <c r="DQ52" s="55">
        <v>56</v>
      </c>
      <c r="DR52" s="56">
        <v>220</v>
      </c>
      <c r="DS52" s="55">
        <v>55</v>
      </c>
      <c r="DT52" s="56">
        <v>220</v>
      </c>
      <c r="DU52" s="55">
        <v>55</v>
      </c>
      <c r="DV52" s="56">
        <v>220</v>
      </c>
      <c r="DW52" s="55">
        <v>52</v>
      </c>
      <c r="DX52" s="56">
        <v>220</v>
      </c>
      <c r="DY52" s="55">
        <v>66</v>
      </c>
      <c r="DZ52" s="56">
        <v>230</v>
      </c>
      <c r="EA52" s="55">
        <v>59</v>
      </c>
      <c r="EB52" s="56">
        <v>220</v>
      </c>
      <c r="EC52" s="55">
        <v>45</v>
      </c>
      <c r="ED52" s="56">
        <v>215</v>
      </c>
      <c r="EE52" s="55">
        <v>58</v>
      </c>
      <c r="EF52" s="56">
        <v>228</v>
      </c>
      <c r="EG52" s="55">
        <v>73</v>
      </c>
      <c r="EH52" s="56">
        <v>228</v>
      </c>
      <c r="EI52" s="55">
        <v>44</v>
      </c>
      <c r="EJ52" s="56">
        <v>230</v>
      </c>
      <c r="EK52" s="55">
        <v>62</v>
      </c>
      <c r="EL52" s="56">
        <v>225</v>
      </c>
      <c r="EM52" s="55">
        <v>50</v>
      </c>
      <c r="EN52" s="56">
        <v>230</v>
      </c>
      <c r="EO52" s="55">
        <v>52</v>
      </c>
      <c r="EP52" s="56">
        <v>228</v>
      </c>
      <c r="EQ52" s="55">
        <v>54</v>
      </c>
      <c r="ER52" s="56">
        <v>225</v>
      </c>
      <c r="ES52" s="55">
        <v>41</v>
      </c>
      <c r="ET52" s="56">
        <v>230</v>
      </c>
      <c r="EU52" s="55">
        <v>63</v>
      </c>
      <c r="EV52" s="56">
        <v>230</v>
      </c>
      <c r="EW52" s="55">
        <v>44</v>
      </c>
      <c r="EX52" s="56">
        <v>235</v>
      </c>
      <c r="EY52" s="55">
        <v>50</v>
      </c>
      <c r="EZ52" s="56">
        <v>243</v>
      </c>
      <c r="FA52" s="55">
        <v>46</v>
      </c>
      <c r="FB52" s="56">
        <v>250</v>
      </c>
      <c r="FC52" s="55">
        <v>37</v>
      </c>
      <c r="FD52" s="56">
        <v>240</v>
      </c>
      <c r="FE52" s="55">
        <v>54</v>
      </c>
      <c r="FF52" s="56">
        <v>240</v>
      </c>
      <c r="FG52" s="55">
        <v>41</v>
      </c>
      <c r="FH52" s="56">
        <v>250</v>
      </c>
      <c r="FI52" s="55">
        <v>41</v>
      </c>
      <c r="FJ52" s="56">
        <v>250</v>
      </c>
      <c r="FK52" s="55">
        <v>47</v>
      </c>
      <c r="FL52" s="56">
        <v>250</v>
      </c>
      <c r="FM52" s="55">
        <v>53</v>
      </c>
      <c r="FN52" s="56">
        <v>250</v>
      </c>
      <c r="FO52" s="55">
        <v>47</v>
      </c>
      <c r="FP52" s="56">
        <v>250</v>
      </c>
      <c r="FQ52" s="55">
        <v>55</v>
      </c>
      <c r="FR52" s="56">
        <v>260</v>
      </c>
      <c r="FS52" s="55">
        <v>35</v>
      </c>
      <c r="FT52" s="56">
        <v>260</v>
      </c>
      <c r="FU52" s="55">
        <v>36</v>
      </c>
      <c r="FV52" s="56">
        <v>275</v>
      </c>
      <c r="FW52" s="55">
        <v>47</v>
      </c>
      <c r="FX52" s="56">
        <v>265</v>
      </c>
      <c r="FY52" s="55">
        <v>36</v>
      </c>
      <c r="FZ52" s="56">
        <v>270</v>
      </c>
      <c r="GA52" s="55">
        <v>45</v>
      </c>
      <c r="GB52" s="56">
        <v>300</v>
      </c>
      <c r="GC52" s="55">
        <v>49</v>
      </c>
      <c r="GD52" s="56">
        <v>300</v>
      </c>
      <c r="GE52" s="55">
        <v>41</v>
      </c>
      <c r="GF52" s="56">
        <v>300</v>
      </c>
      <c r="GG52" s="55">
        <v>45</v>
      </c>
      <c r="GH52" s="56">
        <v>310</v>
      </c>
      <c r="GI52" s="55">
        <v>37</v>
      </c>
      <c r="GJ52" s="56">
        <v>300</v>
      </c>
      <c r="GK52" s="55">
        <v>45</v>
      </c>
      <c r="GL52" s="56">
        <v>320</v>
      </c>
      <c r="GM52" s="55">
        <v>44</v>
      </c>
      <c r="GN52" s="56">
        <v>318</v>
      </c>
      <c r="GO52" s="55">
        <v>33</v>
      </c>
      <c r="GP52" s="56">
        <v>320</v>
      </c>
      <c r="GQ52" s="55">
        <v>33</v>
      </c>
      <c r="GR52" s="56">
        <v>325</v>
      </c>
      <c r="GS52" s="55">
        <v>47</v>
      </c>
      <c r="GT52" s="56">
        <v>320</v>
      </c>
      <c r="GU52" s="55">
        <v>31</v>
      </c>
      <c r="GV52" s="56">
        <v>330</v>
      </c>
      <c r="GW52" s="55">
        <v>41</v>
      </c>
      <c r="GX52" s="56">
        <v>350</v>
      </c>
      <c r="GY52" s="55">
        <v>29</v>
      </c>
      <c r="GZ52" s="56">
        <v>345</v>
      </c>
      <c r="HA52">
        <v>32</v>
      </c>
      <c r="HB52" s="56">
        <v>350</v>
      </c>
      <c r="HC52">
        <v>24</v>
      </c>
      <c r="HD52" s="56">
        <v>365</v>
      </c>
      <c r="HE52">
        <v>34</v>
      </c>
      <c r="HF52" s="56">
        <v>365</v>
      </c>
    </row>
    <row r="53" spans="1:214" x14ac:dyDescent="0.25">
      <c r="A53" s="53"/>
      <c r="B53" s="54" t="s">
        <v>793</v>
      </c>
      <c r="C53" s="55">
        <v>149</v>
      </c>
      <c r="D53" s="56">
        <v>100</v>
      </c>
      <c r="E53" s="55">
        <v>141</v>
      </c>
      <c r="F53" s="56">
        <v>95</v>
      </c>
      <c r="G53" s="55">
        <v>126</v>
      </c>
      <c r="H53" s="56">
        <v>100</v>
      </c>
      <c r="I53" s="55">
        <v>189</v>
      </c>
      <c r="J53" s="56">
        <v>100</v>
      </c>
      <c r="K53" s="55">
        <v>143</v>
      </c>
      <c r="L53" s="56">
        <v>90</v>
      </c>
      <c r="M53" s="55">
        <v>162</v>
      </c>
      <c r="N53" s="56">
        <v>95</v>
      </c>
      <c r="O53" s="55">
        <v>146</v>
      </c>
      <c r="P53" s="56">
        <v>100</v>
      </c>
      <c r="Q53" s="55">
        <v>164</v>
      </c>
      <c r="R53" s="56">
        <v>100</v>
      </c>
      <c r="S53" s="55">
        <v>150</v>
      </c>
      <c r="T53" s="56">
        <v>95</v>
      </c>
      <c r="U53" s="55">
        <v>172</v>
      </c>
      <c r="V53" s="56">
        <v>95</v>
      </c>
      <c r="W53" s="55">
        <v>153</v>
      </c>
      <c r="X53" s="56">
        <v>90</v>
      </c>
      <c r="Y53" s="55">
        <v>168</v>
      </c>
      <c r="Z53" s="56">
        <v>100</v>
      </c>
      <c r="AA53" s="55">
        <v>172</v>
      </c>
      <c r="AB53" s="56">
        <v>100</v>
      </c>
      <c r="AC53" s="55">
        <v>134</v>
      </c>
      <c r="AD53" s="56">
        <v>110</v>
      </c>
      <c r="AE53" s="55">
        <v>137</v>
      </c>
      <c r="AF53" s="56">
        <v>110</v>
      </c>
      <c r="AG53" s="55">
        <v>147</v>
      </c>
      <c r="AH53" s="56">
        <v>110</v>
      </c>
      <c r="AI53" s="55">
        <v>141</v>
      </c>
      <c r="AJ53" s="56">
        <v>110</v>
      </c>
      <c r="AK53" s="55">
        <v>154</v>
      </c>
      <c r="AL53" s="56">
        <v>120</v>
      </c>
      <c r="AM53" s="55">
        <v>130</v>
      </c>
      <c r="AN53" s="56">
        <v>110</v>
      </c>
      <c r="AO53" s="55">
        <v>146</v>
      </c>
      <c r="AP53" s="56">
        <v>120</v>
      </c>
      <c r="AQ53" s="55">
        <v>121</v>
      </c>
      <c r="AR53" s="56">
        <v>115</v>
      </c>
      <c r="AS53" s="55">
        <v>133</v>
      </c>
      <c r="AT53" s="56">
        <v>120</v>
      </c>
      <c r="AU53" s="55">
        <v>137</v>
      </c>
      <c r="AV53" s="56">
        <v>120</v>
      </c>
      <c r="AW53" s="55">
        <v>157</v>
      </c>
      <c r="AX53" s="56">
        <v>115</v>
      </c>
      <c r="AY53" s="55">
        <v>130</v>
      </c>
      <c r="AZ53" s="56">
        <v>120</v>
      </c>
      <c r="BA53" s="55">
        <v>128</v>
      </c>
      <c r="BB53" s="56">
        <v>120</v>
      </c>
      <c r="BC53" s="55">
        <v>122</v>
      </c>
      <c r="BD53" s="56">
        <v>120</v>
      </c>
      <c r="BE53" s="55">
        <v>145</v>
      </c>
      <c r="BF53" s="56">
        <v>125</v>
      </c>
      <c r="BG53" s="55">
        <v>124</v>
      </c>
      <c r="BH53" s="56">
        <v>120</v>
      </c>
      <c r="BI53" s="55">
        <v>123</v>
      </c>
      <c r="BJ53" s="56">
        <v>125</v>
      </c>
      <c r="BK53" s="55">
        <v>121</v>
      </c>
      <c r="BL53" s="56">
        <v>125</v>
      </c>
      <c r="BM53" s="55">
        <v>154</v>
      </c>
      <c r="BN53" s="56">
        <v>125</v>
      </c>
      <c r="BO53" s="55">
        <v>125</v>
      </c>
      <c r="BP53" s="56">
        <v>125</v>
      </c>
      <c r="BQ53" s="55">
        <v>102</v>
      </c>
      <c r="BR53" s="56">
        <v>128</v>
      </c>
      <c r="BS53" s="55">
        <v>97</v>
      </c>
      <c r="BT53" s="56">
        <v>140</v>
      </c>
      <c r="BU53" s="55">
        <v>127</v>
      </c>
      <c r="BV53" s="56">
        <v>140</v>
      </c>
      <c r="BW53" s="55">
        <v>126</v>
      </c>
      <c r="BX53" s="56">
        <v>130</v>
      </c>
      <c r="BY53" s="55">
        <v>115</v>
      </c>
      <c r="BZ53" s="56">
        <v>140</v>
      </c>
      <c r="CA53" s="55">
        <v>113</v>
      </c>
      <c r="CB53" s="56">
        <v>125</v>
      </c>
      <c r="CC53" s="55">
        <v>121</v>
      </c>
      <c r="CD53" s="56">
        <v>140</v>
      </c>
      <c r="CE53" s="55">
        <v>102</v>
      </c>
      <c r="CF53" s="56">
        <v>148</v>
      </c>
      <c r="CG53" s="55">
        <v>101</v>
      </c>
      <c r="CH53" s="56">
        <v>145</v>
      </c>
      <c r="CI53" s="55">
        <v>121</v>
      </c>
      <c r="CJ53" s="56">
        <v>160</v>
      </c>
      <c r="CK53" s="55">
        <v>134</v>
      </c>
      <c r="CL53" s="56">
        <v>150</v>
      </c>
      <c r="CM53" s="55">
        <v>97</v>
      </c>
      <c r="CN53" s="56">
        <v>160</v>
      </c>
      <c r="CO53" s="55">
        <v>98</v>
      </c>
      <c r="CP53" s="56">
        <v>160</v>
      </c>
      <c r="CQ53" s="55">
        <v>107</v>
      </c>
      <c r="CR53" s="56">
        <v>150</v>
      </c>
      <c r="CS53" s="55">
        <v>110</v>
      </c>
      <c r="CT53" s="56">
        <v>160</v>
      </c>
      <c r="CU53" s="55">
        <v>111</v>
      </c>
      <c r="CV53" s="56">
        <v>175</v>
      </c>
      <c r="CW53" s="55">
        <v>117</v>
      </c>
      <c r="CX53" s="56">
        <v>160</v>
      </c>
      <c r="CY53" s="55">
        <v>118</v>
      </c>
      <c r="CZ53" s="56">
        <v>165</v>
      </c>
      <c r="DA53" s="55">
        <v>108</v>
      </c>
      <c r="DB53" s="56">
        <v>160</v>
      </c>
      <c r="DC53" s="55">
        <v>127</v>
      </c>
      <c r="DD53" s="56">
        <v>160</v>
      </c>
      <c r="DE53" s="55">
        <v>128</v>
      </c>
      <c r="DF53" s="56">
        <v>175</v>
      </c>
      <c r="DG53" s="55">
        <v>100</v>
      </c>
      <c r="DH53" s="56">
        <v>160</v>
      </c>
      <c r="DI53" s="55">
        <v>131</v>
      </c>
      <c r="DJ53" s="56">
        <v>175</v>
      </c>
      <c r="DK53" s="55">
        <v>104</v>
      </c>
      <c r="DL53" s="56">
        <v>178</v>
      </c>
      <c r="DM53" s="55">
        <v>110</v>
      </c>
      <c r="DN53" s="56">
        <v>165</v>
      </c>
      <c r="DO53" s="55">
        <v>115</v>
      </c>
      <c r="DP53" s="56">
        <v>170</v>
      </c>
      <c r="DQ53" s="55">
        <v>116</v>
      </c>
      <c r="DR53" s="56">
        <v>183</v>
      </c>
      <c r="DS53" s="55">
        <v>108</v>
      </c>
      <c r="DT53" s="56">
        <v>180</v>
      </c>
      <c r="DU53" s="55">
        <v>85</v>
      </c>
      <c r="DV53" s="56">
        <v>185</v>
      </c>
      <c r="DW53" s="55">
        <v>119</v>
      </c>
      <c r="DX53" s="56">
        <v>185</v>
      </c>
      <c r="DY53" s="55">
        <v>117</v>
      </c>
      <c r="DZ53" s="56">
        <v>190</v>
      </c>
      <c r="EA53" s="55">
        <v>101</v>
      </c>
      <c r="EB53" s="56">
        <v>175</v>
      </c>
      <c r="EC53" s="55">
        <v>116</v>
      </c>
      <c r="ED53" s="56">
        <v>180</v>
      </c>
      <c r="EE53" s="55">
        <v>113</v>
      </c>
      <c r="EF53" s="56">
        <v>190</v>
      </c>
      <c r="EG53" s="55">
        <v>119</v>
      </c>
      <c r="EH53" s="56">
        <v>195</v>
      </c>
      <c r="EI53" s="55">
        <v>99</v>
      </c>
      <c r="EJ53" s="56">
        <v>200</v>
      </c>
      <c r="EK53" s="55">
        <v>127</v>
      </c>
      <c r="EL53" s="56">
        <v>191</v>
      </c>
      <c r="EM53" s="55">
        <v>93</v>
      </c>
      <c r="EN53" s="56">
        <v>185</v>
      </c>
      <c r="EO53" s="55">
        <v>122</v>
      </c>
      <c r="EP53" s="56">
        <v>190</v>
      </c>
      <c r="EQ53" s="55">
        <v>124</v>
      </c>
      <c r="ER53" s="56">
        <v>190</v>
      </c>
      <c r="ES53" s="55">
        <v>107</v>
      </c>
      <c r="ET53" s="56">
        <v>190</v>
      </c>
      <c r="EU53" s="55">
        <v>97</v>
      </c>
      <c r="EV53" s="56">
        <v>195</v>
      </c>
      <c r="EW53" s="55">
        <v>114</v>
      </c>
      <c r="EX53" s="56">
        <v>193</v>
      </c>
      <c r="EY53" s="55">
        <v>117</v>
      </c>
      <c r="EZ53" s="56">
        <v>215</v>
      </c>
      <c r="FA53" s="55">
        <v>95</v>
      </c>
      <c r="FB53" s="56">
        <v>200</v>
      </c>
      <c r="FC53" s="55">
        <v>88</v>
      </c>
      <c r="FD53" s="56">
        <v>203</v>
      </c>
      <c r="FE53" s="55">
        <v>108</v>
      </c>
      <c r="FF53" s="56">
        <v>220</v>
      </c>
      <c r="FG53" s="55">
        <v>86</v>
      </c>
      <c r="FH53" s="56">
        <v>200</v>
      </c>
      <c r="FI53" s="55">
        <v>98</v>
      </c>
      <c r="FJ53" s="56">
        <v>200</v>
      </c>
      <c r="FK53" s="55">
        <v>84</v>
      </c>
      <c r="FL53" s="56">
        <v>200</v>
      </c>
      <c r="FM53" s="55">
        <v>108</v>
      </c>
      <c r="FN53" s="56">
        <v>200</v>
      </c>
      <c r="FO53" s="55">
        <v>79</v>
      </c>
      <c r="FP53" s="56">
        <v>220</v>
      </c>
      <c r="FQ53" s="55">
        <v>76</v>
      </c>
      <c r="FR53" s="56">
        <v>220</v>
      </c>
      <c r="FS53" s="55">
        <v>64</v>
      </c>
      <c r="FT53" s="56">
        <v>228</v>
      </c>
      <c r="FU53" s="55">
        <v>97</v>
      </c>
      <c r="FV53" s="56">
        <v>250</v>
      </c>
      <c r="FW53" s="55">
        <v>82</v>
      </c>
      <c r="FX53" s="56">
        <v>240</v>
      </c>
      <c r="FY53" s="55">
        <v>57</v>
      </c>
      <c r="FZ53" s="56">
        <v>250</v>
      </c>
      <c r="GA53" s="55">
        <v>63</v>
      </c>
      <c r="GB53" s="56">
        <v>250</v>
      </c>
      <c r="GC53" s="55">
        <v>92</v>
      </c>
      <c r="GD53" s="56">
        <v>260</v>
      </c>
      <c r="GE53" s="55">
        <v>79</v>
      </c>
      <c r="GF53" s="56">
        <v>260</v>
      </c>
      <c r="GG53" s="55">
        <v>84</v>
      </c>
      <c r="GH53" s="56">
        <v>280</v>
      </c>
      <c r="GI53" s="55">
        <v>60</v>
      </c>
      <c r="GJ53" s="56">
        <v>280</v>
      </c>
      <c r="GK53" s="55">
        <v>84</v>
      </c>
      <c r="GL53" s="56">
        <v>280</v>
      </c>
      <c r="GM53" s="55">
        <v>69</v>
      </c>
      <c r="GN53" s="56">
        <v>280</v>
      </c>
      <c r="GO53" s="55">
        <v>78</v>
      </c>
      <c r="GP53" s="56">
        <v>308</v>
      </c>
      <c r="GQ53" s="55">
        <v>82</v>
      </c>
      <c r="GR53" s="56">
        <v>300</v>
      </c>
      <c r="GS53" s="55">
        <v>78</v>
      </c>
      <c r="GT53" s="56">
        <v>310</v>
      </c>
      <c r="GU53" s="55">
        <v>79</v>
      </c>
      <c r="GV53" s="56">
        <v>300</v>
      </c>
      <c r="GW53" s="55">
        <v>63</v>
      </c>
      <c r="GX53" s="56">
        <v>320</v>
      </c>
      <c r="GY53" s="55">
        <v>66</v>
      </c>
      <c r="GZ53" s="56">
        <v>320</v>
      </c>
      <c r="HA53">
        <v>56</v>
      </c>
      <c r="HB53" s="56">
        <v>345</v>
      </c>
      <c r="HC53">
        <v>62</v>
      </c>
      <c r="HD53" s="56">
        <v>340</v>
      </c>
      <c r="HE53">
        <v>66</v>
      </c>
      <c r="HF53" s="56">
        <v>330</v>
      </c>
    </row>
    <row r="54" spans="1:214" x14ac:dyDescent="0.25">
      <c r="A54" s="53"/>
      <c r="B54" s="54" t="s">
        <v>794</v>
      </c>
      <c r="C54" s="55">
        <v>18</v>
      </c>
      <c r="D54" s="56">
        <v>108</v>
      </c>
      <c r="E54" s="55">
        <v>11</v>
      </c>
      <c r="F54" s="56">
        <v>110</v>
      </c>
      <c r="G54" s="55">
        <v>19</v>
      </c>
      <c r="H54" s="56">
        <v>100</v>
      </c>
      <c r="I54" s="55">
        <v>19</v>
      </c>
      <c r="J54" s="56">
        <v>110</v>
      </c>
      <c r="K54" s="55">
        <v>12</v>
      </c>
      <c r="L54" s="56">
        <v>110</v>
      </c>
      <c r="M54" s="55">
        <v>8</v>
      </c>
      <c r="N54" s="56">
        <v>110</v>
      </c>
      <c r="O54" s="55">
        <v>13</v>
      </c>
      <c r="P54" s="56">
        <v>115</v>
      </c>
      <c r="Q54" s="55">
        <v>12</v>
      </c>
      <c r="R54" s="56">
        <v>110</v>
      </c>
      <c r="S54" s="55">
        <v>14</v>
      </c>
      <c r="T54" s="56">
        <v>110</v>
      </c>
      <c r="U54" s="55">
        <v>11</v>
      </c>
      <c r="V54" s="56">
        <v>110</v>
      </c>
      <c r="W54" s="55">
        <v>15</v>
      </c>
      <c r="X54" s="56">
        <v>120</v>
      </c>
      <c r="Y54" s="55">
        <v>10</v>
      </c>
      <c r="Z54" s="56">
        <v>118</v>
      </c>
      <c r="AA54" s="55">
        <v>9</v>
      </c>
      <c r="AB54" s="56">
        <v>115</v>
      </c>
      <c r="AC54" s="55">
        <v>10</v>
      </c>
      <c r="AD54" s="56">
        <v>128</v>
      </c>
      <c r="AE54" s="55">
        <v>13</v>
      </c>
      <c r="AF54" s="56">
        <v>120</v>
      </c>
      <c r="AG54" s="55">
        <v>18</v>
      </c>
      <c r="AH54" s="56">
        <v>130</v>
      </c>
      <c r="AI54" s="55">
        <v>14</v>
      </c>
      <c r="AJ54" s="56">
        <v>120</v>
      </c>
      <c r="AK54" s="55">
        <v>15</v>
      </c>
      <c r="AL54" s="56">
        <v>130</v>
      </c>
      <c r="AM54" s="55">
        <v>16</v>
      </c>
      <c r="AN54" s="56">
        <v>140</v>
      </c>
      <c r="AO54" s="55">
        <v>7</v>
      </c>
      <c r="AP54" s="56">
        <v>140</v>
      </c>
      <c r="AQ54" s="55">
        <v>13</v>
      </c>
      <c r="AR54" s="56">
        <v>135</v>
      </c>
      <c r="AS54" s="55">
        <v>9</v>
      </c>
      <c r="AT54" s="56">
        <v>145</v>
      </c>
      <c r="AU54" s="55">
        <v>14</v>
      </c>
      <c r="AV54" s="56">
        <v>148</v>
      </c>
      <c r="AW54" s="55">
        <v>20</v>
      </c>
      <c r="AX54" s="56">
        <v>168</v>
      </c>
      <c r="AY54" s="55">
        <v>13</v>
      </c>
      <c r="AZ54" s="56">
        <v>140</v>
      </c>
      <c r="BA54" s="55">
        <v>17</v>
      </c>
      <c r="BB54" s="56">
        <v>140</v>
      </c>
      <c r="BC54" s="55">
        <v>12</v>
      </c>
      <c r="BD54" s="56">
        <v>158</v>
      </c>
      <c r="BE54" s="55">
        <v>20</v>
      </c>
      <c r="BF54" s="56">
        <v>150</v>
      </c>
      <c r="BG54" s="55">
        <v>17</v>
      </c>
      <c r="BH54" s="56">
        <v>160</v>
      </c>
      <c r="BI54" s="55">
        <v>15</v>
      </c>
      <c r="BJ54" s="56">
        <v>165</v>
      </c>
      <c r="BK54" s="55">
        <v>17</v>
      </c>
      <c r="BL54" s="56">
        <v>180</v>
      </c>
      <c r="BM54" s="55">
        <v>14</v>
      </c>
      <c r="BN54" s="56">
        <v>180</v>
      </c>
      <c r="BO54" s="55">
        <v>20</v>
      </c>
      <c r="BP54" s="56">
        <v>175</v>
      </c>
      <c r="BQ54" s="55">
        <v>16</v>
      </c>
      <c r="BR54" s="56">
        <v>160</v>
      </c>
      <c r="BS54" s="55">
        <v>20</v>
      </c>
      <c r="BT54" s="56">
        <v>180</v>
      </c>
      <c r="BU54" s="55">
        <v>11</v>
      </c>
      <c r="BV54" s="56">
        <v>175</v>
      </c>
      <c r="BW54" s="55">
        <v>14</v>
      </c>
      <c r="BX54" s="56">
        <v>155</v>
      </c>
      <c r="BY54" s="55">
        <v>22</v>
      </c>
      <c r="BZ54" s="56">
        <v>190</v>
      </c>
      <c r="CA54" s="55">
        <v>16</v>
      </c>
      <c r="CB54" s="56">
        <v>180</v>
      </c>
      <c r="CC54" s="55">
        <v>10</v>
      </c>
      <c r="CD54" s="56">
        <v>180</v>
      </c>
      <c r="CE54" s="55">
        <v>19</v>
      </c>
      <c r="CF54" s="56">
        <v>200</v>
      </c>
      <c r="CG54" s="55">
        <v>17</v>
      </c>
      <c r="CH54" s="56">
        <v>200</v>
      </c>
      <c r="CI54" s="55">
        <v>19</v>
      </c>
      <c r="CJ54" s="56">
        <v>210</v>
      </c>
      <c r="CK54" s="55">
        <v>25</v>
      </c>
      <c r="CL54" s="56">
        <v>190</v>
      </c>
      <c r="CM54" s="55">
        <v>11</v>
      </c>
      <c r="CN54" s="56">
        <v>200</v>
      </c>
      <c r="CO54" s="55">
        <v>12</v>
      </c>
      <c r="CP54" s="56">
        <v>215</v>
      </c>
      <c r="CQ54" s="55">
        <v>18</v>
      </c>
      <c r="CR54" s="56">
        <v>220</v>
      </c>
      <c r="CS54" s="55">
        <v>10</v>
      </c>
      <c r="CT54" s="56">
        <v>205</v>
      </c>
      <c r="CU54" s="55">
        <v>15</v>
      </c>
      <c r="CV54" s="56">
        <v>220</v>
      </c>
      <c r="CW54" s="55">
        <v>21</v>
      </c>
      <c r="CX54" s="56">
        <v>210</v>
      </c>
      <c r="CY54" s="55">
        <v>21</v>
      </c>
      <c r="CZ54" s="56">
        <v>230</v>
      </c>
      <c r="DA54" s="55">
        <v>20</v>
      </c>
      <c r="DB54" s="56">
        <v>218</v>
      </c>
      <c r="DC54" s="55">
        <v>18</v>
      </c>
      <c r="DD54" s="56">
        <v>220</v>
      </c>
      <c r="DE54" s="55">
        <v>22</v>
      </c>
      <c r="DF54" s="56">
        <v>220</v>
      </c>
      <c r="DG54" s="55">
        <v>19</v>
      </c>
      <c r="DH54" s="56">
        <v>220</v>
      </c>
      <c r="DI54" s="55">
        <v>25</v>
      </c>
      <c r="DJ54" s="56">
        <v>210</v>
      </c>
      <c r="DK54" s="55">
        <v>13</v>
      </c>
      <c r="DL54" s="56">
        <v>210</v>
      </c>
      <c r="DM54" s="55">
        <v>16</v>
      </c>
      <c r="DN54" s="56">
        <v>208</v>
      </c>
      <c r="DO54" s="55">
        <v>21</v>
      </c>
      <c r="DP54" s="56">
        <v>230</v>
      </c>
      <c r="DQ54" s="55">
        <v>33</v>
      </c>
      <c r="DR54" s="56">
        <v>225</v>
      </c>
      <c r="DS54" s="55">
        <v>25</v>
      </c>
      <c r="DT54" s="56">
        <v>235</v>
      </c>
      <c r="DU54" s="55">
        <v>18</v>
      </c>
      <c r="DV54" s="56">
        <v>223</v>
      </c>
      <c r="DW54" s="55">
        <v>24</v>
      </c>
      <c r="DX54" s="56">
        <v>233</v>
      </c>
      <c r="DY54" s="55">
        <v>22</v>
      </c>
      <c r="DZ54" s="56">
        <v>225</v>
      </c>
      <c r="EA54" s="55">
        <v>22</v>
      </c>
      <c r="EB54" s="56">
        <v>238</v>
      </c>
      <c r="EC54" s="55">
        <v>17</v>
      </c>
      <c r="ED54" s="56">
        <v>240</v>
      </c>
      <c r="EE54" s="55">
        <v>32</v>
      </c>
      <c r="EF54" s="56">
        <v>240</v>
      </c>
      <c r="EG54" s="55">
        <v>21</v>
      </c>
      <c r="EH54" s="56">
        <v>225</v>
      </c>
      <c r="EI54" s="55">
        <v>24</v>
      </c>
      <c r="EJ54" s="56">
        <v>215</v>
      </c>
      <c r="EK54" s="55">
        <v>20</v>
      </c>
      <c r="EL54" s="56">
        <v>220</v>
      </c>
      <c r="EM54" s="55">
        <v>15</v>
      </c>
      <c r="EN54" s="56">
        <v>245</v>
      </c>
      <c r="EO54" s="55">
        <v>18</v>
      </c>
      <c r="EP54" s="56">
        <v>220</v>
      </c>
      <c r="EQ54" s="55">
        <v>21</v>
      </c>
      <c r="ER54" s="56">
        <v>240</v>
      </c>
      <c r="ES54" s="55">
        <v>20</v>
      </c>
      <c r="ET54" s="56">
        <v>223</v>
      </c>
      <c r="EU54" s="55">
        <v>13</v>
      </c>
      <c r="EV54" s="56">
        <v>230</v>
      </c>
      <c r="EW54" s="55">
        <v>20</v>
      </c>
      <c r="EX54" s="56">
        <v>235</v>
      </c>
      <c r="EY54" s="55">
        <v>16</v>
      </c>
      <c r="EZ54" s="56">
        <v>240</v>
      </c>
      <c r="FA54" s="55">
        <v>14</v>
      </c>
      <c r="FB54" s="56">
        <v>245</v>
      </c>
      <c r="FC54" s="55">
        <v>11</v>
      </c>
      <c r="FD54" s="56">
        <v>240</v>
      </c>
      <c r="FE54" s="55">
        <v>25</v>
      </c>
      <c r="FF54" s="56">
        <v>250</v>
      </c>
      <c r="FG54" s="55">
        <v>16</v>
      </c>
      <c r="FH54" s="56">
        <v>250</v>
      </c>
      <c r="FI54" s="55">
        <v>14</v>
      </c>
      <c r="FJ54" s="56">
        <v>260</v>
      </c>
      <c r="FK54" s="55">
        <v>18</v>
      </c>
      <c r="FL54" s="56">
        <v>258</v>
      </c>
      <c r="FM54" s="55">
        <v>17</v>
      </c>
      <c r="FN54" s="56">
        <v>250</v>
      </c>
      <c r="FO54" s="55">
        <v>14</v>
      </c>
      <c r="FP54" s="56">
        <v>260</v>
      </c>
      <c r="FQ54" s="55">
        <v>13</v>
      </c>
      <c r="FR54" s="56">
        <v>270</v>
      </c>
      <c r="FS54" s="55">
        <v>8</v>
      </c>
      <c r="FT54" s="56">
        <v>265</v>
      </c>
      <c r="FU54" s="55">
        <v>16</v>
      </c>
      <c r="FV54" s="56">
        <v>278</v>
      </c>
      <c r="FW54" s="55">
        <v>8</v>
      </c>
      <c r="FX54" s="56">
        <v>288</v>
      </c>
      <c r="FY54" s="55">
        <v>12</v>
      </c>
      <c r="FZ54" s="56">
        <v>300</v>
      </c>
      <c r="GA54" s="55">
        <v>14</v>
      </c>
      <c r="GB54" s="56">
        <v>295</v>
      </c>
      <c r="GC54" s="55">
        <v>18</v>
      </c>
      <c r="GD54" s="56">
        <v>310</v>
      </c>
      <c r="GE54" s="55">
        <v>14</v>
      </c>
      <c r="GF54" s="56">
        <v>315</v>
      </c>
      <c r="GG54" s="55">
        <v>14</v>
      </c>
      <c r="GH54" s="56">
        <v>310</v>
      </c>
      <c r="GI54" s="55">
        <v>11</v>
      </c>
      <c r="GJ54" s="56">
        <v>320</v>
      </c>
      <c r="GK54" s="55">
        <v>11</v>
      </c>
      <c r="GL54" s="56">
        <v>330</v>
      </c>
      <c r="GM54" s="55" t="s">
        <v>2</v>
      </c>
      <c r="GN54" s="56" t="s">
        <v>2</v>
      </c>
      <c r="GO54" s="55">
        <v>14</v>
      </c>
      <c r="GP54" s="56">
        <v>325</v>
      </c>
      <c r="GQ54" s="55">
        <v>15</v>
      </c>
      <c r="GR54" s="56">
        <v>350</v>
      </c>
      <c r="GS54" s="55">
        <v>15</v>
      </c>
      <c r="GT54" s="56">
        <v>330</v>
      </c>
      <c r="GU54" s="55">
        <v>15</v>
      </c>
      <c r="GV54" s="56">
        <v>350</v>
      </c>
      <c r="GW54" s="55">
        <v>6</v>
      </c>
      <c r="GX54" s="56">
        <v>335</v>
      </c>
      <c r="GY54" s="55">
        <v>11</v>
      </c>
      <c r="GZ54" s="56">
        <v>380</v>
      </c>
      <c r="HA54">
        <v>14</v>
      </c>
      <c r="HB54" s="56">
        <v>355</v>
      </c>
      <c r="HC54">
        <v>15</v>
      </c>
      <c r="HD54" s="56">
        <v>360</v>
      </c>
      <c r="HE54">
        <v>5</v>
      </c>
      <c r="HF54" s="56">
        <v>350</v>
      </c>
    </row>
    <row r="55" spans="1:214" x14ac:dyDescent="0.25">
      <c r="A55" s="53"/>
      <c r="B55" s="54" t="s">
        <v>795</v>
      </c>
      <c r="C55" s="55">
        <v>41</v>
      </c>
      <c r="D55" s="56">
        <v>105</v>
      </c>
      <c r="E55" s="55">
        <v>64</v>
      </c>
      <c r="F55" s="56">
        <v>103</v>
      </c>
      <c r="G55" s="55">
        <v>48</v>
      </c>
      <c r="H55" s="56">
        <v>108</v>
      </c>
      <c r="I55" s="55">
        <v>71</v>
      </c>
      <c r="J55" s="56">
        <v>100</v>
      </c>
      <c r="K55" s="55">
        <v>60</v>
      </c>
      <c r="L55" s="56">
        <v>100</v>
      </c>
      <c r="M55" s="55">
        <v>58</v>
      </c>
      <c r="N55" s="56">
        <v>110</v>
      </c>
      <c r="O55" s="55">
        <v>43</v>
      </c>
      <c r="P55" s="56">
        <v>100</v>
      </c>
      <c r="Q55" s="55">
        <v>65</v>
      </c>
      <c r="R55" s="56">
        <v>105</v>
      </c>
      <c r="S55" s="55">
        <v>63</v>
      </c>
      <c r="T55" s="56">
        <v>105</v>
      </c>
      <c r="U55" s="55">
        <v>57</v>
      </c>
      <c r="V55" s="56">
        <v>105</v>
      </c>
      <c r="W55" s="55">
        <v>51</v>
      </c>
      <c r="X55" s="56">
        <v>110</v>
      </c>
      <c r="Y55" s="55">
        <v>66</v>
      </c>
      <c r="Z55" s="56">
        <v>113</v>
      </c>
      <c r="AA55" s="55">
        <v>56</v>
      </c>
      <c r="AB55" s="56">
        <v>108</v>
      </c>
      <c r="AC55" s="55">
        <v>51</v>
      </c>
      <c r="AD55" s="56">
        <v>110</v>
      </c>
      <c r="AE55" s="55">
        <v>52</v>
      </c>
      <c r="AF55" s="56">
        <v>120</v>
      </c>
      <c r="AG55" s="55">
        <v>47</v>
      </c>
      <c r="AH55" s="56">
        <v>125</v>
      </c>
      <c r="AI55" s="55">
        <v>44</v>
      </c>
      <c r="AJ55" s="56">
        <v>115</v>
      </c>
      <c r="AK55" s="55">
        <v>54</v>
      </c>
      <c r="AL55" s="56">
        <v>123</v>
      </c>
      <c r="AM55" s="55">
        <v>50</v>
      </c>
      <c r="AN55" s="56">
        <v>125</v>
      </c>
      <c r="AO55" s="55">
        <v>49</v>
      </c>
      <c r="AP55" s="56">
        <v>130</v>
      </c>
      <c r="AQ55" s="55">
        <v>44</v>
      </c>
      <c r="AR55" s="56">
        <v>123</v>
      </c>
      <c r="AS55" s="55">
        <v>50</v>
      </c>
      <c r="AT55" s="56">
        <v>125</v>
      </c>
      <c r="AU55" s="55">
        <v>56</v>
      </c>
      <c r="AV55" s="56">
        <v>130</v>
      </c>
      <c r="AW55" s="55">
        <v>54</v>
      </c>
      <c r="AX55" s="56">
        <v>130</v>
      </c>
      <c r="AY55" s="55">
        <v>51</v>
      </c>
      <c r="AZ55" s="56">
        <v>130</v>
      </c>
      <c r="BA55" s="55">
        <v>51</v>
      </c>
      <c r="BB55" s="56">
        <v>130</v>
      </c>
      <c r="BC55" s="55">
        <v>41</v>
      </c>
      <c r="BD55" s="56">
        <v>135</v>
      </c>
      <c r="BE55" s="55">
        <v>53</v>
      </c>
      <c r="BF55" s="56">
        <v>140</v>
      </c>
      <c r="BG55" s="55">
        <v>53</v>
      </c>
      <c r="BH55" s="56">
        <v>140</v>
      </c>
      <c r="BI55" s="55">
        <v>40</v>
      </c>
      <c r="BJ55" s="56">
        <v>140</v>
      </c>
      <c r="BK55" s="55">
        <v>53</v>
      </c>
      <c r="BL55" s="56">
        <v>150</v>
      </c>
      <c r="BM55" s="55">
        <v>52</v>
      </c>
      <c r="BN55" s="56">
        <v>150</v>
      </c>
      <c r="BO55" s="55">
        <v>45</v>
      </c>
      <c r="BP55" s="56">
        <v>140</v>
      </c>
      <c r="BQ55" s="55">
        <v>46</v>
      </c>
      <c r="BR55" s="56">
        <v>145</v>
      </c>
      <c r="BS55" s="55">
        <v>51</v>
      </c>
      <c r="BT55" s="56">
        <v>150</v>
      </c>
      <c r="BU55" s="55">
        <v>48</v>
      </c>
      <c r="BV55" s="56">
        <v>150</v>
      </c>
      <c r="BW55" s="55">
        <v>68</v>
      </c>
      <c r="BX55" s="56">
        <v>150</v>
      </c>
      <c r="BY55" s="55">
        <v>59</v>
      </c>
      <c r="BZ55" s="56">
        <v>155</v>
      </c>
      <c r="CA55" s="55">
        <v>49</v>
      </c>
      <c r="CB55" s="56">
        <v>170</v>
      </c>
      <c r="CC55" s="55">
        <v>69</v>
      </c>
      <c r="CD55" s="56">
        <v>160</v>
      </c>
      <c r="CE55" s="55">
        <v>49</v>
      </c>
      <c r="CF55" s="56">
        <v>175</v>
      </c>
      <c r="CG55" s="55">
        <v>57</v>
      </c>
      <c r="CH55" s="56">
        <v>175</v>
      </c>
      <c r="CI55" s="55">
        <v>38</v>
      </c>
      <c r="CJ55" s="56">
        <v>180</v>
      </c>
      <c r="CK55" s="55">
        <v>59</v>
      </c>
      <c r="CL55" s="56">
        <v>180</v>
      </c>
      <c r="CM55" s="55">
        <v>44</v>
      </c>
      <c r="CN55" s="56">
        <v>180</v>
      </c>
      <c r="CO55" s="55">
        <v>55</v>
      </c>
      <c r="CP55" s="56">
        <v>185</v>
      </c>
      <c r="CQ55" s="55">
        <v>55</v>
      </c>
      <c r="CR55" s="56">
        <v>185</v>
      </c>
      <c r="CS55" s="55">
        <v>66</v>
      </c>
      <c r="CT55" s="56">
        <v>180</v>
      </c>
      <c r="CU55" s="55">
        <v>50</v>
      </c>
      <c r="CV55" s="56">
        <v>200</v>
      </c>
      <c r="CW55" s="55">
        <v>56</v>
      </c>
      <c r="CX55" s="56">
        <v>193</v>
      </c>
      <c r="CY55" s="55">
        <v>42</v>
      </c>
      <c r="CZ55" s="56">
        <v>190</v>
      </c>
      <c r="DA55" s="55">
        <v>60</v>
      </c>
      <c r="DB55" s="56">
        <v>198</v>
      </c>
      <c r="DC55" s="55">
        <v>47</v>
      </c>
      <c r="DD55" s="56">
        <v>190</v>
      </c>
      <c r="DE55" s="55">
        <v>44</v>
      </c>
      <c r="DF55" s="56">
        <v>190</v>
      </c>
      <c r="DG55" s="55">
        <v>58</v>
      </c>
      <c r="DH55" s="56">
        <v>190</v>
      </c>
      <c r="DI55" s="55">
        <v>51</v>
      </c>
      <c r="DJ55" s="56">
        <v>220</v>
      </c>
      <c r="DK55" s="55">
        <v>58</v>
      </c>
      <c r="DL55" s="56">
        <v>215</v>
      </c>
      <c r="DM55" s="55">
        <v>42</v>
      </c>
      <c r="DN55" s="56">
        <v>210</v>
      </c>
      <c r="DO55" s="55">
        <v>49</v>
      </c>
      <c r="DP55" s="56">
        <v>230</v>
      </c>
      <c r="DQ55" s="55">
        <v>60</v>
      </c>
      <c r="DR55" s="56">
        <v>220</v>
      </c>
      <c r="DS55" s="55">
        <v>52</v>
      </c>
      <c r="DT55" s="56">
        <v>213</v>
      </c>
      <c r="DU55" s="55">
        <v>45</v>
      </c>
      <c r="DV55" s="56">
        <v>220</v>
      </c>
      <c r="DW55" s="55">
        <v>50</v>
      </c>
      <c r="DX55" s="56">
        <v>210</v>
      </c>
      <c r="DY55" s="55">
        <v>45</v>
      </c>
      <c r="DZ55" s="56">
        <v>250</v>
      </c>
      <c r="EA55" s="55">
        <v>57</v>
      </c>
      <c r="EB55" s="56">
        <v>230</v>
      </c>
      <c r="EC55" s="55">
        <v>54</v>
      </c>
      <c r="ED55" s="56">
        <v>245</v>
      </c>
      <c r="EE55" s="55">
        <v>38</v>
      </c>
      <c r="EF55" s="56">
        <v>230</v>
      </c>
      <c r="EG55" s="55">
        <v>56</v>
      </c>
      <c r="EH55" s="56">
        <v>250</v>
      </c>
      <c r="EI55" s="55">
        <v>55</v>
      </c>
      <c r="EJ55" s="56">
        <v>240</v>
      </c>
      <c r="EK55" s="55">
        <v>54</v>
      </c>
      <c r="EL55" s="56">
        <v>220</v>
      </c>
      <c r="EM55" s="55">
        <v>68</v>
      </c>
      <c r="EN55" s="56">
        <v>223</v>
      </c>
      <c r="EO55" s="55">
        <v>79</v>
      </c>
      <c r="EP55" s="56">
        <v>220</v>
      </c>
      <c r="EQ55" s="55">
        <v>58</v>
      </c>
      <c r="ER55" s="56">
        <v>220</v>
      </c>
      <c r="ES55" s="55">
        <v>43</v>
      </c>
      <c r="ET55" s="56">
        <v>225</v>
      </c>
      <c r="EU55" s="55">
        <v>59</v>
      </c>
      <c r="EV55" s="56">
        <v>220</v>
      </c>
      <c r="EW55" s="55">
        <v>77</v>
      </c>
      <c r="EX55" s="56">
        <v>230</v>
      </c>
      <c r="EY55" s="55">
        <v>54</v>
      </c>
      <c r="EZ55" s="56">
        <v>220</v>
      </c>
      <c r="FA55" s="55">
        <v>48</v>
      </c>
      <c r="FB55" s="56">
        <v>230</v>
      </c>
      <c r="FC55" s="55">
        <v>41</v>
      </c>
      <c r="FD55" s="56">
        <v>230</v>
      </c>
      <c r="FE55" s="55">
        <v>39</v>
      </c>
      <c r="FF55" s="56">
        <v>220</v>
      </c>
      <c r="FG55" s="55">
        <v>46</v>
      </c>
      <c r="FH55" s="56">
        <v>225</v>
      </c>
      <c r="FI55" s="55">
        <v>50</v>
      </c>
      <c r="FJ55" s="56">
        <v>230</v>
      </c>
      <c r="FK55" s="55">
        <v>54</v>
      </c>
      <c r="FL55" s="56">
        <v>235</v>
      </c>
      <c r="FM55" s="55">
        <v>43</v>
      </c>
      <c r="FN55" s="56">
        <v>255</v>
      </c>
      <c r="FO55" s="55">
        <v>40</v>
      </c>
      <c r="FP55" s="56">
        <v>250</v>
      </c>
      <c r="FQ55" s="55">
        <v>49</v>
      </c>
      <c r="FR55" s="56">
        <v>250</v>
      </c>
      <c r="FS55" s="55">
        <v>41</v>
      </c>
      <c r="FT55" s="56">
        <v>250</v>
      </c>
      <c r="FU55" s="55">
        <v>52</v>
      </c>
      <c r="FV55" s="56">
        <v>278</v>
      </c>
      <c r="FW55" s="55">
        <v>45</v>
      </c>
      <c r="FX55" s="56">
        <v>300</v>
      </c>
      <c r="FY55" s="55">
        <v>44</v>
      </c>
      <c r="FZ55" s="56">
        <v>300</v>
      </c>
      <c r="GA55" s="55">
        <v>39</v>
      </c>
      <c r="GB55" s="56">
        <v>310</v>
      </c>
      <c r="GC55" s="55">
        <v>32</v>
      </c>
      <c r="GD55" s="56">
        <v>310</v>
      </c>
      <c r="GE55" s="55">
        <v>52</v>
      </c>
      <c r="GF55" s="56">
        <v>340</v>
      </c>
      <c r="GG55" s="55">
        <v>38</v>
      </c>
      <c r="GH55" s="56">
        <v>305</v>
      </c>
      <c r="GI55" s="55">
        <v>45</v>
      </c>
      <c r="GJ55" s="56">
        <v>320</v>
      </c>
      <c r="GK55" s="55">
        <v>43</v>
      </c>
      <c r="GL55" s="56">
        <v>315</v>
      </c>
      <c r="GM55" s="55">
        <v>34</v>
      </c>
      <c r="GN55" s="56">
        <v>340</v>
      </c>
      <c r="GO55" s="55">
        <v>38</v>
      </c>
      <c r="GP55" s="56">
        <v>350</v>
      </c>
      <c r="GQ55" s="55">
        <v>56</v>
      </c>
      <c r="GR55" s="56">
        <v>350</v>
      </c>
      <c r="GS55" s="55">
        <v>41</v>
      </c>
      <c r="GT55" s="56">
        <v>360</v>
      </c>
      <c r="GU55" s="55">
        <v>39</v>
      </c>
      <c r="GV55" s="56">
        <v>360</v>
      </c>
      <c r="GW55" s="55">
        <v>37</v>
      </c>
      <c r="GX55" s="56">
        <v>360</v>
      </c>
      <c r="GY55" s="55">
        <v>35</v>
      </c>
      <c r="GZ55" s="56">
        <v>360</v>
      </c>
      <c r="HA55">
        <v>42</v>
      </c>
      <c r="HB55" s="56">
        <v>360</v>
      </c>
      <c r="HC55">
        <v>30</v>
      </c>
      <c r="HD55" s="56">
        <v>360</v>
      </c>
      <c r="HE55">
        <v>38</v>
      </c>
      <c r="HF55" s="56">
        <v>360</v>
      </c>
    </row>
    <row r="56" spans="1:214" x14ac:dyDescent="0.25">
      <c r="A56" s="57"/>
      <c r="B56" s="57" t="s">
        <v>752</v>
      </c>
      <c r="C56" s="58">
        <v>341</v>
      </c>
      <c r="D56" s="59">
        <v>105</v>
      </c>
      <c r="E56" s="58">
        <v>327</v>
      </c>
      <c r="F56" s="59">
        <v>100</v>
      </c>
      <c r="G56" s="58">
        <v>313</v>
      </c>
      <c r="H56" s="59">
        <v>105</v>
      </c>
      <c r="I56" s="58">
        <v>405</v>
      </c>
      <c r="J56" s="59">
        <v>105</v>
      </c>
      <c r="K56" s="58">
        <v>331</v>
      </c>
      <c r="L56" s="59">
        <v>100</v>
      </c>
      <c r="M56" s="58">
        <v>355</v>
      </c>
      <c r="N56" s="59">
        <v>110</v>
      </c>
      <c r="O56" s="58">
        <v>300</v>
      </c>
      <c r="P56" s="59">
        <v>110</v>
      </c>
      <c r="Q56" s="58">
        <v>369</v>
      </c>
      <c r="R56" s="59">
        <v>110</v>
      </c>
      <c r="S56" s="58">
        <v>345</v>
      </c>
      <c r="T56" s="59">
        <v>110</v>
      </c>
      <c r="U56" s="58">
        <v>347</v>
      </c>
      <c r="V56" s="59">
        <v>110</v>
      </c>
      <c r="W56" s="58">
        <v>314</v>
      </c>
      <c r="X56" s="59">
        <v>110</v>
      </c>
      <c r="Y56" s="58">
        <v>359</v>
      </c>
      <c r="Z56" s="59">
        <v>110</v>
      </c>
      <c r="AA56" s="58">
        <v>340</v>
      </c>
      <c r="AB56" s="59">
        <v>110</v>
      </c>
      <c r="AC56" s="58">
        <v>298</v>
      </c>
      <c r="AD56" s="59">
        <v>120</v>
      </c>
      <c r="AE56" s="58">
        <v>302</v>
      </c>
      <c r="AF56" s="59">
        <v>115</v>
      </c>
      <c r="AG56" s="58">
        <v>303</v>
      </c>
      <c r="AH56" s="59">
        <v>125</v>
      </c>
      <c r="AI56" s="58">
        <v>293</v>
      </c>
      <c r="AJ56" s="59">
        <v>120</v>
      </c>
      <c r="AK56" s="58">
        <v>333</v>
      </c>
      <c r="AL56" s="59">
        <v>125</v>
      </c>
      <c r="AM56" s="58">
        <v>272</v>
      </c>
      <c r="AN56" s="59">
        <v>125</v>
      </c>
      <c r="AO56" s="58">
        <v>301</v>
      </c>
      <c r="AP56" s="59">
        <v>130</v>
      </c>
      <c r="AQ56" s="58">
        <v>260</v>
      </c>
      <c r="AR56" s="59">
        <v>125</v>
      </c>
      <c r="AS56" s="58">
        <v>297</v>
      </c>
      <c r="AT56" s="59">
        <v>130</v>
      </c>
      <c r="AU56" s="58">
        <v>294</v>
      </c>
      <c r="AV56" s="59">
        <v>130</v>
      </c>
      <c r="AW56" s="58">
        <v>330</v>
      </c>
      <c r="AX56" s="59">
        <v>130</v>
      </c>
      <c r="AY56" s="58">
        <v>275</v>
      </c>
      <c r="AZ56" s="59">
        <v>135</v>
      </c>
      <c r="BA56" s="58">
        <v>302</v>
      </c>
      <c r="BB56" s="59">
        <v>135</v>
      </c>
      <c r="BC56" s="58">
        <v>262</v>
      </c>
      <c r="BD56" s="59">
        <v>135</v>
      </c>
      <c r="BE56" s="58">
        <v>345</v>
      </c>
      <c r="BF56" s="59">
        <v>140</v>
      </c>
      <c r="BG56" s="58">
        <v>316</v>
      </c>
      <c r="BH56" s="59">
        <v>140</v>
      </c>
      <c r="BI56" s="58">
        <v>294</v>
      </c>
      <c r="BJ56" s="59">
        <v>140</v>
      </c>
      <c r="BK56" s="58">
        <v>306</v>
      </c>
      <c r="BL56" s="59">
        <v>140</v>
      </c>
      <c r="BM56" s="58">
        <v>316</v>
      </c>
      <c r="BN56" s="59">
        <v>140</v>
      </c>
      <c r="BO56" s="58">
        <v>305</v>
      </c>
      <c r="BP56" s="59">
        <v>140</v>
      </c>
      <c r="BQ56" s="58">
        <v>267</v>
      </c>
      <c r="BR56" s="59">
        <v>145</v>
      </c>
      <c r="BS56" s="58">
        <v>296</v>
      </c>
      <c r="BT56" s="59">
        <v>150</v>
      </c>
      <c r="BU56" s="58">
        <v>294</v>
      </c>
      <c r="BV56" s="59">
        <v>150</v>
      </c>
      <c r="BW56" s="58">
        <v>315</v>
      </c>
      <c r="BX56" s="59">
        <v>150</v>
      </c>
      <c r="BY56" s="58">
        <v>303</v>
      </c>
      <c r="BZ56" s="59">
        <v>160</v>
      </c>
      <c r="CA56" s="58">
        <v>293</v>
      </c>
      <c r="CB56" s="59">
        <v>160</v>
      </c>
      <c r="CC56" s="58">
        <v>305</v>
      </c>
      <c r="CD56" s="59">
        <v>160</v>
      </c>
      <c r="CE56" s="58">
        <v>281</v>
      </c>
      <c r="CF56" s="59">
        <v>170</v>
      </c>
      <c r="CG56" s="58">
        <v>305</v>
      </c>
      <c r="CH56" s="59">
        <v>170</v>
      </c>
      <c r="CI56" s="58">
        <v>272</v>
      </c>
      <c r="CJ56" s="59">
        <v>170</v>
      </c>
      <c r="CK56" s="58">
        <v>336</v>
      </c>
      <c r="CL56" s="59">
        <v>180</v>
      </c>
      <c r="CM56" s="58">
        <v>253</v>
      </c>
      <c r="CN56" s="59">
        <v>180</v>
      </c>
      <c r="CO56" s="58">
        <v>284</v>
      </c>
      <c r="CP56" s="59">
        <v>182</v>
      </c>
      <c r="CQ56" s="58">
        <v>300</v>
      </c>
      <c r="CR56" s="59">
        <v>185</v>
      </c>
      <c r="CS56" s="58">
        <v>313</v>
      </c>
      <c r="CT56" s="59">
        <v>185</v>
      </c>
      <c r="CU56" s="58">
        <v>294</v>
      </c>
      <c r="CV56" s="59">
        <v>200</v>
      </c>
      <c r="CW56" s="58">
        <v>306</v>
      </c>
      <c r="CX56" s="59">
        <v>190</v>
      </c>
      <c r="CY56" s="58">
        <v>282</v>
      </c>
      <c r="CZ56" s="59">
        <v>190</v>
      </c>
      <c r="DA56" s="58">
        <v>333</v>
      </c>
      <c r="DB56" s="59">
        <v>200</v>
      </c>
      <c r="DC56" s="58">
        <v>331</v>
      </c>
      <c r="DD56" s="59">
        <v>195</v>
      </c>
      <c r="DE56" s="58">
        <v>343</v>
      </c>
      <c r="DF56" s="59">
        <v>195</v>
      </c>
      <c r="DG56" s="58">
        <v>302</v>
      </c>
      <c r="DH56" s="59">
        <v>190</v>
      </c>
      <c r="DI56" s="58">
        <v>338</v>
      </c>
      <c r="DJ56" s="59">
        <v>200</v>
      </c>
      <c r="DK56" s="58">
        <v>308</v>
      </c>
      <c r="DL56" s="59">
        <v>208</v>
      </c>
      <c r="DM56" s="58">
        <v>319</v>
      </c>
      <c r="DN56" s="59">
        <v>200</v>
      </c>
      <c r="DO56" s="58">
        <v>310</v>
      </c>
      <c r="DP56" s="59">
        <v>210</v>
      </c>
      <c r="DQ56" s="58">
        <v>343</v>
      </c>
      <c r="DR56" s="59">
        <v>220</v>
      </c>
      <c r="DS56" s="58">
        <v>329</v>
      </c>
      <c r="DT56" s="59">
        <v>220</v>
      </c>
      <c r="DU56" s="58">
        <v>285</v>
      </c>
      <c r="DV56" s="59">
        <v>210</v>
      </c>
      <c r="DW56" s="58">
        <v>321</v>
      </c>
      <c r="DX56" s="59">
        <v>215</v>
      </c>
      <c r="DY56" s="58">
        <v>311</v>
      </c>
      <c r="DZ56" s="59">
        <v>220</v>
      </c>
      <c r="EA56" s="58">
        <v>318</v>
      </c>
      <c r="EB56" s="59">
        <v>220</v>
      </c>
      <c r="EC56" s="58">
        <v>317</v>
      </c>
      <c r="ED56" s="59">
        <v>220</v>
      </c>
      <c r="EE56" s="58">
        <v>332</v>
      </c>
      <c r="EF56" s="59">
        <v>220</v>
      </c>
      <c r="EG56" s="58">
        <v>330</v>
      </c>
      <c r="EH56" s="59">
        <v>226</v>
      </c>
      <c r="EI56" s="58">
        <v>284</v>
      </c>
      <c r="EJ56" s="59">
        <v>223</v>
      </c>
      <c r="EK56" s="58">
        <v>341</v>
      </c>
      <c r="EL56" s="59">
        <v>220</v>
      </c>
      <c r="EM56" s="58">
        <v>282</v>
      </c>
      <c r="EN56" s="59">
        <v>225</v>
      </c>
      <c r="EO56" s="58">
        <v>358</v>
      </c>
      <c r="EP56" s="59">
        <v>220</v>
      </c>
      <c r="EQ56" s="58">
        <v>322</v>
      </c>
      <c r="ER56" s="59">
        <v>220</v>
      </c>
      <c r="ES56" s="58">
        <v>281</v>
      </c>
      <c r="ET56" s="59">
        <v>220</v>
      </c>
      <c r="EU56" s="58">
        <v>295</v>
      </c>
      <c r="EV56" s="59">
        <v>220</v>
      </c>
      <c r="EW56" s="58">
        <v>317</v>
      </c>
      <c r="EX56" s="59">
        <v>230</v>
      </c>
      <c r="EY56" s="58">
        <v>297</v>
      </c>
      <c r="EZ56" s="59">
        <v>240</v>
      </c>
      <c r="FA56" s="58">
        <v>265</v>
      </c>
      <c r="FB56" s="59">
        <v>230</v>
      </c>
      <c r="FC56" s="58">
        <v>235</v>
      </c>
      <c r="FD56" s="59">
        <v>240</v>
      </c>
      <c r="FE56" s="58">
        <v>283</v>
      </c>
      <c r="FF56" s="59">
        <v>240</v>
      </c>
      <c r="FG56" s="58">
        <v>236</v>
      </c>
      <c r="FH56" s="59">
        <v>234</v>
      </c>
      <c r="FI56" s="58">
        <v>266</v>
      </c>
      <c r="FJ56" s="59">
        <v>243</v>
      </c>
      <c r="FK56" s="58">
        <v>256</v>
      </c>
      <c r="FL56" s="59">
        <v>240</v>
      </c>
      <c r="FM56" s="58">
        <v>285</v>
      </c>
      <c r="FN56" s="59">
        <v>250</v>
      </c>
      <c r="FO56" s="58">
        <v>233</v>
      </c>
      <c r="FP56" s="59">
        <v>250</v>
      </c>
      <c r="FQ56" s="58">
        <v>253</v>
      </c>
      <c r="FR56" s="59">
        <v>260</v>
      </c>
      <c r="FS56" s="58">
        <v>191</v>
      </c>
      <c r="FT56" s="59">
        <v>260</v>
      </c>
      <c r="FU56" s="58">
        <v>259</v>
      </c>
      <c r="FV56" s="59">
        <v>275</v>
      </c>
      <c r="FW56" s="58">
        <v>223</v>
      </c>
      <c r="FX56" s="59">
        <v>270</v>
      </c>
      <c r="FY56" s="58">
        <v>209</v>
      </c>
      <c r="FZ56" s="59">
        <v>290</v>
      </c>
      <c r="GA56" s="58">
        <v>219</v>
      </c>
      <c r="GB56" s="59">
        <v>300</v>
      </c>
      <c r="GC56" s="58">
        <v>237</v>
      </c>
      <c r="GD56" s="59">
        <v>295</v>
      </c>
      <c r="GE56" s="58">
        <v>241</v>
      </c>
      <c r="GF56" s="59">
        <v>300</v>
      </c>
      <c r="GG56" s="58">
        <v>246</v>
      </c>
      <c r="GH56" s="59">
        <v>310</v>
      </c>
      <c r="GI56" s="58">
        <v>211</v>
      </c>
      <c r="GJ56" s="59">
        <v>320</v>
      </c>
      <c r="GK56" s="58">
        <v>248</v>
      </c>
      <c r="GL56" s="59">
        <v>320</v>
      </c>
      <c r="GM56" s="58">
        <v>194</v>
      </c>
      <c r="GN56" s="59">
        <v>320</v>
      </c>
      <c r="GO56" s="58">
        <v>223</v>
      </c>
      <c r="GP56" s="59">
        <v>330</v>
      </c>
      <c r="GQ56" s="58">
        <v>245</v>
      </c>
      <c r="GR56" s="59">
        <v>340</v>
      </c>
      <c r="GS56" s="58">
        <v>231</v>
      </c>
      <c r="GT56" s="59">
        <v>340</v>
      </c>
      <c r="GU56" s="58">
        <v>200</v>
      </c>
      <c r="GV56" s="59">
        <v>340</v>
      </c>
      <c r="GW56" s="58">
        <v>199</v>
      </c>
      <c r="GX56" s="59">
        <v>350</v>
      </c>
      <c r="GY56" s="58">
        <v>187</v>
      </c>
      <c r="GZ56" s="59">
        <v>360</v>
      </c>
      <c r="HA56" s="6">
        <v>201</v>
      </c>
      <c r="HB56" s="59">
        <v>365</v>
      </c>
      <c r="HC56" s="6">
        <v>175</v>
      </c>
      <c r="HD56" s="59">
        <v>370</v>
      </c>
      <c r="HE56" s="6">
        <v>185</v>
      </c>
      <c r="HF56" s="59">
        <v>360</v>
      </c>
    </row>
    <row r="57" spans="1:214" s="10" customFormat="1" x14ac:dyDescent="0.25">
      <c r="A57" s="53" t="s">
        <v>796</v>
      </c>
      <c r="B57" s="54" t="s">
        <v>797</v>
      </c>
      <c r="C57" s="55">
        <v>214</v>
      </c>
      <c r="D57" s="56">
        <v>165</v>
      </c>
      <c r="E57" s="55">
        <v>202</v>
      </c>
      <c r="F57" s="56">
        <v>165</v>
      </c>
      <c r="G57" s="55">
        <v>232</v>
      </c>
      <c r="H57" s="56">
        <v>170</v>
      </c>
      <c r="I57" s="55">
        <v>271</v>
      </c>
      <c r="J57" s="56">
        <v>170</v>
      </c>
      <c r="K57" s="55">
        <v>208</v>
      </c>
      <c r="L57" s="56">
        <v>171</v>
      </c>
      <c r="M57" s="55">
        <v>204</v>
      </c>
      <c r="N57" s="56">
        <v>175</v>
      </c>
      <c r="O57" s="55">
        <v>225</v>
      </c>
      <c r="P57" s="56">
        <v>175</v>
      </c>
      <c r="Q57" s="55">
        <v>261</v>
      </c>
      <c r="R57" s="56">
        <v>180</v>
      </c>
      <c r="S57" s="55">
        <v>222</v>
      </c>
      <c r="T57" s="56">
        <v>180</v>
      </c>
      <c r="U57" s="55">
        <v>234</v>
      </c>
      <c r="V57" s="56">
        <v>180</v>
      </c>
      <c r="W57" s="55">
        <v>202</v>
      </c>
      <c r="X57" s="56">
        <v>180</v>
      </c>
      <c r="Y57" s="55">
        <v>259</v>
      </c>
      <c r="Z57" s="56">
        <v>190</v>
      </c>
      <c r="AA57" s="55">
        <v>199</v>
      </c>
      <c r="AB57" s="56">
        <v>190</v>
      </c>
      <c r="AC57" s="55">
        <v>218</v>
      </c>
      <c r="AD57" s="56">
        <v>190</v>
      </c>
      <c r="AE57" s="55">
        <v>183</v>
      </c>
      <c r="AF57" s="56">
        <v>190</v>
      </c>
      <c r="AG57" s="55">
        <v>258</v>
      </c>
      <c r="AH57" s="56">
        <v>195</v>
      </c>
      <c r="AI57" s="55">
        <v>213</v>
      </c>
      <c r="AJ57" s="56">
        <v>190</v>
      </c>
      <c r="AK57" s="55">
        <v>209</v>
      </c>
      <c r="AL57" s="56">
        <v>200</v>
      </c>
      <c r="AM57" s="55">
        <v>208</v>
      </c>
      <c r="AN57" s="56">
        <v>200</v>
      </c>
      <c r="AO57" s="55">
        <v>242</v>
      </c>
      <c r="AP57" s="56">
        <v>200</v>
      </c>
      <c r="AQ57" s="55">
        <v>173</v>
      </c>
      <c r="AR57" s="56">
        <v>205</v>
      </c>
      <c r="AS57" s="55">
        <v>213</v>
      </c>
      <c r="AT57" s="56">
        <v>200</v>
      </c>
      <c r="AU57" s="55">
        <v>192</v>
      </c>
      <c r="AV57" s="56">
        <v>200</v>
      </c>
      <c r="AW57" s="55">
        <v>232</v>
      </c>
      <c r="AX57" s="56">
        <v>210</v>
      </c>
      <c r="AY57" s="55">
        <v>187</v>
      </c>
      <c r="AZ57" s="56">
        <v>210</v>
      </c>
      <c r="BA57" s="55">
        <v>189</v>
      </c>
      <c r="BB57" s="56">
        <v>205</v>
      </c>
      <c r="BC57" s="55">
        <v>192</v>
      </c>
      <c r="BD57" s="56">
        <v>215</v>
      </c>
      <c r="BE57" s="55">
        <v>254</v>
      </c>
      <c r="BF57" s="56">
        <v>220</v>
      </c>
      <c r="BG57" s="55">
        <v>216</v>
      </c>
      <c r="BH57" s="56">
        <v>228</v>
      </c>
      <c r="BI57" s="55">
        <v>174</v>
      </c>
      <c r="BJ57" s="56">
        <v>220</v>
      </c>
      <c r="BK57" s="55">
        <v>164</v>
      </c>
      <c r="BL57" s="56">
        <v>230</v>
      </c>
      <c r="BM57" s="55">
        <v>194</v>
      </c>
      <c r="BN57" s="56">
        <v>238</v>
      </c>
      <c r="BO57" s="55">
        <v>169</v>
      </c>
      <c r="BP57" s="56">
        <v>240</v>
      </c>
      <c r="BQ57" s="55">
        <v>178</v>
      </c>
      <c r="BR57" s="56">
        <v>250</v>
      </c>
      <c r="BS57" s="55">
        <v>183</v>
      </c>
      <c r="BT57" s="56">
        <v>260</v>
      </c>
      <c r="BU57" s="55">
        <v>237</v>
      </c>
      <c r="BV57" s="56">
        <v>270</v>
      </c>
      <c r="BW57" s="55">
        <v>176</v>
      </c>
      <c r="BX57" s="56">
        <v>288</v>
      </c>
      <c r="BY57" s="55">
        <v>162</v>
      </c>
      <c r="BZ57" s="56">
        <v>280</v>
      </c>
      <c r="CA57" s="55">
        <v>207</v>
      </c>
      <c r="CB57" s="56">
        <v>300</v>
      </c>
      <c r="CC57" s="55">
        <v>245</v>
      </c>
      <c r="CD57" s="56">
        <v>291</v>
      </c>
      <c r="CE57" s="55">
        <v>204</v>
      </c>
      <c r="CF57" s="56">
        <v>300</v>
      </c>
      <c r="CG57" s="55">
        <v>199</v>
      </c>
      <c r="CH57" s="56">
        <v>300</v>
      </c>
      <c r="CI57" s="55">
        <v>238</v>
      </c>
      <c r="CJ57" s="56">
        <v>300</v>
      </c>
      <c r="CK57" s="55">
        <v>261</v>
      </c>
      <c r="CL57" s="56">
        <v>310</v>
      </c>
      <c r="CM57" s="55">
        <v>247</v>
      </c>
      <c r="CN57" s="56">
        <v>310</v>
      </c>
      <c r="CO57" s="55">
        <v>242</v>
      </c>
      <c r="CP57" s="56">
        <v>320</v>
      </c>
      <c r="CQ57" s="55">
        <v>228</v>
      </c>
      <c r="CR57" s="56">
        <v>310</v>
      </c>
      <c r="CS57" s="55">
        <v>274</v>
      </c>
      <c r="CT57" s="56">
        <v>325</v>
      </c>
      <c r="CU57" s="55">
        <v>202</v>
      </c>
      <c r="CV57" s="56">
        <v>320</v>
      </c>
      <c r="CW57" s="55">
        <v>306</v>
      </c>
      <c r="CX57" s="56">
        <v>330</v>
      </c>
      <c r="CY57" s="55">
        <v>215</v>
      </c>
      <c r="CZ57" s="56">
        <v>320</v>
      </c>
      <c r="DA57" s="55">
        <v>310</v>
      </c>
      <c r="DB57" s="56">
        <v>330</v>
      </c>
      <c r="DC57" s="55">
        <v>247</v>
      </c>
      <c r="DD57" s="56">
        <v>323</v>
      </c>
      <c r="DE57" s="55">
        <v>251</v>
      </c>
      <c r="DF57" s="56">
        <v>326</v>
      </c>
      <c r="DG57" s="55">
        <v>251</v>
      </c>
      <c r="DH57" s="56">
        <v>320</v>
      </c>
      <c r="DI57" s="55">
        <v>331</v>
      </c>
      <c r="DJ57" s="56">
        <v>320</v>
      </c>
      <c r="DK57" s="55">
        <v>255</v>
      </c>
      <c r="DL57" s="56">
        <v>325</v>
      </c>
      <c r="DM57" s="55">
        <v>280</v>
      </c>
      <c r="DN57" s="56">
        <v>330</v>
      </c>
      <c r="DO57" s="55">
        <v>282</v>
      </c>
      <c r="DP57" s="56">
        <v>330</v>
      </c>
      <c r="DQ57" s="55">
        <v>384</v>
      </c>
      <c r="DR57" s="56">
        <v>330</v>
      </c>
      <c r="DS57" s="55">
        <v>303</v>
      </c>
      <c r="DT57" s="56">
        <v>335</v>
      </c>
      <c r="DU57" s="55">
        <v>300</v>
      </c>
      <c r="DV57" s="56">
        <v>330</v>
      </c>
      <c r="DW57" s="55">
        <v>325</v>
      </c>
      <c r="DX57" s="56">
        <v>340</v>
      </c>
      <c r="DY57" s="55">
        <v>350</v>
      </c>
      <c r="DZ57" s="56">
        <v>340</v>
      </c>
      <c r="EA57" s="55">
        <v>291</v>
      </c>
      <c r="EB57" s="56">
        <v>340</v>
      </c>
      <c r="EC57" s="55">
        <v>339</v>
      </c>
      <c r="ED57" s="56">
        <v>350</v>
      </c>
      <c r="EE57" s="55">
        <v>307</v>
      </c>
      <c r="EF57" s="56">
        <v>330</v>
      </c>
      <c r="EG57" s="55">
        <v>399</v>
      </c>
      <c r="EH57" s="56">
        <v>350</v>
      </c>
      <c r="EI57" s="55">
        <v>300</v>
      </c>
      <c r="EJ57" s="56">
        <v>350</v>
      </c>
      <c r="EK57" s="55">
        <v>346</v>
      </c>
      <c r="EL57" s="56">
        <v>350</v>
      </c>
      <c r="EM57" s="55">
        <v>367</v>
      </c>
      <c r="EN57" s="56">
        <v>355</v>
      </c>
      <c r="EO57" s="55">
        <v>410</v>
      </c>
      <c r="EP57" s="56">
        <v>370</v>
      </c>
      <c r="EQ57" s="55">
        <v>337</v>
      </c>
      <c r="ER57" s="56">
        <v>370</v>
      </c>
      <c r="ES57" s="55">
        <v>346</v>
      </c>
      <c r="ET57" s="56">
        <v>380</v>
      </c>
      <c r="EU57" s="55">
        <v>320</v>
      </c>
      <c r="EV57" s="56">
        <v>370</v>
      </c>
      <c r="EW57" s="55">
        <v>383</v>
      </c>
      <c r="EX57" s="56">
        <v>380</v>
      </c>
      <c r="EY57" s="55">
        <v>339</v>
      </c>
      <c r="EZ57" s="56">
        <v>380</v>
      </c>
      <c r="FA57" s="55">
        <v>309</v>
      </c>
      <c r="FB57" s="56">
        <v>390</v>
      </c>
      <c r="FC57" s="55">
        <v>299</v>
      </c>
      <c r="FD57" s="56">
        <v>390</v>
      </c>
      <c r="FE57" s="55">
        <v>350</v>
      </c>
      <c r="FF57" s="56">
        <v>390</v>
      </c>
      <c r="FG57" s="55">
        <v>275</v>
      </c>
      <c r="FH57" s="56">
        <v>390</v>
      </c>
      <c r="FI57" s="55">
        <v>327</v>
      </c>
      <c r="FJ57" s="56">
        <v>380</v>
      </c>
      <c r="FK57" s="55">
        <v>309</v>
      </c>
      <c r="FL57" s="56">
        <v>395</v>
      </c>
      <c r="FM57" s="55">
        <v>431</v>
      </c>
      <c r="FN57" s="56">
        <v>410</v>
      </c>
      <c r="FO57" s="55">
        <v>281</v>
      </c>
      <c r="FP57" s="56">
        <v>390</v>
      </c>
      <c r="FQ57" s="55">
        <v>229</v>
      </c>
      <c r="FR57" s="56">
        <v>390</v>
      </c>
      <c r="FS57" s="55">
        <v>304</v>
      </c>
      <c r="FT57" s="56">
        <v>395</v>
      </c>
      <c r="FU57" s="55">
        <v>402</v>
      </c>
      <c r="FV57" s="56">
        <v>385</v>
      </c>
      <c r="FW57" s="55">
        <v>286</v>
      </c>
      <c r="FX57" s="56">
        <v>390</v>
      </c>
      <c r="FY57" s="55">
        <v>320</v>
      </c>
      <c r="FZ57" s="56">
        <v>380</v>
      </c>
      <c r="GA57" s="55">
        <v>366</v>
      </c>
      <c r="GB57" s="56">
        <v>390</v>
      </c>
      <c r="GC57" s="55">
        <v>490</v>
      </c>
      <c r="GD57" s="56">
        <v>400</v>
      </c>
      <c r="GE57" s="55">
        <v>375</v>
      </c>
      <c r="GF57" s="56">
        <v>400</v>
      </c>
      <c r="GG57" s="55">
        <v>335</v>
      </c>
      <c r="GH57" s="56">
        <v>400</v>
      </c>
      <c r="GI57" s="55">
        <v>311</v>
      </c>
      <c r="GJ57" s="56">
        <v>410</v>
      </c>
      <c r="GK57" s="55">
        <v>343</v>
      </c>
      <c r="GL57" s="56">
        <v>440</v>
      </c>
      <c r="GM57" s="55">
        <v>270</v>
      </c>
      <c r="GN57" s="56">
        <v>440</v>
      </c>
      <c r="GO57" s="55">
        <v>337</v>
      </c>
      <c r="GP57" s="56">
        <v>460</v>
      </c>
      <c r="GQ57" s="55">
        <v>283</v>
      </c>
      <c r="GR57" s="56">
        <v>485</v>
      </c>
      <c r="GS57" s="55">
        <v>320</v>
      </c>
      <c r="GT57" s="56">
        <v>493</v>
      </c>
      <c r="GU57" s="55">
        <v>346</v>
      </c>
      <c r="GV57" s="56">
        <v>500</v>
      </c>
      <c r="GW57" s="55">
        <v>421</v>
      </c>
      <c r="GX57" s="56">
        <v>545</v>
      </c>
      <c r="GY57" s="55">
        <v>291</v>
      </c>
      <c r="GZ57" s="56">
        <v>520</v>
      </c>
      <c r="HA57" s="7">
        <v>329</v>
      </c>
      <c r="HB57" s="56">
        <v>510</v>
      </c>
      <c r="HC57" s="7">
        <v>270</v>
      </c>
      <c r="HD57" s="56">
        <v>538</v>
      </c>
      <c r="HE57" s="7">
        <v>282</v>
      </c>
      <c r="HF57" s="56">
        <v>540</v>
      </c>
    </row>
    <row r="58" spans="1:214" x14ac:dyDescent="0.25">
      <c r="A58" s="53"/>
      <c r="B58" s="54" t="s">
        <v>798</v>
      </c>
      <c r="C58" s="55">
        <v>159</v>
      </c>
      <c r="D58" s="56">
        <v>120</v>
      </c>
      <c r="E58" s="55">
        <v>157</v>
      </c>
      <c r="F58" s="56">
        <v>130</v>
      </c>
      <c r="G58" s="55">
        <v>166</v>
      </c>
      <c r="H58" s="56">
        <v>125</v>
      </c>
      <c r="I58" s="55">
        <v>198</v>
      </c>
      <c r="J58" s="56">
        <v>128</v>
      </c>
      <c r="K58" s="55">
        <v>157</v>
      </c>
      <c r="L58" s="56">
        <v>135</v>
      </c>
      <c r="M58" s="55">
        <v>177</v>
      </c>
      <c r="N58" s="56">
        <v>134</v>
      </c>
      <c r="O58" s="55">
        <v>166</v>
      </c>
      <c r="P58" s="56">
        <v>125</v>
      </c>
      <c r="Q58" s="55">
        <v>185</v>
      </c>
      <c r="R58" s="56">
        <v>130</v>
      </c>
      <c r="S58" s="55">
        <v>175</v>
      </c>
      <c r="T58" s="56">
        <v>130</v>
      </c>
      <c r="U58" s="55">
        <v>167</v>
      </c>
      <c r="V58" s="56">
        <v>135</v>
      </c>
      <c r="W58" s="55">
        <v>149</v>
      </c>
      <c r="X58" s="56">
        <v>130</v>
      </c>
      <c r="Y58" s="55">
        <v>158</v>
      </c>
      <c r="Z58" s="56">
        <v>140</v>
      </c>
      <c r="AA58" s="55">
        <v>168</v>
      </c>
      <c r="AB58" s="56">
        <v>140</v>
      </c>
      <c r="AC58" s="55">
        <v>174</v>
      </c>
      <c r="AD58" s="56">
        <v>143</v>
      </c>
      <c r="AE58" s="55">
        <v>175</v>
      </c>
      <c r="AF58" s="56">
        <v>135</v>
      </c>
      <c r="AG58" s="55">
        <v>184</v>
      </c>
      <c r="AH58" s="56">
        <v>140</v>
      </c>
      <c r="AI58" s="55">
        <v>170</v>
      </c>
      <c r="AJ58" s="56">
        <v>140</v>
      </c>
      <c r="AK58" s="55">
        <v>147</v>
      </c>
      <c r="AL58" s="56">
        <v>140</v>
      </c>
      <c r="AM58" s="55">
        <v>156</v>
      </c>
      <c r="AN58" s="56">
        <v>140</v>
      </c>
      <c r="AO58" s="55">
        <v>175</v>
      </c>
      <c r="AP58" s="56">
        <v>145</v>
      </c>
      <c r="AQ58" s="55">
        <v>157</v>
      </c>
      <c r="AR58" s="56">
        <v>150</v>
      </c>
      <c r="AS58" s="55">
        <v>159</v>
      </c>
      <c r="AT58" s="56">
        <v>150</v>
      </c>
      <c r="AU58" s="55">
        <v>141</v>
      </c>
      <c r="AV58" s="56">
        <v>150</v>
      </c>
      <c r="AW58" s="55">
        <v>161</v>
      </c>
      <c r="AX58" s="56">
        <v>145</v>
      </c>
      <c r="AY58" s="55">
        <v>163</v>
      </c>
      <c r="AZ58" s="56">
        <v>155</v>
      </c>
      <c r="BA58" s="55">
        <v>171</v>
      </c>
      <c r="BB58" s="56">
        <v>150</v>
      </c>
      <c r="BC58" s="55">
        <v>136</v>
      </c>
      <c r="BD58" s="56">
        <v>150</v>
      </c>
      <c r="BE58" s="55">
        <v>152</v>
      </c>
      <c r="BF58" s="56">
        <v>150</v>
      </c>
      <c r="BG58" s="55">
        <v>137</v>
      </c>
      <c r="BH58" s="56">
        <v>170</v>
      </c>
      <c r="BI58" s="55">
        <v>139</v>
      </c>
      <c r="BJ58" s="56">
        <v>160</v>
      </c>
      <c r="BK58" s="55">
        <v>107</v>
      </c>
      <c r="BL58" s="56">
        <v>160</v>
      </c>
      <c r="BM58" s="55">
        <v>165</v>
      </c>
      <c r="BN58" s="56">
        <v>165</v>
      </c>
      <c r="BO58" s="55">
        <v>106</v>
      </c>
      <c r="BP58" s="56">
        <v>178</v>
      </c>
      <c r="BQ58" s="55">
        <v>119</v>
      </c>
      <c r="BR58" s="56">
        <v>170</v>
      </c>
      <c r="BS58" s="55">
        <v>107</v>
      </c>
      <c r="BT58" s="56">
        <v>180</v>
      </c>
      <c r="BU58" s="55">
        <v>148</v>
      </c>
      <c r="BV58" s="56">
        <v>200</v>
      </c>
      <c r="BW58" s="55">
        <v>100</v>
      </c>
      <c r="BX58" s="56">
        <v>195</v>
      </c>
      <c r="BY58" s="55">
        <v>118</v>
      </c>
      <c r="BZ58" s="56">
        <v>200</v>
      </c>
      <c r="CA58" s="55">
        <v>129</v>
      </c>
      <c r="CB58" s="56">
        <v>210</v>
      </c>
      <c r="CC58" s="55">
        <v>122</v>
      </c>
      <c r="CD58" s="56">
        <v>220</v>
      </c>
      <c r="CE58" s="55">
        <v>110</v>
      </c>
      <c r="CF58" s="56">
        <v>223</v>
      </c>
      <c r="CG58" s="55">
        <v>128</v>
      </c>
      <c r="CH58" s="56">
        <v>235</v>
      </c>
      <c r="CI58" s="55">
        <v>123</v>
      </c>
      <c r="CJ58" s="56">
        <v>220</v>
      </c>
      <c r="CK58" s="55">
        <v>127</v>
      </c>
      <c r="CL58" s="56">
        <v>250</v>
      </c>
      <c r="CM58" s="55">
        <v>133</v>
      </c>
      <c r="CN58" s="56">
        <v>245</v>
      </c>
      <c r="CO58" s="55">
        <v>153</v>
      </c>
      <c r="CP58" s="56">
        <v>250</v>
      </c>
      <c r="CQ58" s="55">
        <v>150</v>
      </c>
      <c r="CR58" s="56">
        <v>250</v>
      </c>
      <c r="CS58" s="55">
        <v>122</v>
      </c>
      <c r="CT58" s="56">
        <v>250</v>
      </c>
      <c r="CU58" s="55">
        <v>182</v>
      </c>
      <c r="CV58" s="56">
        <v>250</v>
      </c>
      <c r="CW58" s="55">
        <v>170</v>
      </c>
      <c r="CX58" s="56">
        <v>263</v>
      </c>
      <c r="CY58" s="55">
        <v>158</v>
      </c>
      <c r="CZ58" s="56">
        <v>253</v>
      </c>
      <c r="DA58" s="55">
        <v>187</v>
      </c>
      <c r="DB58" s="56">
        <v>260</v>
      </c>
      <c r="DC58" s="55">
        <v>168</v>
      </c>
      <c r="DD58" s="56">
        <v>260</v>
      </c>
      <c r="DE58" s="55">
        <v>170</v>
      </c>
      <c r="DF58" s="56">
        <v>265</v>
      </c>
      <c r="DG58" s="55">
        <v>213</v>
      </c>
      <c r="DH58" s="56">
        <v>260</v>
      </c>
      <c r="DI58" s="55">
        <v>217</v>
      </c>
      <c r="DJ58" s="56">
        <v>260</v>
      </c>
      <c r="DK58" s="55">
        <v>189</v>
      </c>
      <c r="DL58" s="56">
        <v>260</v>
      </c>
      <c r="DM58" s="55">
        <v>183</v>
      </c>
      <c r="DN58" s="56">
        <v>260</v>
      </c>
      <c r="DO58" s="55">
        <v>156</v>
      </c>
      <c r="DP58" s="56">
        <v>270</v>
      </c>
      <c r="DQ58" s="55">
        <v>176</v>
      </c>
      <c r="DR58" s="56">
        <v>267</v>
      </c>
      <c r="DS58" s="55">
        <v>174</v>
      </c>
      <c r="DT58" s="56">
        <v>280</v>
      </c>
      <c r="DU58" s="55">
        <v>193</v>
      </c>
      <c r="DV58" s="56">
        <v>280</v>
      </c>
      <c r="DW58" s="55">
        <v>191</v>
      </c>
      <c r="DX58" s="56">
        <v>280</v>
      </c>
      <c r="DY58" s="55">
        <v>221</v>
      </c>
      <c r="DZ58" s="56">
        <v>295</v>
      </c>
      <c r="EA58" s="55">
        <v>199</v>
      </c>
      <c r="EB58" s="56">
        <v>280</v>
      </c>
      <c r="EC58" s="55">
        <v>231</v>
      </c>
      <c r="ED58" s="56">
        <v>280</v>
      </c>
      <c r="EE58" s="55">
        <v>213</v>
      </c>
      <c r="EF58" s="56">
        <v>290</v>
      </c>
      <c r="EG58" s="55">
        <v>209</v>
      </c>
      <c r="EH58" s="56">
        <v>295</v>
      </c>
      <c r="EI58" s="55">
        <v>198</v>
      </c>
      <c r="EJ58" s="56">
        <v>280</v>
      </c>
      <c r="EK58" s="55">
        <v>183</v>
      </c>
      <c r="EL58" s="56">
        <v>300</v>
      </c>
      <c r="EM58" s="55">
        <v>168</v>
      </c>
      <c r="EN58" s="56">
        <v>305</v>
      </c>
      <c r="EO58" s="55">
        <v>208</v>
      </c>
      <c r="EP58" s="56">
        <v>310</v>
      </c>
      <c r="EQ58" s="55">
        <v>219</v>
      </c>
      <c r="ER58" s="56">
        <v>315</v>
      </c>
      <c r="ES58" s="55">
        <v>181</v>
      </c>
      <c r="ET58" s="56">
        <v>310</v>
      </c>
      <c r="EU58" s="55">
        <v>198</v>
      </c>
      <c r="EV58" s="56">
        <v>320</v>
      </c>
      <c r="EW58" s="55">
        <v>216</v>
      </c>
      <c r="EX58" s="56">
        <v>320</v>
      </c>
      <c r="EY58" s="55">
        <v>217</v>
      </c>
      <c r="EZ58" s="56">
        <v>330</v>
      </c>
      <c r="FA58" s="55">
        <v>205</v>
      </c>
      <c r="FB58" s="56">
        <v>330</v>
      </c>
      <c r="FC58" s="55">
        <v>182</v>
      </c>
      <c r="FD58" s="56">
        <v>328</v>
      </c>
      <c r="FE58" s="55">
        <v>176</v>
      </c>
      <c r="FF58" s="56">
        <v>320</v>
      </c>
      <c r="FG58" s="55">
        <v>213</v>
      </c>
      <c r="FH58" s="56">
        <v>330</v>
      </c>
      <c r="FI58" s="55">
        <v>177</v>
      </c>
      <c r="FJ58" s="56">
        <v>330</v>
      </c>
      <c r="FK58" s="55">
        <v>229</v>
      </c>
      <c r="FL58" s="56">
        <v>340</v>
      </c>
      <c r="FM58" s="55">
        <v>208</v>
      </c>
      <c r="FN58" s="56">
        <v>340</v>
      </c>
      <c r="FO58" s="55">
        <v>153</v>
      </c>
      <c r="FP58" s="56">
        <v>330</v>
      </c>
      <c r="FQ58" s="55">
        <v>129</v>
      </c>
      <c r="FR58" s="56">
        <v>330</v>
      </c>
      <c r="FS58" s="55">
        <v>195</v>
      </c>
      <c r="FT58" s="56">
        <v>330</v>
      </c>
      <c r="FU58" s="55">
        <v>201</v>
      </c>
      <c r="FV58" s="56">
        <v>330</v>
      </c>
      <c r="FW58" s="55">
        <v>199</v>
      </c>
      <c r="FX58" s="56">
        <v>330</v>
      </c>
      <c r="FY58" s="55">
        <v>186</v>
      </c>
      <c r="FZ58" s="56">
        <v>325</v>
      </c>
      <c r="GA58" s="55">
        <v>206</v>
      </c>
      <c r="GB58" s="56">
        <v>330</v>
      </c>
      <c r="GC58" s="55">
        <v>254</v>
      </c>
      <c r="GD58" s="56">
        <v>330</v>
      </c>
      <c r="GE58" s="55">
        <v>225</v>
      </c>
      <c r="GF58" s="56">
        <v>340</v>
      </c>
      <c r="GG58" s="55">
        <v>230</v>
      </c>
      <c r="GH58" s="56">
        <v>340</v>
      </c>
      <c r="GI58" s="55">
        <v>233</v>
      </c>
      <c r="GJ58" s="56">
        <v>350</v>
      </c>
      <c r="GK58" s="55">
        <v>196</v>
      </c>
      <c r="GL58" s="56">
        <v>350</v>
      </c>
      <c r="GM58" s="55">
        <v>157</v>
      </c>
      <c r="GN58" s="56">
        <v>350</v>
      </c>
      <c r="GO58" s="55">
        <v>164</v>
      </c>
      <c r="GP58" s="56">
        <v>383</v>
      </c>
      <c r="GQ58" s="55">
        <v>173</v>
      </c>
      <c r="GR58" s="56">
        <v>400</v>
      </c>
      <c r="GS58" s="55">
        <v>188</v>
      </c>
      <c r="GT58" s="56">
        <v>395</v>
      </c>
      <c r="GU58" s="55">
        <v>161</v>
      </c>
      <c r="GV58" s="56">
        <v>410</v>
      </c>
      <c r="GW58" s="55">
        <v>170</v>
      </c>
      <c r="GX58" s="56">
        <v>420</v>
      </c>
      <c r="GY58" s="55">
        <v>152</v>
      </c>
      <c r="GZ58" s="56">
        <v>420</v>
      </c>
      <c r="HA58">
        <v>152</v>
      </c>
      <c r="HB58" s="56">
        <v>430</v>
      </c>
      <c r="HC58">
        <v>158</v>
      </c>
      <c r="HD58" s="56">
        <v>435</v>
      </c>
      <c r="HE58">
        <v>224</v>
      </c>
      <c r="HF58" s="56">
        <v>400</v>
      </c>
    </row>
    <row r="59" spans="1:214" x14ac:dyDescent="0.25">
      <c r="A59" s="53"/>
      <c r="B59" s="54" t="s">
        <v>799</v>
      </c>
      <c r="C59" s="55">
        <v>379</v>
      </c>
      <c r="D59" s="56">
        <v>145</v>
      </c>
      <c r="E59" s="55">
        <v>380</v>
      </c>
      <c r="F59" s="56">
        <v>145</v>
      </c>
      <c r="G59" s="55">
        <v>383</v>
      </c>
      <c r="H59" s="56">
        <v>150</v>
      </c>
      <c r="I59" s="55">
        <v>475</v>
      </c>
      <c r="J59" s="56">
        <v>150</v>
      </c>
      <c r="K59" s="55">
        <v>349</v>
      </c>
      <c r="L59" s="56">
        <v>155</v>
      </c>
      <c r="M59" s="55">
        <v>399</v>
      </c>
      <c r="N59" s="56">
        <v>150</v>
      </c>
      <c r="O59" s="55">
        <v>347</v>
      </c>
      <c r="P59" s="56">
        <v>155</v>
      </c>
      <c r="Q59" s="55">
        <v>456</v>
      </c>
      <c r="R59" s="56">
        <v>160</v>
      </c>
      <c r="S59" s="55">
        <v>348</v>
      </c>
      <c r="T59" s="56">
        <v>165</v>
      </c>
      <c r="U59" s="55">
        <v>322</v>
      </c>
      <c r="V59" s="56">
        <v>165</v>
      </c>
      <c r="W59" s="55">
        <v>329</v>
      </c>
      <c r="X59" s="56">
        <v>165</v>
      </c>
      <c r="Y59" s="55">
        <v>418</v>
      </c>
      <c r="Z59" s="56">
        <v>170</v>
      </c>
      <c r="AA59" s="55">
        <v>327</v>
      </c>
      <c r="AB59" s="56">
        <v>170</v>
      </c>
      <c r="AC59" s="55">
        <v>362</v>
      </c>
      <c r="AD59" s="56">
        <v>170</v>
      </c>
      <c r="AE59" s="55">
        <v>301</v>
      </c>
      <c r="AF59" s="56">
        <v>170</v>
      </c>
      <c r="AG59" s="55">
        <v>443</v>
      </c>
      <c r="AH59" s="56">
        <v>175</v>
      </c>
      <c r="AI59" s="55">
        <v>308</v>
      </c>
      <c r="AJ59" s="56">
        <v>170</v>
      </c>
      <c r="AK59" s="55">
        <v>353</v>
      </c>
      <c r="AL59" s="56">
        <v>180</v>
      </c>
      <c r="AM59" s="55">
        <v>331</v>
      </c>
      <c r="AN59" s="56">
        <v>180</v>
      </c>
      <c r="AO59" s="55">
        <v>462</v>
      </c>
      <c r="AP59" s="56">
        <v>185</v>
      </c>
      <c r="AQ59" s="55">
        <v>300</v>
      </c>
      <c r="AR59" s="56">
        <v>180</v>
      </c>
      <c r="AS59" s="55">
        <v>374</v>
      </c>
      <c r="AT59" s="56">
        <v>180</v>
      </c>
      <c r="AU59" s="55">
        <v>397</v>
      </c>
      <c r="AV59" s="56">
        <v>185</v>
      </c>
      <c r="AW59" s="55">
        <v>447</v>
      </c>
      <c r="AX59" s="56">
        <v>190</v>
      </c>
      <c r="AY59" s="55">
        <v>324</v>
      </c>
      <c r="AZ59" s="56">
        <v>190</v>
      </c>
      <c r="BA59" s="55">
        <v>450</v>
      </c>
      <c r="BB59" s="56">
        <v>190</v>
      </c>
      <c r="BC59" s="55">
        <v>317</v>
      </c>
      <c r="BD59" s="56">
        <v>195</v>
      </c>
      <c r="BE59" s="55">
        <v>438</v>
      </c>
      <c r="BF59" s="56">
        <v>200</v>
      </c>
      <c r="BG59" s="55">
        <v>308</v>
      </c>
      <c r="BH59" s="56">
        <v>208</v>
      </c>
      <c r="BI59" s="55">
        <v>347</v>
      </c>
      <c r="BJ59" s="56">
        <v>201</v>
      </c>
      <c r="BK59" s="55">
        <v>334</v>
      </c>
      <c r="BL59" s="56">
        <v>220</v>
      </c>
      <c r="BM59" s="55">
        <v>406</v>
      </c>
      <c r="BN59" s="56">
        <v>225</v>
      </c>
      <c r="BO59" s="55">
        <v>326</v>
      </c>
      <c r="BP59" s="56">
        <v>230</v>
      </c>
      <c r="BQ59" s="55">
        <v>321</v>
      </c>
      <c r="BR59" s="56">
        <v>250</v>
      </c>
      <c r="BS59" s="55">
        <v>328</v>
      </c>
      <c r="BT59" s="56">
        <v>250</v>
      </c>
      <c r="BU59" s="55">
        <v>379</v>
      </c>
      <c r="BV59" s="56">
        <v>270</v>
      </c>
      <c r="BW59" s="55">
        <v>280</v>
      </c>
      <c r="BX59" s="56">
        <v>280</v>
      </c>
      <c r="BY59" s="55">
        <v>346</v>
      </c>
      <c r="BZ59" s="56">
        <v>280</v>
      </c>
      <c r="CA59" s="55">
        <v>339</v>
      </c>
      <c r="CB59" s="56">
        <v>280</v>
      </c>
      <c r="CC59" s="55">
        <v>405</v>
      </c>
      <c r="CD59" s="56">
        <v>301</v>
      </c>
      <c r="CE59" s="55">
        <v>277</v>
      </c>
      <c r="CF59" s="56">
        <v>295</v>
      </c>
      <c r="CG59" s="55">
        <v>327</v>
      </c>
      <c r="CH59" s="56">
        <v>295</v>
      </c>
      <c r="CI59" s="55">
        <v>385</v>
      </c>
      <c r="CJ59" s="56">
        <v>300</v>
      </c>
      <c r="CK59" s="55">
        <v>433</v>
      </c>
      <c r="CL59" s="56">
        <v>310</v>
      </c>
      <c r="CM59" s="55">
        <v>325</v>
      </c>
      <c r="CN59" s="56">
        <v>315</v>
      </c>
      <c r="CO59" s="55">
        <v>379</v>
      </c>
      <c r="CP59" s="56">
        <v>310</v>
      </c>
      <c r="CQ59" s="55">
        <v>434</v>
      </c>
      <c r="CR59" s="56">
        <v>320</v>
      </c>
      <c r="CS59" s="55">
        <v>468</v>
      </c>
      <c r="CT59" s="56">
        <v>320</v>
      </c>
      <c r="CU59" s="55">
        <v>382</v>
      </c>
      <c r="CV59" s="56">
        <v>320</v>
      </c>
      <c r="CW59" s="55">
        <v>446</v>
      </c>
      <c r="CX59" s="56">
        <v>320</v>
      </c>
      <c r="CY59" s="55">
        <v>429</v>
      </c>
      <c r="CZ59" s="56">
        <v>330</v>
      </c>
      <c r="DA59" s="55">
        <v>658</v>
      </c>
      <c r="DB59" s="56">
        <v>340</v>
      </c>
      <c r="DC59" s="55">
        <v>422</v>
      </c>
      <c r="DD59" s="56">
        <v>320</v>
      </c>
      <c r="DE59" s="55">
        <v>461</v>
      </c>
      <c r="DF59" s="56">
        <v>330</v>
      </c>
      <c r="DG59" s="55">
        <v>521</v>
      </c>
      <c r="DH59" s="56">
        <v>330</v>
      </c>
      <c r="DI59" s="55">
        <v>599</v>
      </c>
      <c r="DJ59" s="56">
        <v>340</v>
      </c>
      <c r="DK59" s="55">
        <v>485</v>
      </c>
      <c r="DL59" s="56">
        <v>340</v>
      </c>
      <c r="DM59" s="55">
        <v>474</v>
      </c>
      <c r="DN59" s="56">
        <v>330</v>
      </c>
      <c r="DO59" s="55">
        <v>522</v>
      </c>
      <c r="DP59" s="56">
        <v>340</v>
      </c>
      <c r="DQ59" s="55">
        <v>620</v>
      </c>
      <c r="DR59" s="56">
        <v>340</v>
      </c>
      <c r="DS59" s="55">
        <v>494</v>
      </c>
      <c r="DT59" s="56">
        <v>343</v>
      </c>
      <c r="DU59" s="55">
        <v>514</v>
      </c>
      <c r="DV59" s="56">
        <v>340</v>
      </c>
      <c r="DW59" s="55">
        <v>506</v>
      </c>
      <c r="DX59" s="56">
        <v>340</v>
      </c>
      <c r="DY59" s="55">
        <v>642</v>
      </c>
      <c r="DZ59" s="56">
        <v>350</v>
      </c>
      <c r="EA59" s="55">
        <v>511</v>
      </c>
      <c r="EB59" s="56">
        <v>350</v>
      </c>
      <c r="EC59" s="55">
        <v>492</v>
      </c>
      <c r="ED59" s="56">
        <v>360</v>
      </c>
      <c r="EE59" s="55">
        <v>583</v>
      </c>
      <c r="EF59" s="56">
        <v>350</v>
      </c>
      <c r="EG59" s="55">
        <v>680</v>
      </c>
      <c r="EH59" s="56">
        <v>360</v>
      </c>
      <c r="EI59" s="55">
        <v>532</v>
      </c>
      <c r="EJ59" s="56">
        <v>360</v>
      </c>
      <c r="EK59" s="55">
        <v>597</v>
      </c>
      <c r="EL59" s="56">
        <v>360</v>
      </c>
      <c r="EM59" s="55">
        <v>631</v>
      </c>
      <c r="EN59" s="56">
        <v>360</v>
      </c>
      <c r="EO59" s="55">
        <v>727</v>
      </c>
      <c r="EP59" s="56">
        <v>380</v>
      </c>
      <c r="EQ59" s="55">
        <v>553</v>
      </c>
      <c r="ER59" s="56">
        <v>385</v>
      </c>
      <c r="ES59" s="55">
        <v>583</v>
      </c>
      <c r="ET59" s="56">
        <v>380</v>
      </c>
      <c r="EU59" s="55">
        <v>579</v>
      </c>
      <c r="EV59" s="56">
        <v>390</v>
      </c>
      <c r="EW59" s="55">
        <v>741</v>
      </c>
      <c r="EX59" s="56">
        <v>390</v>
      </c>
      <c r="EY59" s="55">
        <v>583</v>
      </c>
      <c r="EZ59" s="56">
        <v>400</v>
      </c>
      <c r="FA59" s="55">
        <v>563</v>
      </c>
      <c r="FB59" s="56">
        <v>390</v>
      </c>
      <c r="FC59" s="55">
        <v>498</v>
      </c>
      <c r="FD59" s="56">
        <v>390</v>
      </c>
      <c r="FE59" s="55">
        <v>651</v>
      </c>
      <c r="FF59" s="56">
        <v>400</v>
      </c>
      <c r="FG59" s="55">
        <v>495</v>
      </c>
      <c r="FH59" s="56">
        <v>400</v>
      </c>
      <c r="FI59" s="55">
        <v>604</v>
      </c>
      <c r="FJ59" s="56">
        <v>400</v>
      </c>
      <c r="FK59" s="55">
        <v>557</v>
      </c>
      <c r="FL59" s="56">
        <v>395</v>
      </c>
      <c r="FM59" s="55">
        <v>796</v>
      </c>
      <c r="FN59" s="56">
        <v>410</v>
      </c>
      <c r="FO59" s="55">
        <v>466</v>
      </c>
      <c r="FP59" s="56">
        <v>390</v>
      </c>
      <c r="FQ59" s="55">
        <v>432</v>
      </c>
      <c r="FR59" s="56">
        <v>390</v>
      </c>
      <c r="FS59" s="55">
        <v>606</v>
      </c>
      <c r="FT59" s="56">
        <v>390</v>
      </c>
      <c r="FU59" s="55">
        <v>749</v>
      </c>
      <c r="FV59" s="56">
        <v>380</v>
      </c>
      <c r="FW59" s="55">
        <v>676</v>
      </c>
      <c r="FX59" s="56">
        <v>380</v>
      </c>
      <c r="FY59" s="55">
        <v>588</v>
      </c>
      <c r="FZ59" s="56">
        <v>380</v>
      </c>
      <c r="GA59" s="55">
        <v>623</v>
      </c>
      <c r="GB59" s="56">
        <v>375</v>
      </c>
      <c r="GC59" s="55">
        <v>867</v>
      </c>
      <c r="GD59" s="56">
        <v>395</v>
      </c>
      <c r="GE59" s="55">
        <v>655</v>
      </c>
      <c r="GF59" s="56">
        <v>400</v>
      </c>
      <c r="GG59" s="55">
        <v>675</v>
      </c>
      <c r="GH59" s="56">
        <v>400</v>
      </c>
      <c r="GI59" s="55">
        <v>670</v>
      </c>
      <c r="GJ59" s="56">
        <v>400</v>
      </c>
      <c r="GK59" s="55">
        <v>578</v>
      </c>
      <c r="GL59" s="56">
        <v>440</v>
      </c>
      <c r="GM59" s="55">
        <v>435</v>
      </c>
      <c r="GN59" s="56">
        <v>450</v>
      </c>
      <c r="GO59" s="55">
        <v>493</v>
      </c>
      <c r="GP59" s="56">
        <v>470</v>
      </c>
      <c r="GQ59" s="55">
        <v>478</v>
      </c>
      <c r="GR59" s="56">
        <v>489</v>
      </c>
      <c r="GS59" s="55">
        <v>464</v>
      </c>
      <c r="GT59" s="56">
        <v>500</v>
      </c>
      <c r="GU59" s="55">
        <v>483</v>
      </c>
      <c r="GV59" s="56">
        <v>500</v>
      </c>
      <c r="GW59" s="55">
        <v>520</v>
      </c>
      <c r="GX59" s="56">
        <v>525</v>
      </c>
      <c r="GY59" s="55">
        <v>455</v>
      </c>
      <c r="GZ59" s="56">
        <v>530</v>
      </c>
      <c r="HA59">
        <v>510</v>
      </c>
      <c r="HB59" s="56">
        <v>530</v>
      </c>
      <c r="HC59">
        <v>428</v>
      </c>
      <c r="HD59" s="56">
        <v>550</v>
      </c>
      <c r="HE59">
        <v>473</v>
      </c>
      <c r="HF59" s="56">
        <v>530</v>
      </c>
    </row>
    <row r="60" spans="1:214" x14ac:dyDescent="0.25">
      <c r="A60" s="53"/>
      <c r="B60" s="54" t="s">
        <v>800</v>
      </c>
      <c r="C60" s="55">
        <v>212</v>
      </c>
      <c r="D60" s="56">
        <v>150</v>
      </c>
      <c r="E60" s="55">
        <v>242</v>
      </c>
      <c r="F60" s="56">
        <v>155</v>
      </c>
      <c r="G60" s="55">
        <v>185</v>
      </c>
      <c r="H60" s="56">
        <v>150</v>
      </c>
      <c r="I60" s="55">
        <v>222</v>
      </c>
      <c r="J60" s="56">
        <v>160</v>
      </c>
      <c r="K60" s="55">
        <v>219</v>
      </c>
      <c r="L60" s="56">
        <v>160</v>
      </c>
      <c r="M60" s="55">
        <v>226</v>
      </c>
      <c r="N60" s="56">
        <v>163</v>
      </c>
      <c r="O60" s="55">
        <v>209</v>
      </c>
      <c r="P60" s="56">
        <v>165</v>
      </c>
      <c r="Q60" s="55">
        <v>219</v>
      </c>
      <c r="R60" s="56">
        <v>165</v>
      </c>
      <c r="S60" s="55">
        <v>201</v>
      </c>
      <c r="T60" s="56">
        <v>165</v>
      </c>
      <c r="U60" s="55">
        <v>220</v>
      </c>
      <c r="V60" s="56">
        <v>168</v>
      </c>
      <c r="W60" s="55">
        <v>171</v>
      </c>
      <c r="X60" s="56">
        <v>170</v>
      </c>
      <c r="Y60" s="55">
        <v>198</v>
      </c>
      <c r="Z60" s="56">
        <v>173</v>
      </c>
      <c r="AA60" s="55">
        <v>217</v>
      </c>
      <c r="AB60" s="56">
        <v>170</v>
      </c>
      <c r="AC60" s="55">
        <v>213</v>
      </c>
      <c r="AD60" s="56">
        <v>170</v>
      </c>
      <c r="AE60" s="55">
        <v>191</v>
      </c>
      <c r="AF60" s="56">
        <v>175</v>
      </c>
      <c r="AG60" s="55">
        <v>202</v>
      </c>
      <c r="AH60" s="56">
        <v>175</v>
      </c>
      <c r="AI60" s="55">
        <v>203</v>
      </c>
      <c r="AJ60" s="56">
        <v>180</v>
      </c>
      <c r="AK60" s="55">
        <v>188</v>
      </c>
      <c r="AL60" s="56">
        <v>175</v>
      </c>
      <c r="AM60" s="55">
        <v>204</v>
      </c>
      <c r="AN60" s="56">
        <v>173</v>
      </c>
      <c r="AO60" s="55">
        <v>210</v>
      </c>
      <c r="AP60" s="56">
        <v>180</v>
      </c>
      <c r="AQ60" s="55">
        <v>150</v>
      </c>
      <c r="AR60" s="56">
        <v>180</v>
      </c>
      <c r="AS60" s="55">
        <v>206</v>
      </c>
      <c r="AT60" s="56">
        <v>180</v>
      </c>
      <c r="AU60" s="55">
        <v>166</v>
      </c>
      <c r="AV60" s="56">
        <v>180</v>
      </c>
      <c r="AW60" s="55">
        <v>162</v>
      </c>
      <c r="AX60" s="56">
        <v>180</v>
      </c>
      <c r="AY60" s="55">
        <v>194</v>
      </c>
      <c r="AZ60" s="56">
        <v>180</v>
      </c>
      <c r="BA60" s="55">
        <v>178</v>
      </c>
      <c r="BB60" s="56">
        <v>180</v>
      </c>
      <c r="BC60" s="55">
        <v>158</v>
      </c>
      <c r="BD60" s="56">
        <v>185</v>
      </c>
      <c r="BE60" s="55">
        <v>174</v>
      </c>
      <c r="BF60" s="56">
        <v>185</v>
      </c>
      <c r="BG60" s="55">
        <v>131</v>
      </c>
      <c r="BH60" s="56">
        <v>190</v>
      </c>
      <c r="BI60" s="55">
        <v>199</v>
      </c>
      <c r="BJ60" s="56">
        <v>190</v>
      </c>
      <c r="BK60" s="55">
        <v>139</v>
      </c>
      <c r="BL60" s="56">
        <v>200</v>
      </c>
      <c r="BM60" s="55">
        <v>170</v>
      </c>
      <c r="BN60" s="56">
        <v>210</v>
      </c>
      <c r="BO60" s="55">
        <v>162</v>
      </c>
      <c r="BP60" s="56">
        <v>210</v>
      </c>
      <c r="BQ60" s="55">
        <v>184</v>
      </c>
      <c r="BR60" s="56">
        <v>220</v>
      </c>
      <c r="BS60" s="55">
        <v>128</v>
      </c>
      <c r="BT60" s="56">
        <v>220</v>
      </c>
      <c r="BU60" s="55">
        <v>159</v>
      </c>
      <c r="BV60" s="56">
        <v>240</v>
      </c>
      <c r="BW60" s="55">
        <v>139</v>
      </c>
      <c r="BX60" s="56">
        <v>240</v>
      </c>
      <c r="BY60" s="55">
        <v>148</v>
      </c>
      <c r="BZ60" s="56">
        <v>250</v>
      </c>
      <c r="CA60" s="55">
        <v>159</v>
      </c>
      <c r="CB60" s="56">
        <v>250</v>
      </c>
      <c r="CC60" s="55">
        <v>159</v>
      </c>
      <c r="CD60" s="56">
        <v>260</v>
      </c>
      <c r="CE60" s="55">
        <v>158</v>
      </c>
      <c r="CF60" s="56">
        <v>260</v>
      </c>
      <c r="CG60" s="55">
        <v>141</v>
      </c>
      <c r="CH60" s="56">
        <v>250</v>
      </c>
      <c r="CI60" s="55">
        <v>152</v>
      </c>
      <c r="CJ60" s="56">
        <v>260</v>
      </c>
      <c r="CK60" s="55">
        <v>174</v>
      </c>
      <c r="CL60" s="56">
        <v>270</v>
      </c>
      <c r="CM60" s="55">
        <v>179</v>
      </c>
      <c r="CN60" s="56">
        <v>275</v>
      </c>
      <c r="CO60" s="55">
        <v>177</v>
      </c>
      <c r="CP60" s="56">
        <v>280</v>
      </c>
      <c r="CQ60" s="55">
        <v>174</v>
      </c>
      <c r="CR60" s="56">
        <v>280</v>
      </c>
      <c r="CS60" s="55">
        <v>179</v>
      </c>
      <c r="CT60" s="56">
        <v>280</v>
      </c>
      <c r="CU60" s="55">
        <v>177</v>
      </c>
      <c r="CV60" s="56">
        <v>280</v>
      </c>
      <c r="CW60" s="55">
        <v>173</v>
      </c>
      <c r="CX60" s="56">
        <v>280</v>
      </c>
      <c r="CY60" s="55">
        <v>175</v>
      </c>
      <c r="CZ60" s="56">
        <v>290</v>
      </c>
      <c r="DA60" s="55">
        <v>205</v>
      </c>
      <c r="DB60" s="56">
        <v>280</v>
      </c>
      <c r="DC60" s="55">
        <v>166</v>
      </c>
      <c r="DD60" s="56">
        <v>285</v>
      </c>
      <c r="DE60" s="55">
        <v>202</v>
      </c>
      <c r="DF60" s="56">
        <v>290</v>
      </c>
      <c r="DG60" s="55">
        <v>168</v>
      </c>
      <c r="DH60" s="56">
        <v>290</v>
      </c>
      <c r="DI60" s="55">
        <v>216</v>
      </c>
      <c r="DJ60" s="56">
        <v>287</v>
      </c>
      <c r="DK60" s="55">
        <v>217</v>
      </c>
      <c r="DL60" s="56">
        <v>299</v>
      </c>
      <c r="DM60" s="55">
        <v>272</v>
      </c>
      <c r="DN60" s="56">
        <v>300</v>
      </c>
      <c r="DO60" s="55">
        <v>200</v>
      </c>
      <c r="DP60" s="56">
        <v>300</v>
      </c>
      <c r="DQ60" s="55">
        <v>225</v>
      </c>
      <c r="DR60" s="56">
        <v>300</v>
      </c>
      <c r="DS60" s="55">
        <v>207</v>
      </c>
      <c r="DT60" s="56">
        <v>310</v>
      </c>
      <c r="DU60" s="55">
        <v>203</v>
      </c>
      <c r="DV60" s="56">
        <v>300</v>
      </c>
      <c r="DW60" s="55">
        <v>204</v>
      </c>
      <c r="DX60" s="56">
        <v>310</v>
      </c>
      <c r="DY60" s="55">
        <v>231</v>
      </c>
      <c r="DZ60" s="56">
        <v>300</v>
      </c>
      <c r="EA60" s="55">
        <v>196</v>
      </c>
      <c r="EB60" s="56">
        <v>310</v>
      </c>
      <c r="EC60" s="55">
        <v>196</v>
      </c>
      <c r="ED60" s="56">
        <v>317</v>
      </c>
      <c r="EE60" s="55">
        <v>197</v>
      </c>
      <c r="EF60" s="56">
        <v>320</v>
      </c>
      <c r="EG60" s="55">
        <v>198</v>
      </c>
      <c r="EH60" s="56">
        <v>320</v>
      </c>
      <c r="EI60" s="55">
        <v>180</v>
      </c>
      <c r="EJ60" s="56">
        <v>325</v>
      </c>
      <c r="EK60" s="55">
        <v>207</v>
      </c>
      <c r="EL60" s="56">
        <v>320</v>
      </c>
      <c r="EM60" s="55">
        <v>182</v>
      </c>
      <c r="EN60" s="56">
        <v>330</v>
      </c>
      <c r="EO60" s="55">
        <v>206</v>
      </c>
      <c r="EP60" s="56">
        <v>340</v>
      </c>
      <c r="EQ60" s="55">
        <v>195</v>
      </c>
      <c r="ER60" s="56">
        <v>330</v>
      </c>
      <c r="ES60" s="55">
        <v>208</v>
      </c>
      <c r="ET60" s="56">
        <v>345</v>
      </c>
      <c r="EU60" s="55">
        <v>183</v>
      </c>
      <c r="EV60" s="56">
        <v>350</v>
      </c>
      <c r="EW60" s="55">
        <v>193</v>
      </c>
      <c r="EX60" s="56">
        <v>365</v>
      </c>
      <c r="EY60" s="55">
        <v>209</v>
      </c>
      <c r="EZ60" s="56">
        <v>345</v>
      </c>
      <c r="FA60" s="55">
        <v>201</v>
      </c>
      <c r="FB60" s="56">
        <v>350</v>
      </c>
      <c r="FC60" s="55">
        <v>191</v>
      </c>
      <c r="FD60" s="56">
        <v>355</v>
      </c>
      <c r="FE60" s="55">
        <v>197</v>
      </c>
      <c r="FF60" s="56">
        <v>370</v>
      </c>
      <c r="FG60" s="55">
        <v>186</v>
      </c>
      <c r="FH60" s="56">
        <v>360</v>
      </c>
      <c r="FI60" s="55">
        <v>176</v>
      </c>
      <c r="FJ60" s="56">
        <v>368</v>
      </c>
      <c r="FK60" s="55">
        <v>174</v>
      </c>
      <c r="FL60" s="56">
        <v>368</v>
      </c>
      <c r="FM60" s="55">
        <v>194</v>
      </c>
      <c r="FN60" s="56">
        <v>380</v>
      </c>
      <c r="FO60" s="55">
        <v>163</v>
      </c>
      <c r="FP60" s="56">
        <v>360</v>
      </c>
      <c r="FQ60" s="55">
        <v>164</v>
      </c>
      <c r="FR60" s="56">
        <v>360</v>
      </c>
      <c r="FS60" s="55">
        <v>192</v>
      </c>
      <c r="FT60" s="56">
        <v>350</v>
      </c>
      <c r="FU60" s="55">
        <v>198</v>
      </c>
      <c r="FV60" s="56">
        <v>350</v>
      </c>
      <c r="FW60" s="55">
        <v>202</v>
      </c>
      <c r="FX60" s="56">
        <v>350</v>
      </c>
      <c r="FY60" s="55">
        <v>179</v>
      </c>
      <c r="FZ60" s="56">
        <v>350</v>
      </c>
      <c r="GA60" s="55">
        <v>177</v>
      </c>
      <c r="GB60" s="56">
        <v>350</v>
      </c>
      <c r="GC60" s="55">
        <v>198</v>
      </c>
      <c r="GD60" s="56">
        <v>360</v>
      </c>
      <c r="GE60" s="55">
        <v>199</v>
      </c>
      <c r="GF60" s="56">
        <v>350</v>
      </c>
      <c r="GG60" s="55">
        <v>212</v>
      </c>
      <c r="GH60" s="56">
        <v>370</v>
      </c>
      <c r="GI60" s="55">
        <v>154</v>
      </c>
      <c r="GJ60" s="56">
        <v>395</v>
      </c>
      <c r="GK60" s="55">
        <v>183</v>
      </c>
      <c r="GL60" s="56">
        <v>400</v>
      </c>
      <c r="GM60" s="55">
        <v>145</v>
      </c>
      <c r="GN60" s="56">
        <v>405</v>
      </c>
      <c r="GO60" s="55">
        <v>165</v>
      </c>
      <c r="GP60" s="56">
        <v>430</v>
      </c>
      <c r="GQ60" s="55">
        <v>140</v>
      </c>
      <c r="GR60" s="56">
        <v>450</v>
      </c>
      <c r="GS60" s="55">
        <v>212</v>
      </c>
      <c r="GT60" s="56">
        <v>520</v>
      </c>
      <c r="GU60" s="55">
        <v>162</v>
      </c>
      <c r="GV60" s="56">
        <v>480</v>
      </c>
      <c r="GW60" s="55">
        <v>196</v>
      </c>
      <c r="GX60" s="56">
        <v>520</v>
      </c>
      <c r="GY60" s="55">
        <v>199</v>
      </c>
      <c r="GZ60" s="56">
        <v>560</v>
      </c>
      <c r="HA60">
        <v>190</v>
      </c>
      <c r="HB60" s="56">
        <v>500</v>
      </c>
      <c r="HC60">
        <v>155</v>
      </c>
      <c r="HD60" s="56">
        <v>480</v>
      </c>
      <c r="HE60">
        <v>149</v>
      </c>
      <c r="HF60" s="56">
        <v>500</v>
      </c>
    </row>
    <row r="61" spans="1:214" x14ac:dyDescent="0.25">
      <c r="A61" s="53"/>
      <c r="B61" s="54" t="s">
        <v>776</v>
      </c>
      <c r="C61" s="55">
        <v>97</v>
      </c>
      <c r="D61" s="56">
        <v>150</v>
      </c>
      <c r="E61" s="55">
        <v>93</v>
      </c>
      <c r="F61" s="56">
        <v>150</v>
      </c>
      <c r="G61" s="55">
        <v>88</v>
      </c>
      <c r="H61" s="56">
        <v>150</v>
      </c>
      <c r="I61" s="55">
        <v>118</v>
      </c>
      <c r="J61" s="56">
        <v>158</v>
      </c>
      <c r="K61" s="55">
        <v>89</v>
      </c>
      <c r="L61" s="56">
        <v>160</v>
      </c>
      <c r="M61" s="55">
        <v>107</v>
      </c>
      <c r="N61" s="56">
        <v>160</v>
      </c>
      <c r="O61" s="55">
        <v>100</v>
      </c>
      <c r="P61" s="56">
        <v>160</v>
      </c>
      <c r="Q61" s="55">
        <v>121</v>
      </c>
      <c r="R61" s="56">
        <v>160</v>
      </c>
      <c r="S61" s="55">
        <v>83</v>
      </c>
      <c r="T61" s="56">
        <v>165</v>
      </c>
      <c r="U61" s="55">
        <v>105</v>
      </c>
      <c r="V61" s="56">
        <v>165</v>
      </c>
      <c r="W61" s="55">
        <v>77</v>
      </c>
      <c r="X61" s="56">
        <v>165</v>
      </c>
      <c r="Y61" s="55">
        <v>97</v>
      </c>
      <c r="Z61" s="56">
        <v>165</v>
      </c>
      <c r="AA61" s="55">
        <v>108</v>
      </c>
      <c r="AB61" s="56">
        <v>165</v>
      </c>
      <c r="AC61" s="55">
        <v>92</v>
      </c>
      <c r="AD61" s="56">
        <v>170</v>
      </c>
      <c r="AE61" s="55">
        <v>82</v>
      </c>
      <c r="AF61" s="56">
        <v>165</v>
      </c>
      <c r="AG61" s="55">
        <v>85</v>
      </c>
      <c r="AH61" s="56">
        <v>170</v>
      </c>
      <c r="AI61" s="55">
        <v>93</v>
      </c>
      <c r="AJ61" s="56">
        <v>175</v>
      </c>
      <c r="AK61" s="55">
        <v>122</v>
      </c>
      <c r="AL61" s="56">
        <v>175</v>
      </c>
      <c r="AM61" s="55">
        <v>75</v>
      </c>
      <c r="AN61" s="56">
        <v>180</v>
      </c>
      <c r="AO61" s="55">
        <v>101</v>
      </c>
      <c r="AP61" s="56">
        <v>175</v>
      </c>
      <c r="AQ61" s="55">
        <v>81</v>
      </c>
      <c r="AR61" s="56">
        <v>170</v>
      </c>
      <c r="AS61" s="55">
        <v>98</v>
      </c>
      <c r="AT61" s="56">
        <v>178</v>
      </c>
      <c r="AU61" s="55">
        <v>78</v>
      </c>
      <c r="AV61" s="56">
        <v>180</v>
      </c>
      <c r="AW61" s="55">
        <v>102</v>
      </c>
      <c r="AX61" s="56">
        <v>175</v>
      </c>
      <c r="AY61" s="55">
        <v>92</v>
      </c>
      <c r="AZ61" s="56">
        <v>180</v>
      </c>
      <c r="BA61" s="55">
        <v>87</v>
      </c>
      <c r="BB61" s="56">
        <v>180</v>
      </c>
      <c r="BC61" s="55">
        <v>84</v>
      </c>
      <c r="BD61" s="56">
        <v>180</v>
      </c>
      <c r="BE61" s="55">
        <v>85</v>
      </c>
      <c r="BF61" s="56">
        <v>185</v>
      </c>
      <c r="BG61" s="55">
        <v>100</v>
      </c>
      <c r="BH61" s="56">
        <v>185</v>
      </c>
      <c r="BI61" s="55">
        <v>96</v>
      </c>
      <c r="BJ61" s="56">
        <v>185</v>
      </c>
      <c r="BK61" s="55">
        <v>78</v>
      </c>
      <c r="BL61" s="56">
        <v>190</v>
      </c>
      <c r="BM61" s="55">
        <v>91</v>
      </c>
      <c r="BN61" s="56">
        <v>190</v>
      </c>
      <c r="BO61" s="55">
        <v>71</v>
      </c>
      <c r="BP61" s="56">
        <v>200</v>
      </c>
      <c r="BQ61" s="55">
        <v>78</v>
      </c>
      <c r="BR61" s="56">
        <v>210</v>
      </c>
      <c r="BS61" s="55">
        <v>92</v>
      </c>
      <c r="BT61" s="56">
        <v>210</v>
      </c>
      <c r="BU61" s="55">
        <v>90</v>
      </c>
      <c r="BV61" s="56">
        <v>210</v>
      </c>
      <c r="BW61" s="55">
        <v>87</v>
      </c>
      <c r="BX61" s="56">
        <v>230</v>
      </c>
      <c r="BY61" s="55">
        <v>73</v>
      </c>
      <c r="BZ61" s="56">
        <v>220</v>
      </c>
      <c r="CA61" s="55">
        <v>78</v>
      </c>
      <c r="CB61" s="56">
        <v>238</v>
      </c>
      <c r="CC61" s="55">
        <v>77</v>
      </c>
      <c r="CD61" s="56">
        <v>245</v>
      </c>
      <c r="CE61" s="55">
        <v>76</v>
      </c>
      <c r="CF61" s="56">
        <v>250</v>
      </c>
      <c r="CG61" s="55">
        <v>82</v>
      </c>
      <c r="CH61" s="56">
        <v>260</v>
      </c>
      <c r="CI61" s="55">
        <v>84</v>
      </c>
      <c r="CJ61" s="56">
        <v>260</v>
      </c>
      <c r="CK61" s="55">
        <v>75</v>
      </c>
      <c r="CL61" s="56">
        <v>250</v>
      </c>
      <c r="CM61" s="55">
        <v>90</v>
      </c>
      <c r="CN61" s="56">
        <v>280</v>
      </c>
      <c r="CO61" s="55">
        <v>78</v>
      </c>
      <c r="CP61" s="56">
        <v>270</v>
      </c>
      <c r="CQ61" s="55">
        <v>86</v>
      </c>
      <c r="CR61" s="56">
        <v>270</v>
      </c>
      <c r="CS61" s="55">
        <v>94</v>
      </c>
      <c r="CT61" s="56">
        <v>278</v>
      </c>
      <c r="CU61" s="55">
        <v>102</v>
      </c>
      <c r="CV61" s="56">
        <v>280</v>
      </c>
      <c r="CW61" s="55">
        <v>100</v>
      </c>
      <c r="CX61" s="56">
        <v>288</v>
      </c>
      <c r="CY61" s="55">
        <v>91</v>
      </c>
      <c r="CZ61" s="56">
        <v>290</v>
      </c>
      <c r="DA61" s="55">
        <v>121</v>
      </c>
      <c r="DB61" s="56">
        <v>280</v>
      </c>
      <c r="DC61" s="55">
        <v>106</v>
      </c>
      <c r="DD61" s="56">
        <v>290</v>
      </c>
      <c r="DE61" s="55">
        <v>118</v>
      </c>
      <c r="DF61" s="56">
        <v>280</v>
      </c>
      <c r="DG61" s="55">
        <v>113</v>
      </c>
      <c r="DH61" s="56">
        <v>280</v>
      </c>
      <c r="DI61" s="55">
        <v>174</v>
      </c>
      <c r="DJ61" s="56">
        <v>285</v>
      </c>
      <c r="DK61" s="55">
        <v>150</v>
      </c>
      <c r="DL61" s="56">
        <v>290</v>
      </c>
      <c r="DM61" s="55">
        <v>118</v>
      </c>
      <c r="DN61" s="56">
        <v>290</v>
      </c>
      <c r="DO61" s="55">
        <v>126</v>
      </c>
      <c r="DP61" s="56">
        <v>295</v>
      </c>
      <c r="DQ61" s="55">
        <v>140</v>
      </c>
      <c r="DR61" s="56">
        <v>300</v>
      </c>
      <c r="DS61" s="55">
        <v>155</v>
      </c>
      <c r="DT61" s="56">
        <v>300</v>
      </c>
      <c r="DU61" s="55">
        <v>144</v>
      </c>
      <c r="DV61" s="56">
        <v>300</v>
      </c>
      <c r="DW61" s="55">
        <v>165</v>
      </c>
      <c r="DX61" s="56">
        <v>300</v>
      </c>
      <c r="DY61" s="55">
        <v>186</v>
      </c>
      <c r="DZ61" s="56">
        <v>300</v>
      </c>
      <c r="EA61" s="55">
        <v>158</v>
      </c>
      <c r="EB61" s="56">
        <v>300</v>
      </c>
      <c r="EC61" s="55">
        <v>167</v>
      </c>
      <c r="ED61" s="56">
        <v>300</v>
      </c>
      <c r="EE61" s="55">
        <v>118</v>
      </c>
      <c r="EF61" s="56">
        <v>300</v>
      </c>
      <c r="EG61" s="55">
        <v>144</v>
      </c>
      <c r="EH61" s="56">
        <v>300</v>
      </c>
      <c r="EI61" s="55">
        <v>132</v>
      </c>
      <c r="EJ61" s="56">
        <v>300</v>
      </c>
      <c r="EK61" s="55">
        <v>234</v>
      </c>
      <c r="EL61" s="56">
        <v>320</v>
      </c>
      <c r="EM61" s="55">
        <v>177</v>
      </c>
      <c r="EN61" s="56">
        <v>310</v>
      </c>
      <c r="EO61" s="55">
        <v>184</v>
      </c>
      <c r="EP61" s="56">
        <v>320</v>
      </c>
      <c r="EQ61" s="55">
        <v>167</v>
      </c>
      <c r="ER61" s="56">
        <v>320</v>
      </c>
      <c r="ES61" s="55">
        <v>180</v>
      </c>
      <c r="ET61" s="56">
        <v>330</v>
      </c>
      <c r="EU61" s="55">
        <v>153</v>
      </c>
      <c r="EV61" s="56">
        <v>330</v>
      </c>
      <c r="EW61" s="55">
        <v>151</v>
      </c>
      <c r="EX61" s="56">
        <v>330</v>
      </c>
      <c r="EY61" s="55">
        <v>174</v>
      </c>
      <c r="EZ61" s="56">
        <v>330</v>
      </c>
      <c r="FA61" s="55">
        <v>153</v>
      </c>
      <c r="FB61" s="56">
        <v>340</v>
      </c>
      <c r="FC61" s="55">
        <v>141</v>
      </c>
      <c r="FD61" s="56">
        <v>340</v>
      </c>
      <c r="FE61" s="55">
        <v>157</v>
      </c>
      <c r="FF61" s="56">
        <v>340</v>
      </c>
      <c r="FG61" s="55">
        <v>139</v>
      </c>
      <c r="FH61" s="56">
        <v>340</v>
      </c>
      <c r="FI61" s="55">
        <v>145</v>
      </c>
      <c r="FJ61" s="56">
        <v>340</v>
      </c>
      <c r="FK61" s="55">
        <v>143</v>
      </c>
      <c r="FL61" s="56">
        <v>350</v>
      </c>
      <c r="FM61" s="55">
        <v>155</v>
      </c>
      <c r="FN61" s="56">
        <v>350</v>
      </c>
      <c r="FO61" s="55">
        <v>138</v>
      </c>
      <c r="FP61" s="56">
        <v>340</v>
      </c>
      <c r="FQ61" s="55">
        <v>107</v>
      </c>
      <c r="FR61" s="56">
        <v>330</v>
      </c>
      <c r="FS61" s="55">
        <v>146</v>
      </c>
      <c r="FT61" s="56">
        <v>340</v>
      </c>
      <c r="FU61" s="55">
        <v>157</v>
      </c>
      <c r="FV61" s="56">
        <v>340</v>
      </c>
      <c r="FW61" s="55">
        <v>163</v>
      </c>
      <c r="FX61" s="56">
        <v>340</v>
      </c>
      <c r="FY61" s="55">
        <v>170</v>
      </c>
      <c r="FZ61" s="56">
        <v>340</v>
      </c>
      <c r="GA61" s="55">
        <v>142</v>
      </c>
      <c r="GB61" s="56">
        <v>340</v>
      </c>
      <c r="GC61" s="55">
        <v>178</v>
      </c>
      <c r="GD61" s="56">
        <v>345</v>
      </c>
      <c r="GE61" s="55">
        <v>123</v>
      </c>
      <c r="GF61" s="56">
        <v>350</v>
      </c>
      <c r="GG61" s="55">
        <v>154</v>
      </c>
      <c r="GH61" s="56">
        <v>350</v>
      </c>
      <c r="GI61" s="55">
        <v>172</v>
      </c>
      <c r="GJ61" s="56">
        <v>360</v>
      </c>
      <c r="GK61" s="55">
        <v>129</v>
      </c>
      <c r="GL61" s="56">
        <v>375</v>
      </c>
      <c r="GM61" s="55">
        <v>116</v>
      </c>
      <c r="GN61" s="56">
        <v>390</v>
      </c>
      <c r="GO61" s="55">
        <v>102</v>
      </c>
      <c r="GP61" s="56">
        <v>400</v>
      </c>
      <c r="GQ61" s="55">
        <v>100</v>
      </c>
      <c r="GR61" s="56">
        <v>410</v>
      </c>
      <c r="GS61" s="55">
        <v>112</v>
      </c>
      <c r="GT61" s="56">
        <v>420</v>
      </c>
      <c r="GU61" s="55">
        <v>128</v>
      </c>
      <c r="GV61" s="56">
        <v>443</v>
      </c>
      <c r="GW61" s="55">
        <v>141</v>
      </c>
      <c r="GX61" s="56">
        <v>440</v>
      </c>
      <c r="GY61" s="55">
        <v>145</v>
      </c>
      <c r="GZ61" s="56">
        <v>450</v>
      </c>
      <c r="HA61">
        <v>126</v>
      </c>
      <c r="HB61" s="56">
        <v>450</v>
      </c>
      <c r="HC61">
        <v>119</v>
      </c>
      <c r="HD61" s="56">
        <v>450</v>
      </c>
      <c r="HE61">
        <v>115</v>
      </c>
      <c r="HF61" s="56">
        <v>450</v>
      </c>
    </row>
    <row r="62" spans="1:214" x14ac:dyDescent="0.25">
      <c r="A62" s="53"/>
      <c r="B62" s="54" t="s">
        <v>801</v>
      </c>
      <c r="C62" s="55">
        <v>178</v>
      </c>
      <c r="D62" s="56">
        <v>120</v>
      </c>
      <c r="E62" s="55">
        <v>165</v>
      </c>
      <c r="F62" s="56">
        <v>125</v>
      </c>
      <c r="G62" s="55">
        <v>163</v>
      </c>
      <c r="H62" s="56">
        <v>130</v>
      </c>
      <c r="I62" s="55">
        <v>208</v>
      </c>
      <c r="J62" s="56">
        <v>130</v>
      </c>
      <c r="K62" s="55">
        <v>146</v>
      </c>
      <c r="L62" s="56">
        <v>128</v>
      </c>
      <c r="M62" s="55">
        <v>190</v>
      </c>
      <c r="N62" s="56">
        <v>130</v>
      </c>
      <c r="O62" s="55">
        <v>169</v>
      </c>
      <c r="P62" s="56">
        <v>130</v>
      </c>
      <c r="Q62" s="55">
        <v>202</v>
      </c>
      <c r="R62" s="56">
        <v>130</v>
      </c>
      <c r="S62" s="55">
        <v>159</v>
      </c>
      <c r="T62" s="56">
        <v>135</v>
      </c>
      <c r="U62" s="55">
        <v>163</v>
      </c>
      <c r="V62" s="56">
        <v>140</v>
      </c>
      <c r="W62" s="55">
        <v>128</v>
      </c>
      <c r="X62" s="56">
        <v>140</v>
      </c>
      <c r="Y62" s="55">
        <v>192</v>
      </c>
      <c r="Z62" s="56">
        <v>150</v>
      </c>
      <c r="AA62" s="55">
        <v>159</v>
      </c>
      <c r="AB62" s="56">
        <v>140</v>
      </c>
      <c r="AC62" s="55">
        <v>148</v>
      </c>
      <c r="AD62" s="56">
        <v>150</v>
      </c>
      <c r="AE62" s="55">
        <v>156</v>
      </c>
      <c r="AF62" s="56">
        <v>150</v>
      </c>
      <c r="AG62" s="55">
        <v>232</v>
      </c>
      <c r="AH62" s="56">
        <v>150</v>
      </c>
      <c r="AI62" s="55">
        <v>179</v>
      </c>
      <c r="AJ62" s="56">
        <v>155</v>
      </c>
      <c r="AK62" s="55">
        <v>192</v>
      </c>
      <c r="AL62" s="56">
        <v>153</v>
      </c>
      <c r="AM62" s="55">
        <v>180</v>
      </c>
      <c r="AN62" s="56">
        <v>165</v>
      </c>
      <c r="AO62" s="55">
        <v>205</v>
      </c>
      <c r="AP62" s="56">
        <v>160</v>
      </c>
      <c r="AQ62" s="55">
        <v>179</v>
      </c>
      <c r="AR62" s="56">
        <v>180</v>
      </c>
      <c r="AS62" s="55">
        <v>175</v>
      </c>
      <c r="AT62" s="56">
        <v>165</v>
      </c>
      <c r="AU62" s="55">
        <v>202</v>
      </c>
      <c r="AV62" s="56">
        <v>170</v>
      </c>
      <c r="AW62" s="55">
        <v>201</v>
      </c>
      <c r="AX62" s="56">
        <v>170</v>
      </c>
      <c r="AY62" s="55">
        <v>182</v>
      </c>
      <c r="AZ62" s="56">
        <v>170</v>
      </c>
      <c r="BA62" s="55">
        <v>202</v>
      </c>
      <c r="BB62" s="56">
        <v>180</v>
      </c>
      <c r="BC62" s="55">
        <v>158</v>
      </c>
      <c r="BD62" s="56">
        <v>175</v>
      </c>
      <c r="BE62" s="55">
        <v>210</v>
      </c>
      <c r="BF62" s="56">
        <v>193</v>
      </c>
      <c r="BG62" s="55">
        <v>155</v>
      </c>
      <c r="BH62" s="56">
        <v>190</v>
      </c>
      <c r="BI62" s="55">
        <v>172</v>
      </c>
      <c r="BJ62" s="56">
        <v>188</v>
      </c>
      <c r="BK62" s="55">
        <v>178</v>
      </c>
      <c r="BL62" s="56">
        <v>195</v>
      </c>
      <c r="BM62" s="55">
        <v>216</v>
      </c>
      <c r="BN62" s="56">
        <v>200</v>
      </c>
      <c r="BO62" s="55">
        <v>185</v>
      </c>
      <c r="BP62" s="56">
        <v>240</v>
      </c>
      <c r="BQ62" s="55">
        <v>166</v>
      </c>
      <c r="BR62" s="56">
        <v>230</v>
      </c>
      <c r="BS62" s="55">
        <v>160</v>
      </c>
      <c r="BT62" s="56">
        <v>236</v>
      </c>
      <c r="BU62" s="55">
        <v>233</v>
      </c>
      <c r="BV62" s="56">
        <v>250</v>
      </c>
      <c r="BW62" s="55">
        <v>162</v>
      </c>
      <c r="BX62" s="56">
        <v>270</v>
      </c>
      <c r="BY62" s="55">
        <v>187</v>
      </c>
      <c r="BZ62" s="56">
        <v>255</v>
      </c>
      <c r="CA62" s="55">
        <v>194</v>
      </c>
      <c r="CB62" s="56">
        <v>280</v>
      </c>
      <c r="CC62" s="55">
        <v>233</v>
      </c>
      <c r="CD62" s="56">
        <v>300</v>
      </c>
      <c r="CE62" s="55">
        <v>183</v>
      </c>
      <c r="CF62" s="56">
        <v>295</v>
      </c>
      <c r="CG62" s="55">
        <v>196</v>
      </c>
      <c r="CH62" s="56">
        <v>293</v>
      </c>
      <c r="CI62" s="55">
        <v>217</v>
      </c>
      <c r="CJ62" s="56">
        <v>280</v>
      </c>
      <c r="CK62" s="55">
        <v>258</v>
      </c>
      <c r="CL62" s="56">
        <v>300</v>
      </c>
      <c r="CM62" s="55">
        <v>266</v>
      </c>
      <c r="CN62" s="56">
        <v>300</v>
      </c>
      <c r="CO62" s="55">
        <v>263</v>
      </c>
      <c r="CP62" s="56">
        <v>295</v>
      </c>
      <c r="CQ62" s="55">
        <v>233</v>
      </c>
      <c r="CR62" s="56">
        <v>300</v>
      </c>
      <c r="CS62" s="55">
        <v>336</v>
      </c>
      <c r="CT62" s="56">
        <v>300</v>
      </c>
      <c r="CU62" s="55">
        <v>283</v>
      </c>
      <c r="CV62" s="56">
        <v>320</v>
      </c>
      <c r="CW62" s="55">
        <v>326</v>
      </c>
      <c r="CX62" s="56">
        <v>320</v>
      </c>
      <c r="CY62" s="55">
        <v>324</v>
      </c>
      <c r="CZ62" s="56">
        <v>320</v>
      </c>
      <c r="DA62" s="55">
        <v>359</v>
      </c>
      <c r="DB62" s="56">
        <v>321</v>
      </c>
      <c r="DC62" s="55">
        <v>297</v>
      </c>
      <c r="DD62" s="56">
        <v>320</v>
      </c>
      <c r="DE62" s="55">
        <v>312</v>
      </c>
      <c r="DF62" s="56">
        <v>320</v>
      </c>
      <c r="DG62" s="55">
        <v>334</v>
      </c>
      <c r="DH62" s="56">
        <v>325</v>
      </c>
      <c r="DI62" s="55">
        <v>439</v>
      </c>
      <c r="DJ62" s="56">
        <v>325</v>
      </c>
      <c r="DK62" s="55">
        <v>384</v>
      </c>
      <c r="DL62" s="56">
        <v>340</v>
      </c>
      <c r="DM62" s="55">
        <v>387</v>
      </c>
      <c r="DN62" s="56">
        <v>330</v>
      </c>
      <c r="DO62" s="55">
        <v>315</v>
      </c>
      <c r="DP62" s="56">
        <v>340</v>
      </c>
      <c r="DQ62" s="55">
        <v>442</v>
      </c>
      <c r="DR62" s="56">
        <v>330</v>
      </c>
      <c r="DS62" s="55">
        <v>384</v>
      </c>
      <c r="DT62" s="56">
        <v>330</v>
      </c>
      <c r="DU62" s="55">
        <v>411</v>
      </c>
      <c r="DV62" s="56">
        <v>335</v>
      </c>
      <c r="DW62" s="55">
        <v>450</v>
      </c>
      <c r="DX62" s="56">
        <v>335</v>
      </c>
      <c r="DY62" s="55">
        <v>438</v>
      </c>
      <c r="DZ62" s="56">
        <v>340</v>
      </c>
      <c r="EA62" s="55">
        <v>377</v>
      </c>
      <c r="EB62" s="56">
        <v>330</v>
      </c>
      <c r="EC62" s="55">
        <v>402</v>
      </c>
      <c r="ED62" s="56">
        <v>340</v>
      </c>
      <c r="EE62" s="55">
        <v>376</v>
      </c>
      <c r="EF62" s="56">
        <v>340</v>
      </c>
      <c r="EG62" s="55">
        <v>494</v>
      </c>
      <c r="EH62" s="56">
        <v>350</v>
      </c>
      <c r="EI62" s="55">
        <v>391</v>
      </c>
      <c r="EJ62" s="56">
        <v>350</v>
      </c>
      <c r="EK62" s="55">
        <v>457</v>
      </c>
      <c r="EL62" s="56">
        <v>360</v>
      </c>
      <c r="EM62" s="55">
        <v>389</v>
      </c>
      <c r="EN62" s="56">
        <v>350</v>
      </c>
      <c r="EO62" s="55">
        <v>468</v>
      </c>
      <c r="EP62" s="56">
        <v>370</v>
      </c>
      <c r="EQ62" s="55">
        <v>320</v>
      </c>
      <c r="ER62" s="56">
        <v>360</v>
      </c>
      <c r="ES62" s="55">
        <v>423</v>
      </c>
      <c r="ET62" s="56">
        <v>370</v>
      </c>
      <c r="EU62" s="55">
        <v>376</v>
      </c>
      <c r="EV62" s="56">
        <v>370</v>
      </c>
      <c r="EW62" s="55">
        <v>473</v>
      </c>
      <c r="EX62" s="56">
        <v>380</v>
      </c>
      <c r="EY62" s="55">
        <v>389</v>
      </c>
      <c r="EZ62" s="56">
        <v>390</v>
      </c>
      <c r="FA62" s="55">
        <v>438</v>
      </c>
      <c r="FB62" s="56">
        <v>385</v>
      </c>
      <c r="FC62" s="55">
        <v>379</v>
      </c>
      <c r="FD62" s="56">
        <v>390</v>
      </c>
      <c r="FE62" s="55">
        <v>456</v>
      </c>
      <c r="FF62" s="56">
        <v>395</v>
      </c>
      <c r="FG62" s="55">
        <v>338</v>
      </c>
      <c r="FH62" s="56">
        <v>380</v>
      </c>
      <c r="FI62" s="55">
        <v>358</v>
      </c>
      <c r="FJ62" s="56">
        <v>400</v>
      </c>
      <c r="FK62" s="55">
        <v>460</v>
      </c>
      <c r="FL62" s="56">
        <v>400</v>
      </c>
      <c r="FM62" s="55">
        <v>496</v>
      </c>
      <c r="FN62" s="56">
        <v>400</v>
      </c>
      <c r="FO62" s="55">
        <v>339</v>
      </c>
      <c r="FP62" s="56">
        <v>380</v>
      </c>
      <c r="FQ62" s="55">
        <v>331</v>
      </c>
      <c r="FR62" s="56">
        <v>380</v>
      </c>
      <c r="FS62" s="55">
        <v>428</v>
      </c>
      <c r="FT62" s="56">
        <v>383</v>
      </c>
      <c r="FU62" s="55">
        <v>535</v>
      </c>
      <c r="FV62" s="56">
        <v>375</v>
      </c>
      <c r="FW62" s="55">
        <v>504</v>
      </c>
      <c r="FX62" s="56">
        <v>355</v>
      </c>
      <c r="FY62" s="55">
        <v>568</v>
      </c>
      <c r="FZ62" s="56">
        <v>371</v>
      </c>
      <c r="GA62" s="55">
        <v>593</v>
      </c>
      <c r="GB62" s="56">
        <v>380</v>
      </c>
      <c r="GC62" s="55">
        <v>572</v>
      </c>
      <c r="GD62" s="56">
        <v>375</v>
      </c>
      <c r="GE62" s="55">
        <v>542</v>
      </c>
      <c r="GF62" s="56">
        <v>390</v>
      </c>
      <c r="GG62" s="55">
        <v>534</v>
      </c>
      <c r="GH62" s="56">
        <v>400</v>
      </c>
      <c r="GI62" s="55">
        <v>527</v>
      </c>
      <c r="GJ62" s="56">
        <v>420</v>
      </c>
      <c r="GK62" s="55">
        <v>495</v>
      </c>
      <c r="GL62" s="56">
        <v>450</v>
      </c>
      <c r="GM62" s="55">
        <v>452</v>
      </c>
      <c r="GN62" s="56">
        <v>485</v>
      </c>
      <c r="GO62" s="55">
        <v>395</v>
      </c>
      <c r="GP62" s="56">
        <v>470</v>
      </c>
      <c r="GQ62" s="55">
        <v>415</v>
      </c>
      <c r="GR62" s="56">
        <v>500</v>
      </c>
      <c r="GS62" s="55">
        <v>467</v>
      </c>
      <c r="GT62" s="56">
        <v>520</v>
      </c>
      <c r="GU62" s="55">
        <v>373</v>
      </c>
      <c r="GV62" s="56">
        <v>530</v>
      </c>
      <c r="GW62" s="55">
        <v>465</v>
      </c>
      <c r="GX62" s="56">
        <v>530</v>
      </c>
      <c r="GY62" s="55">
        <v>428</v>
      </c>
      <c r="GZ62" s="56">
        <v>520</v>
      </c>
      <c r="HA62">
        <v>441</v>
      </c>
      <c r="HB62" s="56">
        <v>520</v>
      </c>
      <c r="HC62">
        <v>360</v>
      </c>
      <c r="HD62" s="56">
        <v>540</v>
      </c>
      <c r="HE62">
        <v>402</v>
      </c>
      <c r="HF62" s="56">
        <v>533</v>
      </c>
    </row>
    <row r="63" spans="1:214" x14ac:dyDescent="0.25">
      <c r="A63" s="53"/>
      <c r="B63" s="54" t="s">
        <v>630</v>
      </c>
      <c r="C63" s="55">
        <v>486</v>
      </c>
      <c r="D63" s="56">
        <v>290</v>
      </c>
      <c r="E63" s="55">
        <v>532</v>
      </c>
      <c r="F63" s="56">
        <v>280</v>
      </c>
      <c r="G63" s="55">
        <v>484</v>
      </c>
      <c r="H63" s="56">
        <v>300</v>
      </c>
      <c r="I63" s="55">
        <v>905</v>
      </c>
      <c r="J63" s="56">
        <v>300</v>
      </c>
      <c r="K63" s="55">
        <v>592</v>
      </c>
      <c r="L63" s="56">
        <v>310</v>
      </c>
      <c r="M63" s="55">
        <v>632</v>
      </c>
      <c r="N63" s="56">
        <v>310</v>
      </c>
      <c r="O63" s="55">
        <v>500</v>
      </c>
      <c r="P63" s="56">
        <v>315</v>
      </c>
      <c r="Q63" s="55">
        <v>963</v>
      </c>
      <c r="R63" s="56">
        <v>320</v>
      </c>
      <c r="S63" s="55">
        <v>633</v>
      </c>
      <c r="T63" s="56">
        <v>330</v>
      </c>
      <c r="U63" s="55">
        <v>721</v>
      </c>
      <c r="V63" s="56">
        <v>330</v>
      </c>
      <c r="W63" s="55">
        <v>664</v>
      </c>
      <c r="X63" s="56">
        <v>320</v>
      </c>
      <c r="Y63" s="55">
        <v>1126</v>
      </c>
      <c r="Z63" s="56">
        <v>325</v>
      </c>
      <c r="AA63" s="55">
        <v>652</v>
      </c>
      <c r="AB63" s="56">
        <v>340</v>
      </c>
      <c r="AC63" s="55">
        <v>758</v>
      </c>
      <c r="AD63" s="56">
        <v>330</v>
      </c>
      <c r="AE63" s="55">
        <v>882</v>
      </c>
      <c r="AF63" s="56">
        <v>330</v>
      </c>
      <c r="AG63" s="55">
        <v>1294</v>
      </c>
      <c r="AH63" s="56">
        <v>330</v>
      </c>
      <c r="AI63" s="55">
        <v>754</v>
      </c>
      <c r="AJ63" s="56">
        <v>340</v>
      </c>
      <c r="AK63" s="55">
        <v>850</v>
      </c>
      <c r="AL63" s="56">
        <v>340</v>
      </c>
      <c r="AM63" s="55">
        <v>842</v>
      </c>
      <c r="AN63" s="56">
        <v>340</v>
      </c>
      <c r="AO63" s="55">
        <v>1534</v>
      </c>
      <c r="AP63" s="56">
        <v>340</v>
      </c>
      <c r="AQ63" s="55">
        <v>807</v>
      </c>
      <c r="AR63" s="56">
        <v>345</v>
      </c>
      <c r="AS63" s="55">
        <v>980</v>
      </c>
      <c r="AT63" s="56">
        <v>340</v>
      </c>
      <c r="AU63" s="55">
        <v>862</v>
      </c>
      <c r="AV63" s="56">
        <v>340</v>
      </c>
      <c r="AW63" s="55">
        <v>1664</v>
      </c>
      <c r="AX63" s="56">
        <v>350</v>
      </c>
      <c r="AY63" s="55">
        <v>1112</v>
      </c>
      <c r="AZ63" s="56">
        <v>350</v>
      </c>
      <c r="BA63" s="55">
        <v>1196</v>
      </c>
      <c r="BB63" s="56">
        <v>350</v>
      </c>
      <c r="BC63" s="55">
        <v>1035</v>
      </c>
      <c r="BD63" s="56">
        <v>350</v>
      </c>
      <c r="BE63" s="55">
        <v>1528</v>
      </c>
      <c r="BF63" s="56">
        <v>360</v>
      </c>
      <c r="BG63" s="55">
        <v>1141</v>
      </c>
      <c r="BH63" s="56">
        <v>370</v>
      </c>
      <c r="BI63" s="55">
        <v>1075</v>
      </c>
      <c r="BJ63" s="56">
        <v>370</v>
      </c>
      <c r="BK63" s="55">
        <v>967</v>
      </c>
      <c r="BL63" s="56">
        <v>380</v>
      </c>
      <c r="BM63" s="55">
        <v>1448</v>
      </c>
      <c r="BN63" s="56">
        <v>390</v>
      </c>
      <c r="BO63" s="55">
        <v>937</v>
      </c>
      <c r="BP63" s="56">
        <v>420</v>
      </c>
      <c r="BQ63" s="55">
        <v>994</v>
      </c>
      <c r="BR63" s="56">
        <v>425</v>
      </c>
      <c r="BS63" s="55">
        <v>848</v>
      </c>
      <c r="BT63" s="56">
        <v>420</v>
      </c>
      <c r="BU63" s="55">
        <v>1233</v>
      </c>
      <c r="BV63" s="56">
        <v>440</v>
      </c>
      <c r="BW63" s="55">
        <v>1000</v>
      </c>
      <c r="BX63" s="56">
        <v>460</v>
      </c>
      <c r="BY63" s="55">
        <v>980</v>
      </c>
      <c r="BZ63" s="56">
        <v>450</v>
      </c>
      <c r="CA63" s="55">
        <v>896</v>
      </c>
      <c r="CB63" s="56">
        <v>460</v>
      </c>
      <c r="CC63" s="55">
        <v>1262</v>
      </c>
      <c r="CD63" s="56">
        <v>470</v>
      </c>
      <c r="CE63" s="55">
        <v>970</v>
      </c>
      <c r="CF63" s="56">
        <v>480</v>
      </c>
      <c r="CG63" s="55">
        <v>1261</v>
      </c>
      <c r="CH63" s="56">
        <v>475</v>
      </c>
      <c r="CI63" s="55">
        <v>1050</v>
      </c>
      <c r="CJ63" s="56">
        <v>480</v>
      </c>
      <c r="CK63" s="55">
        <v>1518</v>
      </c>
      <c r="CL63" s="56">
        <v>495</v>
      </c>
      <c r="CM63" s="55">
        <v>1034</v>
      </c>
      <c r="CN63" s="56">
        <v>490</v>
      </c>
      <c r="CO63" s="55">
        <v>1234</v>
      </c>
      <c r="CP63" s="56">
        <v>495</v>
      </c>
      <c r="CQ63" s="55">
        <v>1189</v>
      </c>
      <c r="CR63" s="56">
        <v>500</v>
      </c>
      <c r="CS63" s="55">
        <v>1743</v>
      </c>
      <c r="CT63" s="56">
        <v>500</v>
      </c>
      <c r="CU63" s="55">
        <v>1037</v>
      </c>
      <c r="CV63" s="56">
        <v>520</v>
      </c>
      <c r="CW63" s="55">
        <v>1294</v>
      </c>
      <c r="CX63" s="56">
        <v>500</v>
      </c>
      <c r="CY63" s="55">
        <v>1306</v>
      </c>
      <c r="CZ63" s="56">
        <v>500</v>
      </c>
      <c r="DA63" s="55">
        <v>1949</v>
      </c>
      <c r="DB63" s="56">
        <v>510</v>
      </c>
      <c r="DC63" s="55">
        <v>1270</v>
      </c>
      <c r="DD63" s="56">
        <v>510</v>
      </c>
      <c r="DE63" s="55">
        <v>1518</v>
      </c>
      <c r="DF63" s="56">
        <v>500</v>
      </c>
      <c r="DG63" s="55">
        <v>1539</v>
      </c>
      <c r="DH63" s="56">
        <v>500</v>
      </c>
      <c r="DI63" s="55">
        <v>2436</v>
      </c>
      <c r="DJ63" s="56">
        <v>510</v>
      </c>
      <c r="DK63" s="55">
        <v>1592</v>
      </c>
      <c r="DL63" s="56">
        <v>510</v>
      </c>
      <c r="DM63" s="55">
        <v>1708</v>
      </c>
      <c r="DN63" s="56">
        <v>505</v>
      </c>
      <c r="DO63" s="55">
        <v>1554</v>
      </c>
      <c r="DP63" s="56">
        <v>500</v>
      </c>
      <c r="DQ63" s="55">
        <v>2814</v>
      </c>
      <c r="DR63" s="56">
        <v>500</v>
      </c>
      <c r="DS63" s="55">
        <v>1616</v>
      </c>
      <c r="DT63" s="56">
        <v>520</v>
      </c>
      <c r="DU63" s="55">
        <v>2040</v>
      </c>
      <c r="DV63" s="56">
        <v>520</v>
      </c>
      <c r="DW63" s="55">
        <v>1871</v>
      </c>
      <c r="DX63" s="56">
        <v>500</v>
      </c>
      <c r="DY63" s="55">
        <v>2988</v>
      </c>
      <c r="DZ63" s="56">
        <v>520</v>
      </c>
      <c r="EA63" s="55">
        <v>2018</v>
      </c>
      <c r="EB63" s="56">
        <v>520</v>
      </c>
      <c r="EC63" s="55">
        <v>2181</v>
      </c>
      <c r="ED63" s="56">
        <v>530</v>
      </c>
      <c r="EE63" s="55">
        <v>1924</v>
      </c>
      <c r="EF63" s="56">
        <v>520</v>
      </c>
      <c r="EG63" s="55">
        <v>3261</v>
      </c>
      <c r="EH63" s="56">
        <v>540</v>
      </c>
      <c r="EI63" s="55">
        <v>1904</v>
      </c>
      <c r="EJ63" s="56">
        <v>540</v>
      </c>
      <c r="EK63" s="55">
        <v>2586</v>
      </c>
      <c r="EL63" s="56">
        <v>550</v>
      </c>
      <c r="EM63" s="55">
        <v>2042</v>
      </c>
      <c r="EN63" s="56">
        <v>540</v>
      </c>
      <c r="EO63" s="55">
        <v>3412</v>
      </c>
      <c r="EP63" s="56">
        <v>550</v>
      </c>
      <c r="EQ63" s="55">
        <v>2077</v>
      </c>
      <c r="ER63" s="56">
        <v>570</v>
      </c>
      <c r="ES63" s="55">
        <v>2482</v>
      </c>
      <c r="ET63" s="56">
        <v>580</v>
      </c>
      <c r="EU63" s="55">
        <v>2103</v>
      </c>
      <c r="EV63" s="56">
        <v>570</v>
      </c>
      <c r="EW63" s="55">
        <v>3253</v>
      </c>
      <c r="EX63" s="56">
        <v>580</v>
      </c>
      <c r="EY63" s="55">
        <v>1970</v>
      </c>
      <c r="EZ63" s="56">
        <v>580</v>
      </c>
      <c r="FA63" s="55">
        <v>2456</v>
      </c>
      <c r="FB63" s="56">
        <v>593</v>
      </c>
      <c r="FC63" s="55">
        <v>2010</v>
      </c>
      <c r="FD63" s="56">
        <v>580</v>
      </c>
      <c r="FE63" s="55">
        <v>3500</v>
      </c>
      <c r="FF63" s="56">
        <v>600</v>
      </c>
      <c r="FG63" s="55">
        <v>2055</v>
      </c>
      <c r="FH63" s="56">
        <v>600</v>
      </c>
      <c r="FI63" s="55">
        <v>2566</v>
      </c>
      <c r="FJ63" s="56">
        <v>600</v>
      </c>
      <c r="FK63" s="55">
        <v>2198</v>
      </c>
      <c r="FL63" s="56">
        <v>585</v>
      </c>
      <c r="FM63" s="55">
        <v>3714</v>
      </c>
      <c r="FN63" s="56">
        <v>600</v>
      </c>
      <c r="FO63" s="55">
        <v>2270</v>
      </c>
      <c r="FP63" s="56">
        <v>500</v>
      </c>
      <c r="FQ63" s="55">
        <v>3231</v>
      </c>
      <c r="FR63" s="56">
        <v>450</v>
      </c>
      <c r="FS63" s="55">
        <v>4374</v>
      </c>
      <c r="FT63" s="56">
        <v>400</v>
      </c>
      <c r="FU63" s="55">
        <v>6050</v>
      </c>
      <c r="FV63" s="56">
        <v>400</v>
      </c>
      <c r="FW63" s="55">
        <v>4542</v>
      </c>
      <c r="FX63" s="56">
        <v>400</v>
      </c>
      <c r="FY63" s="55">
        <v>3323</v>
      </c>
      <c r="FZ63" s="56">
        <v>405</v>
      </c>
      <c r="GA63" s="55">
        <v>3551</v>
      </c>
      <c r="GB63" s="56">
        <v>420</v>
      </c>
      <c r="GC63" s="55">
        <v>4837</v>
      </c>
      <c r="GD63" s="56">
        <v>480</v>
      </c>
      <c r="GE63" s="55">
        <v>3060</v>
      </c>
      <c r="GF63" s="56">
        <v>540</v>
      </c>
      <c r="GG63" s="55">
        <v>3721</v>
      </c>
      <c r="GH63" s="56">
        <v>570</v>
      </c>
      <c r="GI63" s="55">
        <v>3037</v>
      </c>
      <c r="GJ63" s="56">
        <v>600</v>
      </c>
      <c r="GK63" s="55">
        <v>4307</v>
      </c>
      <c r="GL63" s="56">
        <v>680</v>
      </c>
      <c r="GM63" s="55">
        <v>2837</v>
      </c>
      <c r="GN63" s="56">
        <v>675</v>
      </c>
      <c r="GO63" s="55">
        <v>3345</v>
      </c>
      <c r="GP63" s="56">
        <v>680</v>
      </c>
      <c r="GQ63" s="55">
        <v>2839</v>
      </c>
      <c r="GR63" s="56">
        <v>650</v>
      </c>
      <c r="GS63" s="55">
        <v>4609</v>
      </c>
      <c r="GT63" s="56">
        <v>725</v>
      </c>
      <c r="GU63" s="55">
        <v>2498</v>
      </c>
      <c r="GV63" s="56">
        <v>700</v>
      </c>
      <c r="GW63" s="55">
        <v>3112</v>
      </c>
      <c r="GX63" s="56">
        <v>700</v>
      </c>
      <c r="GY63" s="55">
        <v>2658</v>
      </c>
      <c r="GZ63" s="56">
        <v>680</v>
      </c>
      <c r="HA63">
        <v>5200</v>
      </c>
      <c r="HB63" s="56">
        <v>750</v>
      </c>
      <c r="HC63">
        <v>2473</v>
      </c>
      <c r="HD63" s="56">
        <v>720</v>
      </c>
      <c r="HE63">
        <v>3209</v>
      </c>
      <c r="HF63" s="56">
        <v>730</v>
      </c>
    </row>
    <row r="64" spans="1:214" x14ac:dyDescent="0.25">
      <c r="A64" s="53"/>
      <c r="B64" s="54" t="s">
        <v>802</v>
      </c>
      <c r="C64" s="55">
        <v>24</v>
      </c>
      <c r="D64" s="56">
        <v>135</v>
      </c>
      <c r="E64" s="55">
        <v>28</v>
      </c>
      <c r="F64" s="56">
        <v>128</v>
      </c>
      <c r="G64" s="55">
        <v>38</v>
      </c>
      <c r="H64" s="56">
        <v>130</v>
      </c>
      <c r="I64" s="55">
        <v>24</v>
      </c>
      <c r="J64" s="56">
        <v>135</v>
      </c>
      <c r="K64" s="55">
        <v>33</v>
      </c>
      <c r="L64" s="56">
        <v>135</v>
      </c>
      <c r="M64" s="55">
        <v>34</v>
      </c>
      <c r="N64" s="56">
        <v>135</v>
      </c>
      <c r="O64" s="55">
        <v>24</v>
      </c>
      <c r="P64" s="56">
        <v>138</v>
      </c>
      <c r="Q64" s="55">
        <v>28</v>
      </c>
      <c r="R64" s="56">
        <v>135</v>
      </c>
      <c r="S64" s="55">
        <v>26</v>
      </c>
      <c r="T64" s="56">
        <v>135</v>
      </c>
      <c r="U64" s="55">
        <v>24</v>
      </c>
      <c r="V64" s="56">
        <v>135</v>
      </c>
      <c r="W64" s="55">
        <v>21</v>
      </c>
      <c r="X64" s="56">
        <v>145</v>
      </c>
      <c r="Y64" s="55">
        <v>34</v>
      </c>
      <c r="Z64" s="56">
        <v>135</v>
      </c>
      <c r="AA64" s="55">
        <v>22</v>
      </c>
      <c r="AB64" s="56">
        <v>143</v>
      </c>
      <c r="AC64" s="55">
        <v>22</v>
      </c>
      <c r="AD64" s="56">
        <v>150</v>
      </c>
      <c r="AE64" s="55">
        <v>26</v>
      </c>
      <c r="AF64" s="56">
        <v>150</v>
      </c>
      <c r="AG64" s="55">
        <v>28</v>
      </c>
      <c r="AH64" s="56">
        <v>150</v>
      </c>
      <c r="AI64" s="55">
        <v>29</v>
      </c>
      <c r="AJ64" s="56">
        <v>155</v>
      </c>
      <c r="AK64" s="55">
        <v>30</v>
      </c>
      <c r="AL64" s="56">
        <v>155</v>
      </c>
      <c r="AM64" s="55">
        <v>36</v>
      </c>
      <c r="AN64" s="56">
        <v>155</v>
      </c>
      <c r="AO64" s="55">
        <v>22</v>
      </c>
      <c r="AP64" s="56">
        <v>148</v>
      </c>
      <c r="AQ64" s="55">
        <v>33</v>
      </c>
      <c r="AR64" s="56">
        <v>155</v>
      </c>
      <c r="AS64" s="55">
        <v>30</v>
      </c>
      <c r="AT64" s="56">
        <v>154</v>
      </c>
      <c r="AU64" s="55">
        <v>34</v>
      </c>
      <c r="AV64" s="56">
        <v>156</v>
      </c>
      <c r="AW64" s="55">
        <v>31</v>
      </c>
      <c r="AX64" s="56">
        <v>155</v>
      </c>
      <c r="AY64" s="55">
        <v>25</v>
      </c>
      <c r="AZ64" s="56">
        <v>165</v>
      </c>
      <c r="BA64" s="55">
        <v>48</v>
      </c>
      <c r="BB64" s="56">
        <v>165</v>
      </c>
      <c r="BC64" s="55">
        <v>34</v>
      </c>
      <c r="BD64" s="56">
        <v>175</v>
      </c>
      <c r="BE64" s="55">
        <v>33</v>
      </c>
      <c r="BF64" s="56">
        <v>165</v>
      </c>
      <c r="BG64" s="55">
        <v>29</v>
      </c>
      <c r="BH64" s="56">
        <v>155</v>
      </c>
      <c r="BI64" s="55">
        <v>37</v>
      </c>
      <c r="BJ64" s="56">
        <v>175</v>
      </c>
      <c r="BK64" s="55">
        <v>32</v>
      </c>
      <c r="BL64" s="56">
        <v>170</v>
      </c>
      <c r="BM64" s="55">
        <v>32</v>
      </c>
      <c r="BN64" s="56">
        <v>188</v>
      </c>
      <c r="BO64" s="55">
        <v>35</v>
      </c>
      <c r="BP64" s="56">
        <v>180</v>
      </c>
      <c r="BQ64" s="55">
        <v>32</v>
      </c>
      <c r="BR64" s="56">
        <v>175</v>
      </c>
      <c r="BS64" s="55">
        <v>34</v>
      </c>
      <c r="BT64" s="56">
        <v>180</v>
      </c>
      <c r="BU64" s="55">
        <v>33</v>
      </c>
      <c r="BV64" s="56">
        <v>180</v>
      </c>
      <c r="BW64" s="55">
        <v>30</v>
      </c>
      <c r="BX64" s="56">
        <v>198</v>
      </c>
      <c r="BY64" s="55">
        <v>44</v>
      </c>
      <c r="BZ64" s="56">
        <v>188</v>
      </c>
      <c r="CA64" s="55">
        <v>39</v>
      </c>
      <c r="CB64" s="56">
        <v>185</v>
      </c>
      <c r="CC64" s="55">
        <v>34</v>
      </c>
      <c r="CD64" s="56">
        <v>180</v>
      </c>
      <c r="CE64" s="55">
        <v>25</v>
      </c>
      <c r="CF64" s="56">
        <v>195</v>
      </c>
      <c r="CG64" s="55">
        <v>29</v>
      </c>
      <c r="CH64" s="56">
        <v>195</v>
      </c>
      <c r="CI64" s="55">
        <v>29</v>
      </c>
      <c r="CJ64" s="56">
        <v>195</v>
      </c>
      <c r="CK64" s="55">
        <v>40</v>
      </c>
      <c r="CL64" s="56">
        <v>220</v>
      </c>
      <c r="CM64" s="55">
        <v>25</v>
      </c>
      <c r="CN64" s="56">
        <v>235</v>
      </c>
      <c r="CO64" s="55">
        <v>38</v>
      </c>
      <c r="CP64" s="56">
        <v>213</v>
      </c>
      <c r="CQ64" s="55">
        <v>51</v>
      </c>
      <c r="CR64" s="56">
        <v>230</v>
      </c>
      <c r="CS64" s="55">
        <v>43</v>
      </c>
      <c r="CT64" s="56">
        <v>230</v>
      </c>
      <c r="CU64" s="55">
        <v>39</v>
      </c>
      <c r="CV64" s="56">
        <v>220</v>
      </c>
      <c r="CW64" s="55">
        <v>26</v>
      </c>
      <c r="CX64" s="56">
        <v>225</v>
      </c>
      <c r="CY64" s="55">
        <v>45</v>
      </c>
      <c r="CZ64" s="56">
        <v>230</v>
      </c>
      <c r="DA64" s="55">
        <v>49</v>
      </c>
      <c r="DB64" s="56">
        <v>250</v>
      </c>
      <c r="DC64" s="55">
        <v>49</v>
      </c>
      <c r="DD64" s="56">
        <v>230</v>
      </c>
      <c r="DE64" s="55">
        <v>59</v>
      </c>
      <c r="DF64" s="56">
        <v>250</v>
      </c>
      <c r="DG64" s="55">
        <v>29</v>
      </c>
      <c r="DH64" s="56">
        <v>250</v>
      </c>
      <c r="DI64" s="55">
        <v>50</v>
      </c>
      <c r="DJ64" s="56">
        <v>230</v>
      </c>
      <c r="DK64" s="55">
        <v>42</v>
      </c>
      <c r="DL64" s="56">
        <v>250</v>
      </c>
      <c r="DM64" s="55">
        <v>60</v>
      </c>
      <c r="DN64" s="56">
        <v>255</v>
      </c>
      <c r="DO64" s="55">
        <v>40</v>
      </c>
      <c r="DP64" s="56">
        <v>250</v>
      </c>
      <c r="DQ64" s="55">
        <v>60</v>
      </c>
      <c r="DR64" s="56">
        <v>273</v>
      </c>
      <c r="DS64" s="55">
        <v>54</v>
      </c>
      <c r="DT64" s="56">
        <v>250</v>
      </c>
      <c r="DU64" s="55">
        <v>75</v>
      </c>
      <c r="DV64" s="56">
        <v>250</v>
      </c>
      <c r="DW64" s="55">
        <v>68</v>
      </c>
      <c r="DX64" s="56">
        <v>285</v>
      </c>
      <c r="DY64" s="55">
        <v>69</v>
      </c>
      <c r="DZ64" s="56">
        <v>280</v>
      </c>
      <c r="EA64" s="55">
        <v>56</v>
      </c>
      <c r="EB64" s="56">
        <v>280</v>
      </c>
      <c r="EC64" s="55">
        <v>62</v>
      </c>
      <c r="ED64" s="56">
        <v>295</v>
      </c>
      <c r="EE64" s="55">
        <v>55</v>
      </c>
      <c r="EF64" s="56">
        <v>265</v>
      </c>
      <c r="EG64" s="55">
        <v>58</v>
      </c>
      <c r="EH64" s="56">
        <v>280</v>
      </c>
      <c r="EI64" s="55">
        <v>67</v>
      </c>
      <c r="EJ64" s="56">
        <v>265</v>
      </c>
      <c r="EK64" s="55">
        <v>69</v>
      </c>
      <c r="EL64" s="56">
        <v>330</v>
      </c>
      <c r="EM64" s="55">
        <v>76</v>
      </c>
      <c r="EN64" s="56">
        <v>300</v>
      </c>
      <c r="EO64" s="55">
        <v>80</v>
      </c>
      <c r="EP64" s="56">
        <v>293</v>
      </c>
      <c r="EQ64" s="55">
        <v>56</v>
      </c>
      <c r="ER64" s="56">
        <v>315</v>
      </c>
      <c r="ES64" s="55">
        <v>46</v>
      </c>
      <c r="ET64" s="56">
        <v>278</v>
      </c>
      <c r="EU64" s="55">
        <v>51</v>
      </c>
      <c r="EV64" s="56">
        <v>300</v>
      </c>
      <c r="EW64" s="55">
        <v>58</v>
      </c>
      <c r="EX64" s="56">
        <v>310</v>
      </c>
      <c r="EY64" s="55">
        <v>58</v>
      </c>
      <c r="EZ64" s="56">
        <v>300</v>
      </c>
      <c r="FA64" s="55">
        <v>63</v>
      </c>
      <c r="FB64" s="56">
        <v>310</v>
      </c>
      <c r="FC64" s="55">
        <v>48</v>
      </c>
      <c r="FD64" s="56">
        <v>305</v>
      </c>
      <c r="FE64" s="55">
        <v>49</v>
      </c>
      <c r="FF64" s="56">
        <v>340</v>
      </c>
      <c r="FG64" s="55">
        <v>57</v>
      </c>
      <c r="FH64" s="56">
        <v>295</v>
      </c>
      <c r="FI64" s="55">
        <v>73</v>
      </c>
      <c r="FJ64" s="56">
        <v>340</v>
      </c>
      <c r="FK64" s="55">
        <v>57</v>
      </c>
      <c r="FL64" s="56">
        <v>300</v>
      </c>
      <c r="FM64" s="55">
        <v>48</v>
      </c>
      <c r="FN64" s="56">
        <v>300</v>
      </c>
      <c r="FO64" s="55">
        <v>52</v>
      </c>
      <c r="FP64" s="56">
        <v>300</v>
      </c>
      <c r="FQ64" s="55">
        <v>46</v>
      </c>
      <c r="FR64" s="56">
        <v>330</v>
      </c>
      <c r="FS64" s="55">
        <v>60</v>
      </c>
      <c r="FT64" s="56">
        <v>310</v>
      </c>
      <c r="FU64" s="55">
        <v>57</v>
      </c>
      <c r="FV64" s="56">
        <v>320</v>
      </c>
      <c r="FW64" s="55">
        <v>46</v>
      </c>
      <c r="FX64" s="56">
        <v>333</v>
      </c>
      <c r="FY64" s="55">
        <v>51</v>
      </c>
      <c r="FZ64" s="56">
        <v>325</v>
      </c>
      <c r="GA64" s="55">
        <v>71</v>
      </c>
      <c r="GB64" s="56">
        <v>350</v>
      </c>
      <c r="GC64" s="55">
        <v>84</v>
      </c>
      <c r="GD64" s="56">
        <v>308</v>
      </c>
      <c r="GE64" s="55">
        <v>62</v>
      </c>
      <c r="GF64" s="56">
        <v>315</v>
      </c>
      <c r="GG64" s="55">
        <v>69</v>
      </c>
      <c r="GH64" s="56">
        <v>350</v>
      </c>
      <c r="GI64" s="55">
        <v>45</v>
      </c>
      <c r="GJ64" s="56">
        <v>360</v>
      </c>
      <c r="GK64" s="55">
        <v>50</v>
      </c>
      <c r="GL64" s="56">
        <v>338</v>
      </c>
      <c r="GM64" s="55">
        <v>39</v>
      </c>
      <c r="GN64" s="56">
        <v>340</v>
      </c>
      <c r="GO64" s="55">
        <v>31</v>
      </c>
      <c r="GP64" s="56">
        <v>340</v>
      </c>
      <c r="GQ64" s="55">
        <v>45</v>
      </c>
      <c r="GR64" s="56">
        <v>360</v>
      </c>
      <c r="GS64" s="55">
        <v>44</v>
      </c>
      <c r="GT64" s="56">
        <v>350</v>
      </c>
      <c r="GU64" s="55">
        <v>97</v>
      </c>
      <c r="GV64" s="56">
        <v>370</v>
      </c>
      <c r="GW64" s="55">
        <v>60</v>
      </c>
      <c r="GX64" s="56">
        <v>400</v>
      </c>
      <c r="GY64" s="55">
        <v>45</v>
      </c>
      <c r="GZ64" s="56">
        <v>400</v>
      </c>
      <c r="HA64">
        <v>45</v>
      </c>
      <c r="HB64" s="56">
        <v>400</v>
      </c>
      <c r="HC64">
        <v>52</v>
      </c>
      <c r="HD64" s="56">
        <v>419</v>
      </c>
      <c r="HE64">
        <v>44</v>
      </c>
      <c r="HF64" s="56">
        <v>425</v>
      </c>
    </row>
    <row r="65" spans="1:214" x14ac:dyDescent="0.25">
      <c r="A65" s="53"/>
      <c r="B65" s="54" t="s">
        <v>803</v>
      </c>
      <c r="C65" s="55">
        <v>394</v>
      </c>
      <c r="D65" s="56">
        <v>140</v>
      </c>
      <c r="E65" s="55">
        <v>399</v>
      </c>
      <c r="F65" s="56">
        <v>150</v>
      </c>
      <c r="G65" s="55">
        <v>428</v>
      </c>
      <c r="H65" s="56">
        <v>150</v>
      </c>
      <c r="I65" s="55">
        <v>502</v>
      </c>
      <c r="J65" s="56">
        <v>150</v>
      </c>
      <c r="K65" s="55">
        <v>405</v>
      </c>
      <c r="L65" s="56">
        <v>150</v>
      </c>
      <c r="M65" s="55">
        <v>438</v>
      </c>
      <c r="N65" s="56">
        <v>155</v>
      </c>
      <c r="O65" s="55">
        <v>401</v>
      </c>
      <c r="P65" s="56">
        <v>155</v>
      </c>
      <c r="Q65" s="55">
        <v>467</v>
      </c>
      <c r="R65" s="56">
        <v>160</v>
      </c>
      <c r="S65" s="55">
        <v>355</v>
      </c>
      <c r="T65" s="56">
        <v>160</v>
      </c>
      <c r="U65" s="55">
        <v>373</v>
      </c>
      <c r="V65" s="56">
        <v>162</v>
      </c>
      <c r="W65" s="55">
        <v>430</v>
      </c>
      <c r="X65" s="56">
        <v>175</v>
      </c>
      <c r="Y65" s="55">
        <v>574</v>
      </c>
      <c r="Z65" s="56">
        <v>175</v>
      </c>
      <c r="AA65" s="55">
        <v>364</v>
      </c>
      <c r="AB65" s="56">
        <v>170</v>
      </c>
      <c r="AC65" s="55">
        <v>401</v>
      </c>
      <c r="AD65" s="56">
        <v>170</v>
      </c>
      <c r="AE65" s="55">
        <v>371</v>
      </c>
      <c r="AF65" s="56">
        <v>175</v>
      </c>
      <c r="AG65" s="55">
        <v>556</v>
      </c>
      <c r="AH65" s="56">
        <v>180</v>
      </c>
      <c r="AI65" s="55">
        <v>396</v>
      </c>
      <c r="AJ65" s="56">
        <v>180</v>
      </c>
      <c r="AK65" s="55">
        <v>433</v>
      </c>
      <c r="AL65" s="56">
        <v>180</v>
      </c>
      <c r="AM65" s="55">
        <v>411</v>
      </c>
      <c r="AN65" s="56">
        <v>180</v>
      </c>
      <c r="AO65" s="55">
        <v>604</v>
      </c>
      <c r="AP65" s="56">
        <v>185</v>
      </c>
      <c r="AQ65" s="55">
        <v>379</v>
      </c>
      <c r="AR65" s="56">
        <v>180</v>
      </c>
      <c r="AS65" s="55">
        <v>487</v>
      </c>
      <c r="AT65" s="56">
        <v>185</v>
      </c>
      <c r="AU65" s="55">
        <v>448</v>
      </c>
      <c r="AV65" s="56">
        <v>190</v>
      </c>
      <c r="AW65" s="55">
        <v>555</v>
      </c>
      <c r="AX65" s="56">
        <v>195</v>
      </c>
      <c r="AY65" s="55">
        <v>433</v>
      </c>
      <c r="AZ65" s="56">
        <v>190</v>
      </c>
      <c r="BA65" s="55">
        <v>474</v>
      </c>
      <c r="BB65" s="56">
        <v>200</v>
      </c>
      <c r="BC65" s="55">
        <v>396</v>
      </c>
      <c r="BD65" s="56">
        <v>200</v>
      </c>
      <c r="BE65" s="55">
        <v>507</v>
      </c>
      <c r="BF65" s="56">
        <v>205</v>
      </c>
      <c r="BG65" s="55">
        <v>364</v>
      </c>
      <c r="BH65" s="56">
        <v>210</v>
      </c>
      <c r="BI65" s="55">
        <v>391</v>
      </c>
      <c r="BJ65" s="56">
        <v>215</v>
      </c>
      <c r="BK65" s="55">
        <v>376</v>
      </c>
      <c r="BL65" s="56">
        <v>220</v>
      </c>
      <c r="BM65" s="55">
        <v>453</v>
      </c>
      <c r="BN65" s="56">
        <v>230</v>
      </c>
      <c r="BO65" s="55">
        <v>348</v>
      </c>
      <c r="BP65" s="56">
        <v>230</v>
      </c>
      <c r="BQ65" s="55">
        <v>327</v>
      </c>
      <c r="BR65" s="56">
        <v>250</v>
      </c>
      <c r="BS65" s="55">
        <v>358</v>
      </c>
      <c r="BT65" s="56">
        <v>250</v>
      </c>
      <c r="BU65" s="55">
        <v>426</v>
      </c>
      <c r="BV65" s="56">
        <v>260</v>
      </c>
      <c r="BW65" s="55">
        <v>357</v>
      </c>
      <c r="BX65" s="56">
        <v>290</v>
      </c>
      <c r="BY65" s="55">
        <v>389</v>
      </c>
      <c r="BZ65" s="56">
        <v>280</v>
      </c>
      <c r="CA65" s="55">
        <v>363</v>
      </c>
      <c r="CB65" s="56">
        <v>290</v>
      </c>
      <c r="CC65" s="55">
        <v>398</v>
      </c>
      <c r="CD65" s="56">
        <v>300</v>
      </c>
      <c r="CE65" s="55">
        <v>386</v>
      </c>
      <c r="CF65" s="56">
        <v>300</v>
      </c>
      <c r="CG65" s="55">
        <v>443</v>
      </c>
      <c r="CH65" s="56">
        <v>300</v>
      </c>
      <c r="CI65" s="55">
        <v>488</v>
      </c>
      <c r="CJ65" s="56">
        <v>300</v>
      </c>
      <c r="CK65" s="55">
        <v>544</v>
      </c>
      <c r="CL65" s="56">
        <v>320</v>
      </c>
      <c r="CM65" s="55">
        <v>436</v>
      </c>
      <c r="CN65" s="56">
        <v>320</v>
      </c>
      <c r="CO65" s="55">
        <v>481</v>
      </c>
      <c r="CP65" s="56">
        <v>330</v>
      </c>
      <c r="CQ65" s="55">
        <v>497</v>
      </c>
      <c r="CR65" s="56">
        <v>320</v>
      </c>
      <c r="CS65" s="55">
        <v>678</v>
      </c>
      <c r="CT65" s="56">
        <v>335</v>
      </c>
      <c r="CU65" s="55">
        <v>459</v>
      </c>
      <c r="CV65" s="56">
        <v>330</v>
      </c>
      <c r="CW65" s="55">
        <v>572</v>
      </c>
      <c r="CX65" s="56">
        <v>340</v>
      </c>
      <c r="CY65" s="55">
        <v>558</v>
      </c>
      <c r="CZ65" s="56">
        <v>335</v>
      </c>
      <c r="DA65" s="55">
        <v>771</v>
      </c>
      <c r="DB65" s="56">
        <v>350</v>
      </c>
      <c r="DC65" s="55">
        <v>619</v>
      </c>
      <c r="DD65" s="56">
        <v>350</v>
      </c>
      <c r="DE65" s="55">
        <v>677</v>
      </c>
      <c r="DF65" s="56">
        <v>340</v>
      </c>
      <c r="DG65" s="55">
        <v>631</v>
      </c>
      <c r="DH65" s="56">
        <v>330</v>
      </c>
      <c r="DI65" s="55">
        <v>760</v>
      </c>
      <c r="DJ65" s="56">
        <v>345</v>
      </c>
      <c r="DK65" s="55">
        <v>668</v>
      </c>
      <c r="DL65" s="56">
        <v>340</v>
      </c>
      <c r="DM65" s="55">
        <v>668</v>
      </c>
      <c r="DN65" s="56">
        <v>342</v>
      </c>
      <c r="DO65" s="55">
        <v>678</v>
      </c>
      <c r="DP65" s="56">
        <v>350</v>
      </c>
      <c r="DQ65" s="55">
        <v>821</v>
      </c>
      <c r="DR65" s="56">
        <v>350</v>
      </c>
      <c r="DS65" s="55">
        <v>702</v>
      </c>
      <c r="DT65" s="56">
        <v>350</v>
      </c>
      <c r="DU65" s="55">
        <v>823</v>
      </c>
      <c r="DV65" s="56">
        <v>350</v>
      </c>
      <c r="DW65" s="55">
        <v>783</v>
      </c>
      <c r="DX65" s="56">
        <v>350</v>
      </c>
      <c r="DY65" s="55">
        <v>861</v>
      </c>
      <c r="DZ65" s="56">
        <v>352</v>
      </c>
      <c r="EA65" s="55">
        <v>660</v>
      </c>
      <c r="EB65" s="56">
        <v>350</v>
      </c>
      <c r="EC65" s="55">
        <v>788</v>
      </c>
      <c r="ED65" s="56">
        <v>355</v>
      </c>
      <c r="EE65" s="55">
        <v>825</v>
      </c>
      <c r="EF65" s="56">
        <v>360</v>
      </c>
      <c r="EG65" s="55">
        <v>938</v>
      </c>
      <c r="EH65" s="56">
        <v>365</v>
      </c>
      <c r="EI65" s="55">
        <v>750</v>
      </c>
      <c r="EJ65" s="56">
        <v>365</v>
      </c>
      <c r="EK65" s="55">
        <v>918</v>
      </c>
      <c r="EL65" s="56">
        <v>375</v>
      </c>
      <c r="EM65" s="55">
        <v>783</v>
      </c>
      <c r="EN65" s="56">
        <v>370</v>
      </c>
      <c r="EO65" s="55">
        <v>897</v>
      </c>
      <c r="EP65" s="56">
        <v>385</v>
      </c>
      <c r="EQ65" s="55">
        <v>781</v>
      </c>
      <c r="ER65" s="56">
        <v>385</v>
      </c>
      <c r="ES65" s="55">
        <v>806</v>
      </c>
      <c r="ET65" s="56">
        <v>395</v>
      </c>
      <c r="EU65" s="55">
        <v>755</v>
      </c>
      <c r="EV65" s="56">
        <v>395</v>
      </c>
      <c r="EW65" s="55">
        <v>1010</v>
      </c>
      <c r="EX65" s="56">
        <v>400</v>
      </c>
      <c r="EY65" s="55">
        <v>741</v>
      </c>
      <c r="EZ65" s="56">
        <v>400</v>
      </c>
      <c r="FA65" s="55">
        <v>893</v>
      </c>
      <c r="FB65" s="56">
        <v>410</v>
      </c>
      <c r="FC65" s="55">
        <v>747</v>
      </c>
      <c r="FD65" s="56">
        <v>400</v>
      </c>
      <c r="FE65" s="55">
        <v>926</v>
      </c>
      <c r="FF65" s="56">
        <v>415</v>
      </c>
      <c r="FG65" s="55">
        <v>695</v>
      </c>
      <c r="FH65" s="56">
        <v>410</v>
      </c>
      <c r="FI65" s="55">
        <v>738</v>
      </c>
      <c r="FJ65" s="56">
        <v>410</v>
      </c>
      <c r="FK65" s="55">
        <v>783</v>
      </c>
      <c r="FL65" s="56">
        <v>410</v>
      </c>
      <c r="FM65" s="55">
        <v>926</v>
      </c>
      <c r="FN65" s="56">
        <v>420</v>
      </c>
      <c r="FO65" s="55">
        <v>677</v>
      </c>
      <c r="FP65" s="56">
        <v>400</v>
      </c>
      <c r="FQ65" s="55">
        <v>654</v>
      </c>
      <c r="FR65" s="56">
        <v>400</v>
      </c>
      <c r="FS65" s="55">
        <v>838</v>
      </c>
      <c r="FT65" s="56">
        <v>395</v>
      </c>
      <c r="FU65" s="55">
        <v>1029</v>
      </c>
      <c r="FV65" s="56">
        <v>390</v>
      </c>
      <c r="FW65" s="55">
        <v>999</v>
      </c>
      <c r="FX65" s="56">
        <v>375</v>
      </c>
      <c r="FY65" s="55">
        <v>912</v>
      </c>
      <c r="FZ65" s="56">
        <v>380</v>
      </c>
      <c r="GA65" s="55">
        <v>887</v>
      </c>
      <c r="GB65" s="56">
        <v>380</v>
      </c>
      <c r="GC65" s="55">
        <v>1047</v>
      </c>
      <c r="GD65" s="56">
        <v>390</v>
      </c>
      <c r="GE65" s="55">
        <v>871</v>
      </c>
      <c r="GF65" s="56">
        <v>400</v>
      </c>
      <c r="GG65" s="55">
        <v>940</v>
      </c>
      <c r="GH65" s="56">
        <v>410</v>
      </c>
      <c r="GI65" s="55">
        <v>835</v>
      </c>
      <c r="GJ65" s="56">
        <v>420</v>
      </c>
      <c r="GK65" s="55">
        <v>794</v>
      </c>
      <c r="GL65" s="56">
        <v>450</v>
      </c>
      <c r="GM65" s="55">
        <v>641</v>
      </c>
      <c r="GN65" s="56">
        <v>475</v>
      </c>
      <c r="GO65" s="55">
        <v>622</v>
      </c>
      <c r="GP65" s="56">
        <v>480</v>
      </c>
      <c r="GQ65" s="55">
        <v>635</v>
      </c>
      <c r="GR65" s="56">
        <v>500</v>
      </c>
      <c r="GS65" s="55">
        <v>655</v>
      </c>
      <c r="GT65" s="56">
        <v>525</v>
      </c>
      <c r="GU65" s="55">
        <v>633</v>
      </c>
      <c r="GV65" s="56">
        <v>530</v>
      </c>
      <c r="GW65" s="55">
        <v>691</v>
      </c>
      <c r="GX65" s="56">
        <v>540</v>
      </c>
      <c r="GY65" s="55">
        <v>590</v>
      </c>
      <c r="GZ65" s="56">
        <v>530</v>
      </c>
      <c r="HA65">
        <v>682</v>
      </c>
      <c r="HB65" s="56">
        <v>550</v>
      </c>
      <c r="HC65">
        <v>640</v>
      </c>
      <c r="HD65" s="56">
        <v>550</v>
      </c>
      <c r="HE65">
        <v>728</v>
      </c>
      <c r="HF65" s="56">
        <v>540</v>
      </c>
    </row>
    <row r="66" spans="1:214" x14ac:dyDescent="0.25">
      <c r="A66" s="53"/>
      <c r="B66" s="54" t="s">
        <v>804</v>
      </c>
      <c r="C66" s="55">
        <v>239</v>
      </c>
      <c r="D66" s="56">
        <v>160</v>
      </c>
      <c r="E66" s="55">
        <v>249</v>
      </c>
      <c r="F66" s="56">
        <v>160</v>
      </c>
      <c r="G66" s="55">
        <v>264</v>
      </c>
      <c r="H66" s="56">
        <v>155</v>
      </c>
      <c r="I66" s="55">
        <v>334</v>
      </c>
      <c r="J66" s="56">
        <v>160</v>
      </c>
      <c r="K66" s="55">
        <v>255</v>
      </c>
      <c r="L66" s="56">
        <v>160</v>
      </c>
      <c r="M66" s="55">
        <v>275</v>
      </c>
      <c r="N66" s="56">
        <v>165</v>
      </c>
      <c r="O66" s="55">
        <v>234</v>
      </c>
      <c r="P66" s="56">
        <v>168</v>
      </c>
      <c r="Q66" s="55">
        <v>323</v>
      </c>
      <c r="R66" s="56">
        <v>170</v>
      </c>
      <c r="S66" s="55">
        <v>273</v>
      </c>
      <c r="T66" s="56">
        <v>175</v>
      </c>
      <c r="U66" s="55">
        <v>241</v>
      </c>
      <c r="V66" s="56">
        <v>180</v>
      </c>
      <c r="W66" s="55">
        <v>269</v>
      </c>
      <c r="X66" s="56">
        <v>175</v>
      </c>
      <c r="Y66" s="55">
        <v>297</v>
      </c>
      <c r="Z66" s="56">
        <v>180</v>
      </c>
      <c r="AA66" s="55">
        <v>259</v>
      </c>
      <c r="AB66" s="56">
        <v>185</v>
      </c>
      <c r="AC66" s="55">
        <v>274</v>
      </c>
      <c r="AD66" s="56">
        <v>183</v>
      </c>
      <c r="AE66" s="55">
        <v>234</v>
      </c>
      <c r="AF66" s="56">
        <v>180</v>
      </c>
      <c r="AG66" s="55">
        <v>328</v>
      </c>
      <c r="AH66" s="56">
        <v>180</v>
      </c>
      <c r="AI66" s="55">
        <v>278</v>
      </c>
      <c r="AJ66" s="56">
        <v>190</v>
      </c>
      <c r="AK66" s="55">
        <v>288</v>
      </c>
      <c r="AL66" s="56">
        <v>185</v>
      </c>
      <c r="AM66" s="55">
        <v>272</v>
      </c>
      <c r="AN66" s="56">
        <v>200</v>
      </c>
      <c r="AO66" s="55">
        <v>320</v>
      </c>
      <c r="AP66" s="56">
        <v>195</v>
      </c>
      <c r="AQ66" s="55">
        <v>244</v>
      </c>
      <c r="AR66" s="56">
        <v>195</v>
      </c>
      <c r="AS66" s="55">
        <v>262</v>
      </c>
      <c r="AT66" s="56">
        <v>190</v>
      </c>
      <c r="AU66" s="55">
        <v>246</v>
      </c>
      <c r="AV66" s="56">
        <v>200</v>
      </c>
      <c r="AW66" s="55">
        <v>350</v>
      </c>
      <c r="AX66" s="56">
        <v>200</v>
      </c>
      <c r="AY66" s="55">
        <v>245</v>
      </c>
      <c r="AZ66" s="56">
        <v>200</v>
      </c>
      <c r="BA66" s="55">
        <v>251</v>
      </c>
      <c r="BB66" s="56">
        <v>200</v>
      </c>
      <c r="BC66" s="55">
        <v>257</v>
      </c>
      <c r="BD66" s="56">
        <v>210</v>
      </c>
      <c r="BE66" s="55">
        <v>325</v>
      </c>
      <c r="BF66" s="56">
        <v>215</v>
      </c>
      <c r="BG66" s="55">
        <v>214</v>
      </c>
      <c r="BH66" s="56">
        <v>220</v>
      </c>
      <c r="BI66" s="55">
        <v>253</v>
      </c>
      <c r="BJ66" s="56">
        <v>210</v>
      </c>
      <c r="BK66" s="55">
        <v>237</v>
      </c>
      <c r="BL66" s="56">
        <v>220</v>
      </c>
      <c r="BM66" s="55">
        <v>252</v>
      </c>
      <c r="BN66" s="56">
        <v>245</v>
      </c>
      <c r="BO66" s="55">
        <v>242</v>
      </c>
      <c r="BP66" s="56">
        <v>250</v>
      </c>
      <c r="BQ66" s="55">
        <v>233</v>
      </c>
      <c r="BR66" s="56">
        <v>250</v>
      </c>
      <c r="BS66" s="55">
        <v>256</v>
      </c>
      <c r="BT66" s="56">
        <v>260</v>
      </c>
      <c r="BU66" s="55">
        <v>266</v>
      </c>
      <c r="BV66" s="56">
        <v>275</v>
      </c>
      <c r="BW66" s="55">
        <v>272</v>
      </c>
      <c r="BX66" s="56">
        <v>300</v>
      </c>
      <c r="BY66" s="55">
        <v>258</v>
      </c>
      <c r="BZ66" s="56">
        <v>290</v>
      </c>
      <c r="CA66" s="55">
        <v>232</v>
      </c>
      <c r="CB66" s="56">
        <v>298</v>
      </c>
      <c r="CC66" s="55">
        <v>248</v>
      </c>
      <c r="CD66" s="56">
        <v>295</v>
      </c>
      <c r="CE66" s="55">
        <v>227</v>
      </c>
      <c r="CF66" s="56">
        <v>300</v>
      </c>
      <c r="CG66" s="55">
        <v>215</v>
      </c>
      <c r="CH66" s="56">
        <v>300</v>
      </c>
      <c r="CI66" s="55">
        <v>247</v>
      </c>
      <c r="CJ66" s="56">
        <v>320</v>
      </c>
      <c r="CK66" s="55">
        <v>284</v>
      </c>
      <c r="CL66" s="56">
        <v>320</v>
      </c>
      <c r="CM66" s="55">
        <v>263</v>
      </c>
      <c r="CN66" s="56">
        <v>320</v>
      </c>
      <c r="CO66" s="55">
        <v>329</v>
      </c>
      <c r="CP66" s="56">
        <v>330</v>
      </c>
      <c r="CQ66" s="55">
        <v>365</v>
      </c>
      <c r="CR66" s="56">
        <v>340</v>
      </c>
      <c r="CS66" s="55">
        <v>387</v>
      </c>
      <c r="CT66" s="56">
        <v>340</v>
      </c>
      <c r="CU66" s="55">
        <v>288</v>
      </c>
      <c r="CV66" s="56">
        <v>340</v>
      </c>
      <c r="CW66" s="55">
        <v>319</v>
      </c>
      <c r="CX66" s="56">
        <v>340</v>
      </c>
      <c r="CY66" s="55">
        <v>288</v>
      </c>
      <c r="CZ66" s="56">
        <v>340</v>
      </c>
      <c r="DA66" s="55">
        <v>449</v>
      </c>
      <c r="DB66" s="56">
        <v>350</v>
      </c>
      <c r="DC66" s="55">
        <v>328</v>
      </c>
      <c r="DD66" s="56">
        <v>350</v>
      </c>
      <c r="DE66" s="55">
        <v>486</v>
      </c>
      <c r="DF66" s="56">
        <v>350</v>
      </c>
      <c r="DG66" s="55">
        <v>413</v>
      </c>
      <c r="DH66" s="56">
        <v>350</v>
      </c>
      <c r="DI66" s="55">
        <v>449</v>
      </c>
      <c r="DJ66" s="56">
        <v>350</v>
      </c>
      <c r="DK66" s="55">
        <v>342</v>
      </c>
      <c r="DL66" s="56">
        <v>350</v>
      </c>
      <c r="DM66" s="55">
        <v>379</v>
      </c>
      <c r="DN66" s="56">
        <v>350</v>
      </c>
      <c r="DO66" s="55">
        <v>379</v>
      </c>
      <c r="DP66" s="56">
        <v>350</v>
      </c>
      <c r="DQ66" s="55">
        <v>477</v>
      </c>
      <c r="DR66" s="56">
        <v>350</v>
      </c>
      <c r="DS66" s="55">
        <v>371</v>
      </c>
      <c r="DT66" s="56">
        <v>350</v>
      </c>
      <c r="DU66" s="55">
        <v>398</v>
      </c>
      <c r="DV66" s="56">
        <v>350</v>
      </c>
      <c r="DW66" s="55">
        <v>383</v>
      </c>
      <c r="DX66" s="56">
        <v>360</v>
      </c>
      <c r="DY66" s="55">
        <v>505</v>
      </c>
      <c r="DZ66" s="56">
        <v>365</v>
      </c>
      <c r="EA66" s="55">
        <v>395</v>
      </c>
      <c r="EB66" s="56">
        <v>350</v>
      </c>
      <c r="EC66" s="55">
        <v>422</v>
      </c>
      <c r="ED66" s="56">
        <v>360</v>
      </c>
      <c r="EE66" s="55">
        <v>447</v>
      </c>
      <c r="EF66" s="56">
        <v>360</v>
      </c>
      <c r="EG66" s="55">
        <v>532</v>
      </c>
      <c r="EH66" s="56">
        <v>370</v>
      </c>
      <c r="EI66" s="55">
        <v>417</v>
      </c>
      <c r="EJ66" s="56">
        <v>370</v>
      </c>
      <c r="EK66" s="55">
        <v>481</v>
      </c>
      <c r="EL66" s="56">
        <v>375</v>
      </c>
      <c r="EM66" s="55">
        <v>438</v>
      </c>
      <c r="EN66" s="56">
        <v>380</v>
      </c>
      <c r="EO66" s="55">
        <v>565</v>
      </c>
      <c r="EP66" s="56">
        <v>385</v>
      </c>
      <c r="EQ66" s="55">
        <v>402</v>
      </c>
      <c r="ER66" s="56">
        <v>385</v>
      </c>
      <c r="ES66" s="55">
        <v>417</v>
      </c>
      <c r="ET66" s="56">
        <v>385</v>
      </c>
      <c r="EU66" s="55">
        <v>480</v>
      </c>
      <c r="EV66" s="56">
        <v>393</v>
      </c>
      <c r="EW66" s="55">
        <v>547</v>
      </c>
      <c r="EX66" s="56">
        <v>400</v>
      </c>
      <c r="EY66" s="55">
        <v>419</v>
      </c>
      <c r="EZ66" s="56">
        <v>395</v>
      </c>
      <c r="FA66" s="55">
        <v>399</v>
      </c>
      <c r="FB66" s="56">
        <v>400</v>
      </c>
      <c r="FC66" s="55">
        <v>469</v>
      </c>
      <c r="FD66" s="56">
        <v>400</v>
      </c>
      <c r="FE66" s="55">
        <v>543</v>
      </c>
      <c r="FF66" s="56">
        <v>420</v>
      </c>
      <c r="FG66" s="55">
        <v>420</v>
      </c>
      <c r="FH66" s="56">
        <v>410</v>
      </c>
      <c r="FI66" s="55">
        <v>453</v>
      </c>
      <c r="FJ66" s="56">
        <v>400</v>
      </c>
      <c r="FK66" s="55">
        <v>394</v>
      </c>
      <c r="FL66" s="56">
        <v>400</v>
      </c>
      <c r="FM66" s="55">
        <v>570</v>
      </c>
      <c r="FN66" s="56">
        <v>418</v>
      </c>
      <c r="FO66" s="55">
        <v>344</v>
      </c>
      <c r="FP66" s="56">
        <v>395</v>
      </c>
      <c r="FQ66" s="55">
        <v>356</v>
      </c>
      <c r="FR66" s="56">
        <v>390</v>
      </c>
      <c r="FS66" s="55">
        <v>461</v>
      </c>
      <c r="FT66" s="56">
        <v>380</v>
      </c>
      <c r="FU66" s="55">
        <v>589</v>
      </c>
      <c r="FV66" s="56">
        <v>375</v>
      </c>
      <c r="FW66" s="55">
        <v>538</v>
      </c>
      <c r="FX66" s="56">
        <v>360</v>
      </c>
      <c r="FY66" s="55">
        <v>469</v>
      </c>
      <c r="FZ66" s="56">
        <v>350</v>
      </c>
      <c r="GA66" s="55">
        <v>476</v>
      </c>
      <c r="GB66" s="56">
        <v>365</v>
      </c>
      <c r="GC66" s="55">
        <v>608</v>
      </c>
      <c r="GD66" s="56">
        <v>375</v>
      </c>
      <c r="GE66" s="55">
        <v>538</v>
      </c>
      <c r="GF66" s="56">
        <v>390</v>
      </c>
      <c r="GG66" s="55">
        <v>485</v>
      </c>
      <c r="GH66" s="56">
        <v>400</v>
      </c>
      <c r="GI66" s="55">
        <v>416</v>
      </c>
      <c r="GJ66" s="56">
        <v>410</v>
      </c>
      <c r="GK66" s="55">
        <v>424</v>
      </c>
      <c r="GL66" s="56">
        <v>445</v>
      </c>
      <c r="GM66" s="55">
        <v>383</v>
      </c>
      <c r="GN66" s="56">
        <v>460</v>
      </c>
      <c r="GO66" s="55">
        <v>484</v>
      </c>
      <c r="GP66" s="56">
        <v>500</v>
      </c>
      <c r="GQ66" s="55">
        <v>422</v>
      </c>
      <c r="GR66" s="56">
        <v>500</v>
      </c>
      <c r="GS66" s="55">
        <v>403</v>
      </c>
      <c r="GT66" s="56">
        <v>500</v>
      </c>
      <c r="GU66" s="55">
        <v>387</v>
      </c>
      <c r="GV66" s="56">
        <v>500</v>
      </c>
      <c r="GW66" s="55">
        <v>395</v>
      </c>
      <c r="GX66" s="56">
        <v>520</v>
      </c>
      <c r="GY66" s="55">
        <v>398</v>
      </c>
      <c r="GZ66" s="56">
        <v>500</v>
      </c>
      <c r="HA66">
        <v>398</v>
      </c>
      <c r="HB66" s="56">
        <v>520</v>
      </c>
      <c r="HC66">
        <v>327</v>
      </c>
      <c r="HD66" s="56">
        <v>540</v>
      </c>
      <c r="HE66">
        <v>353</v>
      </c>
      <c r="HF66" s="56">
        <v>525</v>
      </c>
    </row>
    <row r="67" spans="1:214" x14ac:dyDescent="0.25">
      <c r="A67" s="53"/>
      <c r="B67" s="54" t="s">
        <v>805</v>
      </c>
      <c r="C67" s="55">
        <v>23</v>
      </c>
      <c r="D67" s="56">
        <v>185</v>
      </c>
      <c r="E67" s="55">
        <v>20</v>
      </c>
      <c r="F67" s="56">
        <v>185</v>
      </c>
      <c r="G67" s="55">
        <v>26</v>
      </c>
      <c r="H67" s="56">
        <v>183</v>
      </c>
      <c r="I67" s="55">
        <v>32</v>
      </c>
      <c r="J67" s="56">
        <v>185</v>
      </c>
      <c r="K67" s="55">
        <v>19</v>
      </c>
      <c r="L67" s="56">
        <v>180</v>
      </c>
      <c r="M67" s="55">
        <v>23</v>
      </c>
      <c r="N67" s="56">
        <v>185</v>
      </c>
      <c r="O67" s="55">
        <v>25</v>
      </c>
      <c r="P67" s="56">
        <v>180</v>
      </c>
      <c r="Q67" s="55">
        <v>23</v>
      </c>
      <c r="R67" s="56">
        <v>200</v>
      </c>
      <c r="S67" s="55">
        <v>26</v>
      </c>
      <c r="T67" s="56">
        <v>200</v>
      </c>
      <c r="U67" s="55">
        <v>24</v>
      </c>
      <c r="V67" s="56">
        <v>183</v>
      </c>
      <c r="W67" s="55">
        <v>23</v>
      </c>
      <c r="X67" s="56">
        <v>190</v>
      </c>
      <c r="Y67" s="55">
        <v>27</v>
      </c>
      <c r="Z67" s="56">
        <v>195</v>
      </c>
      <c r="AA67" s="55">
        <v>27</v>
      </c>
      <c r="AB67" s="56">
        <v>210</v>
      </c>
      <c r="AC67" s="55">
        <v>17</v>
      </c>
      <c r="AD67" s="56">
        <v>190</v>
      </c>
      <c r="AE67" s="55">
        <v>26</v>
      </c>
      <c r="AF67" s="56">
        <v>198</v>
      </c>
      <c r="AG67" s="55">
        <v>33</v>
      </c>
      <c r="AH67" s="56">
        <v>205</v>
      </c>
      <c r="AI67" s="55">
        <v>22</v>
      </c>
      <c r="AJ67" s="56">
        <v>200</v>
      </c>
      <c r="AK67" s="55">
        <v>23</v>
      </c>
      <c r="AL67" s="56">
        <v>200</v>
      </c>
      <c r="AM67" s="55">
        <v>25</v>
      </c>
      <c r="AN67" s="56">
        <v>205</v>
      </c>
      <c r="AO67" s="55">
        <v>26</v>
      </c>
      <c r="AP67" s="56">
        <v>210</v>
      </c>
      <c r="AQ67" s="55">
        <v>18</v>
      </c>
      <c r="AR67" s="56">
        <v>200</v>
      </c>
      <c r="AS67" s="55">
        <v>16</v>
      </c>
      <c r="AT67" s="56">
        <v>213</v>
      </c>
      <c r="AU67" s="55">
        <v>28</v>
      </c>
      <c r="AV67" s="56">
        <v>210</v>
      </c>
      <c r="AW67" s="55">
        <v>15</v>
      </c>
      <c r="AX67" s="56">
        <v>210</v>
      </c>
      <c r="AY67" s="55">
        <v>22</v>
      </c>
      <c r="AZ67" s="56">
        <v>215</v>
      </c>
      <c r="BA67" s="55">
        <v>18</v>
      </c>
      <c r="BB67" s="56">
        <v>223</v>
      </c>
      <c r="BC67" s="55">
        <v>9</v>
      </c>
      <c r="BD67" s="56">
        <v>230</v>
      </c>
      <c r="BE67" s="55">
        <v>26</v>
      </c>
      <c r="BF67" s="56">
        <v>210</v>
      </c>
      <c r="BG67" s="55">
        <v>12</v>
      </c>
      <c r="BH67" s="56">
        <v>230</v>
      </c>
      <c r="BI67" s="55">
        <v>15</v>
      </c>
      <c r="BJ67" s="56">
        <v>215</v>
      </c>
      <c r="BK67" s="55">
        <v>17</v>
      </c>
      <c r="BL67" s="56">
        <v>210</v>
      </c>
      <c r="BM67" s="55">
        <v>20</v>
      </c>
      <c r="BN67" s="56">
        <v>230</v>
      </c>
      <c r="BO67" s="55">
        <v>19</v>
      </c>
      <c r="BP67" s="56">
        <v>220</v>
      </c>
      <c r="BQ67" s="55">
        <v>21</v>
      </c>
      <c r="BR67" s="56">
        <v>250</v>
      </c>
      <c r="BS67" s="55">
        <v>13</v>
      </c>
      <c r="BT67" s="56">
        <v>290</v>
      </c>
      <c r="BU67" s="55">
        <v>19</v>
      </c>
      <c r="BV67" s="56">
        <v>280</v>
      </c>
      <c r="BW67" s="55">
        <v>19</v>
      </c>
      <c r="BX67" s="56">
        <v>270</v>
      </c>
      <c r="BY67" s="55">
        <v>19</v>
      </c>
      <c r="BZ67" s="56">
        <v>290</v>
      </c>
      <c r="CA67" s="55">
        <v>13</v>
      </c>
      <c r="CB67" s="56">
        <v>290</v>
      </c>
      <c r="CC67" s="55">
        <v>17</v>
      </c>
      <c r="CD67" s="56">
        <v>280</v>
      </c>
      <c r="CE67" s="55">
        <v>17</v>
      </c>
      <c r="CF67" s="56">
        <v>300</v>
      </c>
      <c r="CG67" s="55">
        <v>13</v>
      </c>
      <c r="CH67" s="56">
        <v>290</v>
      </c>
      <c r="CI67" s="55">
        <v>14</v>
      </c>
      <c r="CJ67" s="56">
        <v>300</v>
      </c>
      <c r="CK67" s="55">
        <v>19</v>
      </c>
      <c r="CL67" s="56">
        <v>300</v>
      </c>
      <c r="CM67" s="55">
        <v>17</v>
      </c>
      <c r="CN67" s="56">
        <v>300</v>
      </c>
      <c r="CO67" s="55">
        <v>23</v>
      </c>
      <c r="CP67" s="56">
        <v>301</v>
      </c>
      <c r="CQ67" s="55">
        <v>16</v>
      </c>
      <c r="CR67" s="56">
        <v>318</v>
      </c>
      <c r="CS67" s="55">
        <v>20</v>
      </c>
      <c r="CT67" s="56">
        <v>310</v>
      </c>
      <c r="CU67" s="55">
        <v>17</v>
      </c>
      <c r="CV67" s="56">
        <v>300</v>
      </c>
      <c r="CW67" s="55">
        <v>19</v>
      </c>
      <c r="CX67" s="56">
        <v>310</v>
      </c>
      <c r="CY67" s="55">
        <v>18</v>
      </c>
      <c r="CZ67" s="56">
        <v>310</v>
      </c>
      <c r="DA67" s="55">
        <v>24</v>
      </c>
      <c r="DB67" s="56">
        <v>300</v>
      </c>
      <c r="DC67" s="55">
        <v>20</v>
      </c>
      <c r="DD67" s="56">
        <v>315</v>
      </c>
      <c r="DE67" s="55">
        <v>25</v>
      </c>
      <c r="DF67" s="56">
        <v>300</v>
      </c>
      <c r="DG67" s="55">
        <v>13</v>
      </c>
      <c r="DH67" s="56">
        <v>330</v>
      </c>
      <c r="DI67" s="55">
        <v>26</v>
      </c>
      <c r="DJ67" s="56">
        <v>320</v>
      </c>
      <c r="DK67" s="55">
        <v>22</v>
      </c>
      <c r="DL67" s="56">
        <v>313</v>
      </c>
      <c r="DM67" s="55">
        <v>18</v>
      </c>
      <c r="DN67" s="56">
        <v>320</v>
      </c>
      <c r="DO67" s="55">
        <v>19</v>
      </c>
      <c r="DP67" s="56">
        <v>315</v>
      </c>
      <c r="DQ67" s="55">
        <v>12</v>
      </c>
      <c r="DR67" s="56">
        <v>318</v>
      </c>
      <c r="DS67" s="55">
        <v>16</v>
      </c>
      <c r="DT67" s="56">
        <v>330</v>
      </c>
      <c r="DU67" s="55">
        <v>24</v>
      </c>
      <c r="DV67" s="56">
        <v>338</v>
      </c>
      <c r="DW67" s="55">
        <v>28</v>
      </c>
      <c r="DX67" s="56">
        <v>335</v>
      </c>
      <c r="DY67" s="55">
        <v>16</v>
      </c>
      <c r="DZ67" s="56">
        <v>338</v>
      </c>
      <c r="EA67" s="55">
        <v>19</v>
      </c>
      <c r="EB67" s="56">
        <v>310</v>
      </c>
      <c r="EC67" s="55">
        <v>16</v>
      </c>
      <c r="ED67" s="56">
        <v>315</v>
      </c>
      <c r="EE67" s="55">
        <v>15</v>
      </c>
      <c r="EF67" s="56">
        <v>325</v>
      </c>
      <c r="EG67" s="55">
        <v>21</v>
      </c>
      <c r="EH67" s="56">
        <v>340</v>
      </c>
      <c r="EI67" s="55">
        <v>47</v>
      </c>
      <c r="EJ67" s="56">
        <v>350</v>
      </c>
      <c r="EK67" s="55">
        <v>22</v>
      </c>
      <c r="EL67" s="56">
        <v>340</v>
      </c>
      <c r="EM67" s="55">
        <v>23</v>
      </c>
      <c r="EN67" s="56">
        <v>340</v>
      </c>
      <c r="EO67" s="55">
        <v>18</v>
      </c>
      <c r="EP67" s="56">
        <v>335</v>
      </c>
      <c r="EQ67" s="55">
        <v>22</v>
      </c>
      <c r="ER67" s="56">
        <v>320</v>
      </c>
      <c r="ES67" s="55">
        <v>19</v>
      </c>
      <c r="ET67" s="56">
        <v>355</v>
      </c>
      <c r="EU67" s="55">
        <v>30</v>
      </c>
      <c r="EV67" s="56">
        <v>360</v>
      </c>
      <c r="EW67" s="55">
        <v>14</v>
      </c>
      <c r="EX67" s="56">
        <v>370</v>
      </c>
      <c r="EY67" s="55">
        <v>30</v>
      </c>
      <c r="EZ67" s="56">
        <v>393</v>
      </c>
      <c r="FA67" s="55">
        <v>16</v>
      </c>
      <c r="FB67" s="56">
        <v>390</v>
      </c>
      <c r="FC67" s="55">
        <v>18</v>
      </c>
      <c r="FD67" s="56">
        <v>363</v>
      </c>
      <c r="FE67" s="55">
        <v>22</v>
      </c>
      <c r="FF67" s="56">
        <v>390</v>
      </c>
      <c r="FG67" s="55">
        <v>15</v>
      </c>
      <c r="FH67" s="56">
        <v>380</v>
      </c>
      <c r="FI67" s="55">
        <v>27</v>
      </c>
      <c r="FJ67" s="56">
        <v>345</v>
      </c>
      <c r="FK67" s="55">
        <v>23</v>
      </c>
      <c r="FL67" s="56">
        <v>380</v>
      </c>
      <c r="FM67" s="55">
        <v>26</v>
      </c>
      <c r="FN67" s="56">
        <v>413</v>
      </c>
      <c r="FO67" s="55">
        <v>26</v>
      </c>
      <c r="FP67" s="56">
        <v>393</v>
      </c>
      <c r="FQ67" s="55">
        <v>13</v>
      </c>
      <c r="FR67" s="56">
        <v>380</v>
      </c>
      <c r="FS67" s="55">
        <v>10</v>
      </c>
      <c r="FT67" s="56">
        <v>415</v>
      </c>
      <c r="FU67" s="55">
        <v>34</v>
      </c>
      <c r="FV67" s="56">
        <v>410</v>
      </c>
      <c r="FW67" s="55">
        <v>22</v>
      </c>
      <c r="FX67" s="56">
        <v>390</v>
      </c>
      <c r="FY67" s="55">
        <v>14</v>
      </c>
      <c r="FZ67" s="56">
        <v>400</v>
      </c>
      <c r="GA67" s="55">
        <v>15</v>
      </c>
      <c r="GB67" s="56">
        <v>420</v>
      </c>
      <c r="GC67" s="55">
        <v>24</v>
      </c>
      <c r="GD67" s="56">
        <v>423</v>
      </c>
      <c r="GE67" s="55">
        <v>23</v>
      </c>
      <c r="GF67" s="56">
        <v>395</v>
      </c>
      <c r="GG67" s="55">
        <v>13</v>
      </c>
      <c r="GH67" s="56">
        <v>420</v>
      </c>
      <c r="GI67" s="55">
        <v>13</v>
      </c>
      <c r="GJ67" s="56">
        <v>450</v>
      </c>
      <c r="GK67" s="55">
        <v>16</v>
      </c>
      <c r="GL67" s="56">
        <v>430</v>
      </c>
      <c r="GM67" s="55">
        <v>17</v>
      </c>
      <c r="GN67" s="56">
        <v>440</v>
      </c>
      <c r="GO67" s="55">
        <v>19</v>
      </c>
      <c r="GP67" s="56">
        <v>430</v>
      </c>
      <c r="GQ67" s="55">
        <v>12</v>
      </c>
      <c r="GR67" s="56">
        <v>440</v>
      </c>
      <c r="GS67" s="55">
        <v>6</v>
      </c>
      <c r="GT67" s="56">
        <v>448</v>
      </c>
      <c r="GU67" s="55">
        <v>6</v>
      </c>
      <c r="GV67" s="56">
        <v>470</v>
      </c>
      <c r="GW67" s="55">
        <v>12</v>
      </c>
      <c r="GX67" s="56">
        <v>488</v>
      </c>
      <c r="GY67" s="55">
        <v>19</v>
      </c>
      <c r="GZ67" s="56">
        <v>500</v>
      </c>
      <c r="HA67">
        <v>13</v>
      </c>
      <c r="HB67" s="56">
        <v>575</v>
      </c>
      <c r="HC67">
        <v>12</v>
      </c>
      <c r="HD67" s="56">
        <v>505</v>
      </c>
      <c r="HE67">
        <v>10</v>
      </c>
      <c r="HF67" s="56">
        <v>515</v>
      </c>
    </row>
    <row r="68" spans="1:214" x14ac:dyDescent="0.25">
      <c r="A68" s="53"/>
      <c r="B68" s="54" t="s">
        <v>806</v>
      </c>
      <c r="C68" s="55">
        <v>125</v>
      </c>
      <c r="D68" s="56">
        <v>150</v>
      </c>
      <c r="E68" s="55">
        <v>125</v>
      </c>
      <c r="F68" s="56">
        <v>155</v>
      </c>
      <c r="G68" s="55">
        <v>121</v>
      </c>
      <c r="H68" s="56">
        <v>155</v>
      </c>
      <c r="I68" s="55">
        <v>122</v>
      </c>
      <c r="J68" s="56">
        <v>160</v>
      </c>
      <c r="K68" s="55">
        <v>151</v>
      </c>
      <c r="L68" s="56">
        <v>160</v>
      </c>
      <c r="M68" s="55">
        <v>141</v>
      </c>
      <c r="N68" s="56">
        <v>160</v>
      </c>
      <c r="O68" s="55">
        <v>120</v>
      </c>
      <c r="P68" s="56">
        <v>155</v>
      </c>
      <c r="Q68" s="55">
        <v>124</v>
      </c>
      <c r="R68" s="56">
        <v>160</v>
      </c>
      <c r="S68" s="55">
        <v>115</v>
      </c>
      <c r="T68" s="56">
        <v>165</v>
      </c>
      <c r="U68" s="55">
        <v>124</v>
      </c>
      <c r="V68" s="56">
        <v>165</v>
      </c>
      <c r="W68" s="55">
        <v>117</v>
      </c>
      <c r="X68" s="56">
        <v>170</v>
      </c>
      <c r="Y68" s="55">
        <v>109</v>
      </c>
      <c r="Z68" s="56">
        <v>165</v>
      </c>
      <c r="AA68" s="55">
        <v>126</v>
      </c>
      <c r="AB68" s="56">
        <v>170</v>
      </c>
      <c r="AC68" s="55">
        <v>119</v>
      </c>
      <c r="AD68" s="56">
        <v>175</v>
      </c>
      <c r="AE68" s="55">
        <v>106</v>
      </c>
      <c r="AF68" s="56">
        <v>175</v>
      </c>
      <c r="AG68" s="55">
        <v>113</v>
      </c>
      <c r="AH68" s="56">
        <v>180</v>
      </c>
      <c r="AI68" s="55">
        <v>119</v>
      </c>
      <c r="AJ68" s="56">
        <v>170</v>
      </c>
      <c r="AK68" s="55">
        <v>117</v>
      </c>
      <c r="AL68" s="56">
        <v>175</v>
      </c>
      <c r="AM68" s="55">
        <v>100</v>
      </c>
      <c r="AN68" s="56">
        <v>175</v>
      </c>
      <c r="AO68" s="55">
        <v>127</v>
      </c>
      <c r="AP68" s="56">
        <v>175</v>
      </c>
      <c r="AQ68" s="55">
        <v>103</v>
      </c>
      <c r="AR68" s="56">
        <v>175</v>
      </c>
      <c r="AS68" s="55">
        <v>128</v>
      </c>
      <c r="AT68" s="56">
        <v>173</v>
      </c>
      <c r="AU68" s="55">
        <v>114</v>
      </c>
      <c r="AV68" s="56">
        <v>170</v>
      </c>
      <c r="AW68" s="55">
        <v>123</v>
      </c>
      <c r="AX68" s="56">
        <v>185</v>
      </c>
      <c r="AY68" s="55">
        <v>116</v>
      </c>
      <c r="AZ68" s="56">
        <v>180</v>
      </c>
      <c r="BA68" s="55">
        <v>103</v>
      </c>
      <c r="BB68" s="56">
        <v>180</v>
      </c>
      <c r="BC68" s="55">
        <v>97</v>
      </c>
      <c r="BD68" s="56">
        <v>185</v>
      </c>
      <c r="BE68" s="55">
        <v>121</v>
      </c>
      <c r="BF68" s="56">
        <v>185</v>
      </c>
      <c r="BG68" s="55">
        <v>84</v>
      </c>
      <c r="BH68" s="56">
        <v>185</v>
      </c>
      <c r="BI68" s="55">
        <v>81</v>
      </c>
      <c r="BJ68" s="56">
        <v>195</v>
      </c>
      <c r="BK68" s="55">
        <v>82</v>
      </c>
      <c r="BL68" s="56">
        <v>190</v>
      </c>
      <c r="BM68" s="55">
        <v>102</v>
      </c>
      <c r="BN68" s="56">
        <v>200</v>
      </c>
      <c r="BO68" s="55">
        <v>85</v>
      </c>
      <c r="BP68" s="56">
        <v>195</v>
      </c>
      <c r="BQ68" s="55">
        <v>95</v>
      </c>
      <c r="BR68" s="56">
        <v>210</v>
      </c>
      <c r="BS68" s="55">
        <v>73</v>
      </c>
      <c r="BT68" s="56">
        <v>210</v>
      </c>
      <c r="BU68" s="55">
        <v>69</v>
      </c>
      <c r="BV68" s="56">
        <v>220</v>
      </c>
      <c r="BW68" s="55">
        <v>66</v>
      </c>
      <c r="BX68" s="56">
        <v>230</v>
      </c>
      <c r="BY68" s="55">
        <v>72</v>
      </c>
      <c r="BZ68" s="56">
        <v>250</v>
      </c>
      <c r="CA68" s="55">
        <v>85</v>
      </c>
      <c r="CB68" s="56">
        <v>250</v>
      </c>
      <c r="CC68" s="55">
        <v>92</v>
      </c>
      <c r="CD68" s="56">
        <v>250</v>
      </c>
      <c r="CE68" s="55">
        <v>62</v>
      </c>
      <c r="CF68" s="56">
        <v>250</v>
      </c>
      <c r="CG68" s="55">
        <v>83</v>
      </c>
      <c r="CH68" s="56">
        <v>250</v>
      </c>
      <c r="CI68" s="55">
        <v>66</v>
      </c>
      <c r="CJ68" s="56">
        <v>260</v>
      </c>
      <c r="CK68" s="55">
        <v>63</v>
      </c>
      <c r="CL68" s="56">
        <v>270</v>
      </c>
      <c r="CM68" s="55">
        <v>61</v>
      </c>
      <c r="CN68" s="56">
        <v>260</v>
      </c>
      <c r="CO68" s="55">
        <v>86</v>
      </c>
      <c r="CP68" s="56">
        <v>270</v>
      </c>
      <c r="CQ68" s="55">
        <v>79</v>
      </c>
      <c r="CR68" s="56">
        <v>275</v>
      </c>
      <c r="CS68" s="55">
        <v>84</v>
      </c>
      <c r="CT68" s="56">
        <v>280</v>
      </c>
      <c r="CU68" s="55">
        <v>90</v>
      </c>
      <c r="CV68" s="56">
        <v>283</v>
      </c>
      <c r="CW68" s="55">
        <v>111</v>
      </c>
      <c r="CX68" s="56">
        <v>280</v>
      </c>
      <c r="CY68" s="55">
        <v>96</v>
      </c>
      <c r="CZ68" s="56">
        <v>275</v>
      </c>
      <c r="DA68" s="55">
        <v>136</v>
      </c>
      <c r="DB68" s="56">
        <v>270</v>
      </c>
      <c r="DC68" s="55">
        <v>118</v>
      </c>
      <c r="DD68" s="56">
        <v>280</v>
      </c>
      <c r="DE68" s="55">
        <v>109</v>
      </c>
      <c r="DF68" s="56">
        <v>280</v>
      </c>
      <c r="DG68" s="55">
        <v>106</v>
      </c>
      <c r="DH68" s="56">
        <v>290</v>
      </c>
      <c r="DI68" s="55">
        <v>162</v>
      </c>
      <c r="DJ68" s="56">
        <v>285</v>
      </c>
      <c r="DK68" s="55">
        <v>134</v>
      </c>
      <c r="DL68" s="56">
        <v>290</v>
      </c>
      <c r="DM68" s="55">
        <v>178</v>
      </c>
      <c r="DN68" s="56">
        <v>290</v>
      </c>
      <c r="DO68" s="55">
        <v>124</v>
      </c>
      <c r="DP68" s="56">
        <v>290</v>
      </c>
      <c r="DQ68" s="55">
        <v>148</v>
      </c>
      <c r="DR68" s="56">
        <v>290</v>
      </c>
      <c r="DS68" s="55">
        <v>148</v>
      </c>
      <c r="DT68" s="56">
        <v>300</v>
      </c>
      <c r="DU68" s="55">
        <v>181</v>
      </c>
      <c r="DV68" s="56">
        <v>300</v>
      </c>
      <c r="DW68" s="55">
        <v>136</v>
      </c>
      <c r="DX68" s="56">
        <v>295</v>
      </c>
      <c r="DY68" s="55">
        <v>181</v>
      </c>
      <c r="DZ68" s="56">
        <v>300</v>
      </c>
      <c r="EA68" s="55">
        <v>142</v>
      </c>
      <c r="EB68" s="56">
        <v>295</v>
      </c>
      <c r="EC68" s="55">
        <v>134</v>
      </c>
      <c r="ED68" s="56">
        <v>300</v>
      </c>
      <c r="EE68" s="55">
        <v>171</v>
      </c>
      <c r="EF68" s="56">
        <v>300</v>
      </c>
      <c r="EG68" s="55">
        <v>201</v>
      </c>
      <c r="EH68" s="56">
        <v>300</v>
      </c>
      <c r="EI68" s="55">
        <v>179</v>
      </c>
      <c r="EJ68" s="56">
        <v>300</v>
      </c>
      <c r="EK68" s="55">
        <v>180</v>
      </c>
      <c r="EL68" s="56">
        <v>310</v>
      </c>
      <c r="EM68" s="55">
        <v>188</v>
      </c>
      <c r="EN68" s="56">
        <v>310</v>
      </c>
      <c r="EO68" s="55">
        <v>164</v>
      </c>
      <c r="EP68" s="56">
        <v>315</v>
      </c>
      <c r="EQ68" s="55">
        <v>170</v>
      </c>
      <c r="ER68" s="56">
        <v>310</v>
      </c>
      <c r="ES68" s="55">
        <v>164</v>
      </c>
      <c r="ET68" s="56">
        <v>320</v>
      </c>
      <c r="EU68" s="55">
        <v>174</v>
      </c>
      <c r="EV68" s="56">
        <v>320</v>
      </c>
      <c r="EW68" s="55">
        <v>177</v>
      </c>
      <c r="EX68" s="56">
        <v>325</v>
      </c>
      <c r="EY68" s="55">
        <v>146</v>
      </c>
      <c r="EZ68" s="56">
        <v>330</v>
      </c>
      <c r="FA68" s="55">
        <v>149</v>
      </c>
      <c r="FB68" s="56">
        <v>330</v>
      </c>
      <c r="FC68" s="55">
        <v>148</v>
      </c>
      <c r="FD68" s="56">
        <v>340</v>
      </c>
      <c r="FE68" s="55">
        <v>170</v>
      </c>
      <c r="FF68" s="56">
        <v>340</v>
      </c>
      <c r="FG68" s="55">
        <v>134</v>
      </c>
      <c r="FH68" s="56">
        <v>340</v>
      </c>
      <c r="FI68" s="55">
        <v>161</v>
      </c>
      <c r="FJ68" s="56">
        <v>340</v>
      </c>
      <c r="FK68" s="55">
        <v>181</v>
      </c>
      <c r="FL68" s="56">
        <v>340</v>
      </c>
      <c r="FM68" s="55">
        <v>180</v>
      </c>
      <c r="FN68" s="56">
        <v>340</v>
      </c>
      <c r="FO68" s="55">
        <v>131</v>
      </c>
      <c r="FP68" s="56">
        <v>340</v>
      </c>
      <c r="FQ68" s="55">
        <v>111</v>
      </c>
      <c r="FR68" s="56">
        <v>330</v>
      </c>
      <c r="FS68" s="55">
        <v>149</v>
      </c>
      <c r="FT68" s="56">
        <v>340</v>
      </c>
      <c r="FU68" s="55">
        <v>155</v>
      </c>
      <c r="FV68" s="56">
        <v>340</v>
      </c>
      <c r="FW68" s="55">
        <v>187</v>
      </c>
      <c r="FX68" s="56">
        <v>340</v>
      </c>
      <c r="FY68" s="55">
        <v>153</v>
      </c>
      <c r="FZ68" s="56">
        <v>333</v>
      </c>
      <c r="GA68" s="55">
        <v>140</v>
      </c>
      <c r="GB68" s="56">
        <v>340</v>
      </c>
      <c r="GC68" s="55">
        <v>180</v>
      </c>
      <c r="GD68" s="56">
        <v>340</v>
      </c>
      <c r="GE68" s="55">
        <v>177</v>
      </c>
      <c r="GF68" s="56">
        <v>350</v>
      </c>
      <c r="GG68" s="55">
        <v>157</v>
      </c>
      <c r="GH68" s="56">
        <v>350</v>
      </c>
      <c r="GI68" s="55">
        <v>163</v>
      </c>
      <c r="GJ68" s="56">
        <v>360</v>
      </c>
      <c r="GK68" s="55">
        <v>188</v>
      </c>
      <c r="GL68" s="56">
        <v>360</v>
      </c>
      <c r="GM68" s="55">
        <v>129</v>
      </c>
      <c r="GN68" s="56">
        <v>385</v>
      </c>
      <c r="GO68" s="55">
        <v>134</v>
      </c>
      <c r="GP68" s="56">
        <v>400</v>
      </c>
      <c r="GQ68" s="55">
        <v>123</v>
      </c>
      <c r="GR68" s="56">
        <v>420</v>
      </c>
      <c r="GS68" s="55">
        <v>122</v>
      </c>
      <c r="GT68" s="56">
        <v>430</v>
      </c>
      <c r="GU68" s="55">
        <v>115</v>
      </c>
      <c r="GV68" s="56">
        <v>450</v>
      </c>
      <c r="GW68" s="55">
        <v>115</v>
      </c>
      <c r="GX68" s="56">
        <v>450</v>
      </c>
      <c r="GY68" s="55">
        <v>90</v>
      </c>
      <c r="GZ68" s="56">
        <v>450</v>
      </c>
      <c r="HA68">
        <v>120</v>
      </c>
      <c r="HB68" s="56">
        <v>450</v>
      </c>
      <c r="HC68">
        <v>114</v>
      </c>
      <c r="HD68" s="56">
        <v>450</v>
      </c>
      <c r="HE68">
        <v>117</v>
      </c>
      <c r="HF68" s="56">
        <v>460</v>
      </c>
    </row>
    <row r="69" spans="1:214" x14ac:dyDescent="0.25">
      <c r="A69" s="53"/>
      <c r="B69" s="54" t="s">
        <v>807</v>
      </c>
      <c r="C69" s="55">
        <v>97</v>
      </c>
      <c r="D69" s="56">
        <v>130</v>
      </c>
      <c r="E69" s="55">
        <v>125</v>
      </c>
      <c r="F69" s="56">
        <v>140</v>
      </c>
      <c r="G69" s="55">
        <v>121</v>
      </c>
      <c r="H69" s="56">
        <v>140</v>
      </c>
      <c r="I69" s="55">
        <v>132</v>
      </c>
      <c r="J69" s="56">
        <v>135</v>
      </c>
      <c r="K69" s="55">
        <v>128</v>
      </c>
      <c r="L69" s="56">
        <v>140</v>
      </c>
      <c r="M69" s="55">
        <v>114</v>
      </c>
      <c r="N69" s="56">
        <v>145</v>
      </c>
      <c r="O69" s="55">
        <v>108</v>
      </c>
      <c r="P69" s="56">
        <v>145</v>
      </c>
      <c r="Q69" s="55">
        <v>128</v>
      </c>
      <c r="R69" s="56">
        <v>145</v>
      </c>
      <c r="S69" s="55">
        <v>117</v>
      </c>
      <c r="T69" s="56">
        <v>145</v>
      </c>
      <c r="U69" s="55">
        <v>160</v>
      </c>
      <c r="V69" s="56">
        <v>150</v>
      </c>
      <c r="W69" s="55">
        <v>109</v>
      </c>
      <c r="X69" s="56">
        <v>150</v>
      </c>
      <c r="Y69" s="55">
        <v>118</v>
      </c>
      <c r="Z69" s="56">
        <v>150</v>
      </c>
      <c r="AA69" s="55">
        <v>126</v>
      </c>
      <c r="AB69" s="56">
        <v>150</v>
      </c>
      <c r="AC69" s="55">
        <v>125</v>
      </c>
      <c r="AD69" s="56">
        <v>155</v>
      </c>
      <c r="AE69" s="55">
        <v>114</v>
      </c>
      <c r="AF69" s="56">
        <v>155</v>
      </c>
      <c r="AG69" s="55">
        <v>117</v>
      </c>
      <c r="AH69" s="56">
        <v>155</v>
      </c>
      <c r="AI69" s="55">
        <v>95</v>
      </c>
      <c r="AJ69" s="56">
        <v>155</v>
      </c>
      <c r="AK69" s="55">
        <v>132</v>
      </c>
      <c r="AL69" s="56">
        <v>155</v>
      </c>
      <c r="AM69" s="55">
        <v>109</v>
      </c>
      <c r="AN69" s="56">
        <v>155</v>
      </c>
      <c r="AO69" s="55">
        <v>135</v>
      </c>
      <c r="AP69" s="56">
        <v>155</v>
      </c>
      <c r="AQ69" s="55">
        <v>114</v>
      </c>
      <c r="AR69" s="56">
        <v>160</v>
      </c>
      <c r="AS69" s="55">
        <v>126</v>
      </c>
      <c r="AT69" s="56">
        <v>160</v>
      </c>
      <c r="AU69" s="55">
        <v>116</v>
      </c>
      <c r="AV69" s="56">
        <v>160</v>
      </c>
      <c r="AW69" s="55">
        <v>131</v>
      </c>
      <c r="AX69" s="56">
        <v>160</v>
      </c>
      <c r="AY69" s="55">
        <v>124</v>
      </c>
      <c r="AZ69" s="56">
        <v>165</v>
      </c>
      <c r="BA69" s="55">
        <v>111</v>
      </c>
      <c r="BB69" s="56">
        <v>160</v>
      </c>
      <c r="BC69" s="55">
        <v>113</v>
      </c>
      <c r="BD69" s="56">
        <v>165</v>
      </c>
      <c r="BE69" s="55">
        <v>112</v>
      </c>
      <c r="BF69" s="56">
        <v>170</v>
      </c>
      <c r="BG69" s="55">
        <v>129</v>
      </c>
      <c r="BH69" s="56">
        <v>170</v>
      </c>
      <c r="BI69" s="55">
        <v>118</v>
      </c>
      <c r="BJ69" s="56">
        <v>170</v>
      </c>
      <c r="BK69" s="55">
        <v>100</v>
      </c>
      <c r="BL69" s="56">
        <v>170</v>
      </c>
      <c r="BM69" s="55">
        <v>105</v>
      </c>
      <c r="BN69" s="56">
        <v>175</v>
      </c>
      <c r="BO69" s="55">
        <v>101</v>
      </c>
      <c r="BP69" s="56">
        <v>180</v>
      </c>
      <c r="BQ69" s="55">
        <v>90</v>
      </c>
      <c r="BR69" s="56">
        <v>180</v>
      </c>
      <c r="BS69" s="55">
        <v>101</v>
      </c>
      <c r="BT69" s="56">
        <v>185</v>
      </c>
      <c r="BU69" s="55">
        <v>118</v>
      </c>
      <c r="BV69" s="56">
        <v>190</v>
      </c>
      <c r="BW69" s="55">
        <v>74</v>
      </c>
      <c r="BX69" s="56">
        <v>190</v>
      </c>
      <c r="BY69" s="55">
        <v>94</v>
      </c>
      <c r="BZ69" s="56">
        <v>210</v>
      </c>
      <c r="CA69" s="55">
        <v>93</v>
      </c>
      <c r="CB69" s="56">
        <v>215</v>
      </c>
      <c r="CC69" s="55">
        <v>97</v>
      </c>
      <c r="CD69" s="56">
        <v>220</v>
      </c>
      <c r="CE69" s="55">
        <v>102</v>
      </c>
      <c r="CF69" s="56">
        <v>220</v>
      </c>
      <c r="CG69" s="55">
        <v>96</v>
      </c>
      <c r="CH69" s="56">
        <v>220</v>
      </c>
      <c r="CI69" s="55">
        <v>87</v>
      </c>
      <c r="CJ69" s="56">
        <v>220</v>
      </c>
      <c r="CK69" s="55">
        <v>86</v>
      </c>
      <c r="CL69" s="56">
        <v>220</v>
      </c>
      <c r="CM69" s="55">
        <v>110</v>
      </c>
      <c r="CN69" s="56">
        <v>238</v>
      </c>
      <c r="CO69" s="55">
        <v>103</v>
      </c>
      <c r="CP69" s="56">
        <v>235</v>
      </c>
      <c r="CQ69" s="55">
        <v>119</v>
      </c>
      <c r="CR69" s="56">
        <v>240</v>
      </c>
      <c r="CS69" s="55">
        <v>106</v>
      </c>
      <c r="CT69" s="56">
        <v>240</v>
      </c>
      <c r="CU69" s="55">
        <v>111</v>
      </c>
      <c r="CV69" s="56">
        <v>245</v>
      </c>
      <c r="CW69" s="55">
        <v>133</v>
      </c>
      <c r="CX69" s="56">
        <v>250</v>
      </c>
      <c r="CY69" s="55">
        <v>111</v>
      </c>
      <c r="CZ69" s="56">
        <v>250</v>
      </c>
      <c r="DA69" s="55">
        <v>140</v>
      </c>
      <c r="DB69" s="56">
        <v>243</v>
      </c>
      <c r="DC69" s="55">
        <v>118</v>
      </c>
      <c r="DD69" s="56">
        <v>240</v>
      </c>
      <c r="DE69" s="55">
        <v>135</v>
      </c>
      <c r="DF69" s="56">
        <v>245</v>
      </c>
      <c r="DG69" s="55">
        <v>127</v>
      </c>
      <c r="DH69" s="56">
        <v>250</v>
      </c>
      <c r="DI69" s="55">
        <v>126</v>
      </c>
      <c r="DJ69" s="56">
        <v>250</v>
      </c>
      <c r="DK69" s="55">
        <v>145</v>
      </c>
      <c r="DL69" s="56">
        <v>250</v>
      </c>
      <c r="DM69" s="55">
        <v>126</v>
      </c>
      <c r="DN69" s="56">
        <v>250</v>
      </c>
      <c r="DO69" s="55">
        <v>112</v>
      </c>
      <c r="DP69" s="56">
        <v>260</v>
      </c>
      <c r="DQ69" s="55">
        <v>113</v>
      </c>
      <c r="DR69" s="56">
        <v>260</v>
      </c>
      <c r="DS69" s="55">
        <v>129</v>
      </c>
      <c r="DT69" s="56">
        <v>265</v>
      </c>
      <c r="DU69" s="55">
        <v>150</v>
      </c>
      <c r="DV69" s="56">
        <v>270</v>
      </c>
      <c r="DW69" s="55">
        <v>168</v>
      </c>
      <c r="DX69" s="56">
        <v>270</v>
      </c>
      <c r="DY69" s="55">
        <v>157</v>
      </c>
      <c r="DZ69" s="56">
        <v>260</v>
      </c>
      <c r="EA69" s="55">
        <v>157</v>
      </c>
      <c r="EB69" s="56">
        <v>265</v>
      </c>
      <c r="EC69" s="55">
        <v>150</v>
      </c>
      <c r="ED69" s="56">
        <v>270</v>
      </c>
      <c r="EE69" s="55">
        <v>146</v>
      </c>
      <c r="EF69" s="56">
        <v>280</v>
      </c>
      <c r="EG69" s="55">
        <v>137</v>
      </c>
      <c r="EH69" s="56">
        <v>280</v>
      </c>
      <c r="EI69" s="55">
        <v>149</v>
      </c>
      <c r="EJ69" s="56">
        <v>280</v>
      </c>
      <c r="EK69" s="55">
        <v>207</v>
      </c>
      <c r="EL69" s="56">
        <v>290</v>
      </c>
      <c r="EM69" s="55">
        <v>165</v>
      </c>
      <c r="EN69" s="56">
        <v>290</v>
      </c>
      <c r="EO69" s="55">
        <v>170</v>
      </c>
      <c r="EP69" s="56">
        <v>290</v>
      </c>
      <c r="EQ69" s="55">
        <v>137</v>
      </c>
      <c r="ER69" s="56">
        <v>300</v>
      </c>
      <c r="ES69" s="55">
        <v>136</v>
      </c>
      <c r="ET69" s="56">
        <v>303</v>
      </c>
      <c r="EU69" s="55">
        <v>141</v>
      </c>
      <c r="EV69" s="56">
        <v>300</v>
      </c>
      <c r="EW69" s="55">
        <v>164</v>
      </c>
      <c r="EX69" s="56">
        <v>310</v>
      </c>
      <c r="EY69" s="55">
        <v>183</v>
      </c>
      <c r="EZ69" s="56">
        <v>310</v>
      </c>
      <c r="FA69" s="55">
        <v>174</v>
      </c>
      <c r="FB69" s="56">
        <v>320</v>
      </c>
      <c r="FC69" s="55">
        <v>131</v>
      </c>
      <c r="FD69" s="56">
        <v>310</v>
      </c>
      <c r="FE69" s="55">
        <v>185</v>
      </c>
      <c r="FF69" s="56">
        <v>320</v>
      </c>
      <c r="FG69" s="55">
        <v>179</v>
      </c>
      <c r="FH69" s="56">
        <v>320</v>
      </c>
      <c r="FI69" s="55">
        <v>192</v>
      </c>
      <c r="FJ69" s="56">
        <v>320</v>
      </c>
      <c r="FK69" s="55">
        <v>174</v>
      </c>
      <c r="FL69" s="56">
        <v>320</v>
      </c>
      <c r="FM69" s="55">
        <v>208</v>
      </c>
      <c r="FN69" s="56">
        <v>323</v>
      </c>
      <c r="FO69" s="55">
        <v>196</v>
      </c>
      <c r="FP69" s="56">
        <v>320</v>
      </c>
      <c r="FQ69" s="55">
        <v>153</v>
      </c>
      <c r="FR69" s="56">
        <v>320</v>
      </c>
      <c r="FS69" s="55">
        <v>181</v>
      </c>
      <c r="FT69" s="56">
        <v>320</v>
      </c>
      <c r="FU69" s="55">
        <v>220</v>
      </c>
      <c r="FV69" s="56">
        <v>320</v>
      </c>
      <c r="FW69" s="55">
        <v>227</v>
      </c>
      <c r="FX69" s="56">
        <v>320</v>
      </c>
      <c r="FY69" s="55">
        <v>167</v>
      </c>
      <c r="FZ69" s="56">
        <v>315</v>
      </c>
      <c r="GA69" s="55">
        <v>200</v>
      </c>
      <c r="GB69" s="56">
        <v>310</v>
      </c>
      <c r="GC69" s="55">
        <v>233</v>
      </c>
      <c r="GD69" s="56">
        <v>320</v>
      </c>
      <c r="GE69" s="55">
        <v>198</v>
      </c>
      <c r="GF69" s="56">
        <v>330</v>
      </c>
      <c r="GG69" s="55">
        <v>207</v>
      </c>
      <c r="GH69" s="56">
        <v>329</v>
      </c>
      <c r="GI69" s="55">
        <v>159</v>
      </c>
      <c r="GJ69" s="56">
        <v>330</v>
      </c>
      <c r="GK69" s="55">
        <v>186</v>
      </c>
      <c r="GL69" s="56">
        <v>340</v>
      </c>
      <c r="GM69" s="55">
        <v>140</v>
      </c>
      <c r="GN69" s="56">
        <v>360</v>
      </c>
      <c r="GO69" s="55">
        <v>140</v>
      </c>
      <c r="GP69" s="56">
        <v>380</v>
      </c>
      <c r="GQ69" s="55">
        <v>160</v>
      </c>
      <c r="GR69" s="56">
        <v>380</v>
      </c>
      <c r="GS69" s="55">
        <v>143</v>
      </c>
      <c r="GT69" s="56">
        <v>400</v>
      </c>
      <c r="GU69" s="55">
        <v>129</v>
      </c>
      <c r="GV69" s="56">
        <v>420</v>
      </c>
      <c r="GW69" s="55">
        <v>146</v>
      </c>
      <c r="GX69" s="56">
        <v>420</v>
      </c>
      <c r="GY69" s="55">
        <v>147</v>
      </c>
      <c r="GZ69" s="56">
        <v>420</v>
      </c>
      <c r="HA69">
        <v>146</v>
      </c>
      <c r="HB69" s="56">
        <v>420</v>
      </c>
      <c r="HC69">
        <v>154</v>
      </c>
      <c r="HD69" s="56">
        <v>410</v>
      </c>
      <c r="HE69">
        <v>138</v>
      </c>
      <c r="HF69" s="56">
        <v>410</v>
      </c>
    </row>
    <row r="70" spans="1:214" x14ac:dyDescent="0.25">
      <c r="A70" s="53"/>
      <c r="B70" s="54" t="s">
        <v>808</v>
      </c>
      <c r="C70" s="55">
        <v>239</v>
      </c>
      <c r="D70" s="56">
        <v>220</v>
      </c>
      <c r="E70" s="55">
        <v>271</v>
      </c>
      <c r="F70" s="56">
        <v>225</v>
      </c>
      <c r="G70" s="55">
        <v>249</v>
      </c>
      <c r="H70" s="56">
        <v>230</v>
      </c>
      <c r="I70" s="55">
        <v>347</v>
      </c>
      <c r="J70" s="56">
        <v>240</v>
      </c>
      <c r="K70" s="55">
        <v>285</v>
      </c>
      <c r="L70" s="56">
        <v>275</v>
      </c>
      <c r="M70" s="55">
        <v>310</v>
      </c>
      <c r="N70" s="56">
        <v>260</v>
      </c>
      <c r="O70" s="55">
        <v>272</v>
      </c>
      <c r="P70" s="56">
        <v>260</v>
      </c>
      <c r="Q70" s="55">
        <v>402</v>
      </c>
      <c r="R70" s="56">
        <v>260</v>
      </c>
      <c r="S70" s="55">
        <v>278</v>
      </c>
      <c r="T70" s="56">
        <v>283</v>
      </c>
      <c r="U70" s="55">
        <v>280</v>
      </c>
      <c r="V70" s="56">
        <v>255</v>
      </c>
      <c r="W70" s="55">
        <v>240</v>
      </c>
      <c r="X70" s="56">
        <v>270</v>
      </c>
      <c r="Y70" s="55">
        <v>346</v>
      </c>
      <c r="Z70" s="56">
        <v>260</v>
      </c>
      <c r="AA70" s="55">
        <v>263</v>
      </c>
      <c r="AB70" s="56">
        <v>275</v>
      </c>
      <c r="AC70" s="55">
        <v>295</v>
      </c>
      <c r="AD70" s="56">
        <v>275</v>
      </c>
      <c r="AE70" s="55">
        <v>272</v>
      </c>
      <c r="AF70" s="56">
        <v>273</v>
      </c>
      <c r="AG70" s="55">
        <v>435</v>
      </c>
      <c r="AH70" s="56">
        <v>280</v>
      </c>
      <c r="AI70" s="55">
        <v>271</v>
      </c>
      <c r="AJ70" s="56">
        <v>280</v>
      </c>
      <c r="AK70" s="55">
        <v>289</v>
      </c>
      <c r="AL70" s="56">
        <v>280</v>
      </c>
      <c r="AM70" s="55">
        <v>277</v>
      </c>
      <c r="AN70" s="56">
        <v>270</v>
      </c>
      <c r="AO70" s="55">
        <v>380</v>
      </c>
      <c r="AP70" s="56">
        <v>270</v>
      </c>
      <c r="AQ70" s="55">
        <v>254</v>
      </c>
      <c r="AR70" s="56">
        <v>280</v>
      </c>
      <c r="AS70" s="55">
        <v>271</v>
      </c>
      <c r="AT70" s="56">
        <v>290</v>
      </c>
      <c r="AU70" s="55">
        <v>266</v>
      </c>
      <c r="AV70" s="56">
        <v>280</v>
      </c>
      <c r="AW70" s="55">
        <v>379</v>
      </c>
      <c r="AX70" s="56">
        <v>280</v>
      </c>
      <c r="AY70" s="55">
        <v>291</v>
      </c>
      <c r="AZ70" s="56">
        <v>290</v>
      </c>
      <c r="BA70" s="55">
        <v>315</v>
      </c>
      <c r="BB70" s="56">
        <v>285</v>
      </c>
      <c r="BC70" s="55">
        <v>268</v>
      </c>
      <c r="BD70" s="56">
        <v>305</v>
      </c>
      <c r="BE70" s="55">
        <v>403</v>
      </c>
      <c r="BF70" s="56">
        <v>320</v>
      </c>
      <c r="BG70" s="55">
        <v>278</v>
      </c>
      <c r="BH70" s="56">
        <v>320</v>
      </c>
      <c r="BI70" s="55">
        <v>311</v>
      </c>
      <c r="BJ70" s="56">
        <v>320</v>
      </c>
      <c r="BK70" s="55">
        <v>241</v>
      </c>
      <c r="BL70" s="56">
        <v>340</v>
      </c>
      <c r="BM70" s="55">
        <v>346</v>
      </c>
      <c r="BN70" s="56">
        <v>360</v>
      </c>
      <c r="BO70" s="55">
        <v>260</v>
      </c>
      <c r="BP70" s="56">
        <v>350</v>
      </c>
      <c r="BQ70" s="55">
        <v>266</v>
      </c>
      <c r="BR70" s="56">
        <v>360</v>
      </c>
      <c r="BS70" s="55">
        <v>245</v>
      </c>
      <c r="BT70" s="56">
        <v>360</v>
      </c>
      <c r="BU70" s="55">
        <v>351</v>
      </c>
      <c r="BV70" s="56">
        <v>400</v>
      </c>
      <c r="BW70" s="55">
        <v>294</v>
      </c>
      <c r="BX70" s="56">
        <v>420</v>
      </c>
      <c r="BY70" s="55">
        <v>291</v>
      </c>
      <c r="BZ70" s="56">
        <v>400</v>
      </c>
      <c r="CA70" s="55">
        <v>225</v>
      </c>
      <c r="CB70" s="56">
        <v>400</v>
      </c>
      <c r="CC70" s="55">
        <v>320</v>
      </c>
      <c r="CD70" s="56">
        <v>400</v>
      </c>
      <c r="CE70" s="55">
        <v>230</v>
      </c>
      <c r="CF70" s="56">
        <v>420</v>
      </c>
      <c r="CG70" s="55">
        <v>318</v>
      </c>
      <c r="CH70" s="56">
        <v>410</v>
      </c>
      <c r="CI70" s="55">
        <v>254</v>
      </c>
      <c r="CJ70" s="56">
        <v>410</v>
      </c>
      <c r="CK70" s="55">
        <v>371</v>
      </c>
      <c r="CL70" s="56">
        <v>450</v>
      </c>
      <c r="CM70" s="55">
        <v>289</v>
      </c>
      <c r="CN70" s="56">
        <v>440</v>
      </c>
      <c r="CO70" s="55">
        <v>309</v>
      </c>
      <c r="CP70" s="56">
        <v>450</v>
      </c>
      <c r="CQ70" s="55">
        <v>291</v>
      </c>
      <c r="CR70" s="56">
        <v>450</v>
      </c>
      <c r="CS70" s="55">
        <v>389</v>
      </c>
      <c r="CT70" s="56">
        <v>455</v>
      </c>
      <c r="CU70" s="55">
        <v>296</v>
      </c>
      <c r="CV70" s="56">
        <v>460</v>
      </c>
      <c r="CW70" s="55">
        <v>362</v>
      </c>
      <c r="CX70" s="56">
        <v>480</v>
      </c>
      <c r="CY70" s="55">
        <v>320</v>
      </c>
      <c r="CZ70" s="56">
        <v>463</v>
      </c>
      <c r="DA70" s="55">
        <v>467</v>
      </c>
      <c r="DB70" s="56">
        <v>480</v>
      </c>
      <c r="DC70" s="55">
        <v>434</v>
      </c>
      <c r="DD70" s="56">
        <v>480</v>
      </c>
      <c r="DE70" s="55">
        <v>413</v>
      </c>
      <c r="DF70" s="56">
        <v>490</v>
      </c>
      <c r="DG70" s="55">
        <v>347</v>
      </c>
      <c r="DH70" s="56">
        <v>470</v>
      </c>
      <c r="DI70" s="55">
        <v>443</v>
      </c>
      <c r="DJ70" s="56">
        <v>480</v>
      </c>
      <c r="DK70" s="55">
        <v>398</v>
      </c>
      <c r="DL70" s="56">
        <v>500</v>
      </c>
      <c r="DM70" s="55">
        <v>515</v>
      </c>
      <c r="DN70" s="56">
        <v>490</v>
      </c>
      <c r="DO70" s="55">
        <v>432</v>
      </c>
      <c r="DP70" s="56">
        <v>480</v>
      </c>
      <c r="DQ70" s="55">
        <v>741</v>
      </c>
      <c r="DR70" s="56">
        <v>450</v>
      </c>
      <c r="DS70" s="55">
        <v>435</v>
      </c>
      <c r="DT70" s="56">
        <v>495</v>
      </c>
      <c r="DU70" s="55">
        <v>548</v>
      </c>
      <c r="DV70" s="56">
        <v>490</v>
      </c>
      <c r="DW70" s="55">
        <v>493</v>
      </c>
      <c r="DX70" s="56">
        <v>480</v>
      </c>
      <c r="DY70" s="55">
        <v>607</v>
      </c>
      <c r="DZ70" s="56">
        <v>490</v>
      </c>
      <c r="EA70" s="55">
        <v>527</v>
      </c>
      <c r="EB70" s="56">
        <v>480</v>
      </c>
      <c r="EC70" s="55">
        <v>615</v>
      </c>
      <c r="ED70" s="56">
        <v>500</v>
      </c>
      <c r="EE70" s="55">
        <v>582</v>
      </c>
      <c r="EF70" s="56">
        <v>490</v>
      </c>
      <c r="EG70" s="55">
        <v>831</v>
      </c>
      <c r="EH70" s="56">
        <v>500</v>
      </c>
      <c r="EI70" s="55">
        <v>525</v>
      </c>
      <c r="EJ70" s="56">
        <v>500</v>
      </c>
      <c r="EK70" s="55">
        <v>603</v>
      </c>
      <c r="EL70" s="56">
        <v>500</v>
      </c>
      <c r="EM70" s="55">
        <v>645</v>
      </c>
      <c r="EN70" s="56">
        <v>500</v>
      </c>
      <c r="EO70" s="55">
        <v>743</v>
      </c>
      <c r="EP70" s="56">
        <v>510</v>
      </c>
      <c r="EQ70" s="55">
        <v>516</v>
      </c>
      <c r="ER70" s="56">
        <v>520</v>
      </c>
      <c r="ES70" s="55">
        <v>610</v>
      </c>
      <c r="ET70" s="56">
        <v>520</v>
      </c>
      <c r="EU70" s="55">
        <v>498</v>
      </c>
      <c r="EV70" s="56">
        <v>530</v>
      </c>
      <c r="EW70" s="55">
        <v>687</v>
      </c>
      <c r="EX70" s="56">
        <v>530</v>
      </c>
      <c r="EY70" s="55">
        <v>522</v>
      </c>
      <c r="EZ70" s="56">
        <v>540</v>
      </c>
      <c r="FA70" s="55">
        <v>595</v>
      </c>
      <c r="FB70" s="56">
        <v>550</v>
      </c>
      <c r="FC70" s="55">
        <v>563</v>
      </c>
      <c r="FD70" s="56">
        <v>550</v>
      </c>
      <c r="FE70" s="55">
        <v>721</v>
      </c>
      <c r="FF70" s="56">
        <v>550</v>
      </c>
      <c r="FG70" s="55">
        <v>467</v>
      </c>
      <c r="FH70" s="56">
        <v>550</v>
      </c>
      <c r="FI70" s="55">
        <v>599</v>
      </c>
      <c r="FJ70" s="56">
        <v>540</v>
      </c>
      <c r="FK70" s="55">
        <v>625</v>
      </c>
      <c r="FL70" s="56">
        <v>550</v>
      </c>
      <c r="FM70" s="55">
        <v>655</v>
      </c>
      <c r="FN70" s="56">
        <v>550</v>
      </c>
      <c r="FO70" s="55">
        <v>545</v>
      </c>
      <c r="FP70" s="56">
        <v>510</v>
      </c>
      <c r="FQ70" s="55">
        <v>546</v>
      </c>
      <c r="FR70" s="56">
        <v>500</v>
      </c>
      <c r="FS70" s="55">
        <v>801</v>
      </c>
      <c r="FT70" s="56">
        <v>480</v>
      </c>
      <c r="FU70" s="55">
        <v>997</v>
      </c>
      <c r="FV70" s="56">
        <v>475</v>
      </c>
      <c r="FW70" s="55">
        <v>727</v>
      </c>
      <c r="FX70" s="56">
        <v>470</v>
      </c>
      <c r="FY70" s="55">
        <v>653</v>
      </c>
      <c r="FZ70" s="56">
        <v>485</v>
      </c>
      <c r="GA70" s="55">
        <v>685</v>
      </c>
      <c r="GB70" s="56">
        <v>500</v>
      </c>
      <c r="GC70" s="55">
        <v>857</v>
      </c>
      <c r="GD70" s="56">
        <v>500</v>
      </c>
      <c r="GE70" s="55">
        <v>649</v>
      </c>
      <c r="GF70" s="56">
        <v>520</v>
      </c>
      <c r="GG70" s="55">
        <v>748</v>
      </c>
      <c r="GH70" s="56">
        <v>550</v>
      </c>
      <c r="GI70" s="55">
        <v>576</v>
      </c>
      <c r="GJ70" s="56">
        <v>580</v>
      </c>
      <c r="GK70" s="55">
        <v>673</v>
      </c>
      <c r="GL70" s="56">
        <v>600</v>
      </c>
      <c r="GM70" s="55">
        <v>521</v>
      </c>
      <c r="GN70" s="56">
        <v>625</v>
      </c>
      <c r="GO70" s="55">
        <v>622</v>
      </c>
      <c r="GP70" s="56">
        <v>640</v>
      </c>
      <c r="GQ70" s="55">
        <v>491</v>
      </c>
      <c r="GR70" s="56">
        <v>650</v>
      </c>
      <c r="GS70" s="55">
        <v>563</v>
      </c>
      <c r="GT70" s="56">
        <v>675</v>
      </c>
      <c r="GU70" s="55">
        <v>490</v>
      </c>
      <c r="GV70" s="56">
        <v>680</v>
      </c>
      <c r="GW70" s="55">
        <v>586</v>
      </c>
      <c r="GX70" s="56">
        <v>680</v>
      </c>
      <c r="GY70" s="55">
        <v>573</v>
      </c>
      <c r="GZ70" s="56">
        <v>675</v>
      </c>
      <c r="HA70">
        <v>628</v>
      </c>
      <c r="HB70" s="56">
        <v>700</v>
      </c>
      <c r="HC70">
        <v>500</v>
      </c>
      <c r="HD70" s="56">
        <v>700</v>
      </c>
      <c r="HE70">
        <v>487</v>
      </c>
      <c r="HF70" s="56">
        <v>700</v>
      </c>
    </row>
    <row r="71" spans="1:214" x14ac:dyDescent="0.25">
      <c r="A71" s="57"/>
      <c r="B71" s="57" t="s">
        <v>752</v>
      </c>
      <c r="C71" s="58">
        <v>2866</v>
      </c>
      <c r="D71" s="59">
        <v>155</v>
      </c>
      <c r="E71" s="58">
        <v>2988</v>
      </c>
      <c r="F71" s="59">
        <v>160</v>
      </c>
      <c r="G71" s="58">
        <v>2948</v>
      </c>
      <c r="H71" s="59">
        <v>160</v>
      </c>
      <c r="I71" s="58">
        <v>3890</v>
      </c>
      <c r="J71" s="59">
        <v>170</v>
      </c>
      <c r="K71" s="58">
        <v>3036</v>
      </c>
      <c r="L71" s="59">
        <v>165</v>
      </c>
      <c r="M71" s="58">
        <v>3270</v>
      </c>
      <c r="N71" s="59">
        <v>170</v>
      </c>
      <c r="O71" s="58">
        <v>2900</v>
      </c>
      <c r="P71" s="59">
        <v>170</v>
      </c>
      <c r="Q71" s="58">
        <v>3902</v>
      </c>
      <c r="R71" s="59">
        <v>180</v>
      </c>
      <c r="S71" s="58">
        <v>3011</v>
      </c>
      <c r="T71" s="59">
        <v>180</v>
      </c>
      <c r="U71" s="58">
        <v>3158</v>
      </c>
      <c r="V71" s="59">
        <v>180</v>
      </c>
      <c r="W71" s="58">
        <v>2929</v>
      </c>
      <c r="X71" s="59">
        <v>180</v>
      </c>
      <c r="Y71" s="58">
        <v>3953</v>
      </c>
      <c r="Z71" s="59">
        <v>195</v>
      </c>
      <c r="AA71" s="58">
        <v>3017</v>
      </c>
      <c r="AB71" s="59">
        <v>185</v>
      </c>
      <c r="AC71" s="58">
        <v>3218</v>
      </c>
      <c r="AD71" s="59">
        <v>190</v>
      </c>
      <c r="AE71" s="58">
        <v>3119</v>
      </c>
      <c r="AF71" s="59">
        <v>195</v>
      </c>
      <c r="AG71" s="58">
        <v>4308</v>
      </c>
      <c r="AH71" s="59">
        <v>205</v>
      </c>
      <c r="AI71" s="58">
        <v>3130</v>
      </c>
      <c r="AJ71" s="59">
        <v>195</v>
      </c>
      <c r="AK71" s="58">
        <v>3373</v>
      </c>
      <c r="AL71" s="59">
        <v>200</v>
      </c>
      <c r="AM71" s="58">
        <v>3226</v>
      </c>
      <c r="AN71" s="59">
        <v>200</v>
      </c>
      <c r="AO71" s="58">
        <v>4543</v>
      </c>
      <c r="AP71" s="59">
        <v>220</v>
      </c>
      <c r="AQ71" s="58">
        <v>2992</v>
      </c>
      <c r="AR71" s="59">
        <v>200</v>
      </c>
      <c r="AS71" s="58">
        <v>3525</v>
      </c>
      <c r="AT71" s="59">
        <v>210</v>
      </c>
      <c r="AU71" s="58">
        <v>3290</v>
      </c>
      <c r="AV71" s="59">
        <v>205</v>
      </c>
      <c r="AW71" s="58">
        <v>4553</v>
      </c>
      <c r="AX71" s="59">
        <v>235</v>
      </c>
      <c r="AY71" s="58">
        <v>3510</v>
      </c>
      <c r="AZ71" s="59">
        <v>220</v>
      </c>
      <c r="BA71" s="58">
        <v>3793</v>
      </c>
      <c r="BB71" s="59">
        <v>220</v>
      </c>
      <c r="BC71" s="58">
        <v>3254</v>
      </c>
      <c r="BD71" s="59">
        <v>230</v>
      </c>
      <c r="BE71" s="58">
        <v>4368</v>
      </c>
      <c r="BF71" s="59">
        <v>250</v>
      </c>
      <c r="BG71" s="58">
        <v>3298</v>
      </c>
      <c r="BH71" s="59">
        <v>240</v>
      </c>
      <c r="BI71" s="58">
        <v>3408</v>
      </c>
      <c r="BJ71" s="59">
        <v>240</v>
      </c>
      <c r="BK71" s="58">
        <v>3052</v>
      </c>
      <c r="BL71" s="59">
        <v>250</v>
      </c>
      <c r="BM71" s="58">
        <v>4000</v>
      </c>
      <c r="BN71" s="59">
        <v>275</v>
      </c>
      <c r="BO71" s="58">
        <v>3046</v>
      </c>
      <c r="BP71" s="59">
        <v>270</v>
      </c>
      <c r="BQ71" s="58">
        <v>3104</v>
      </c>
      <c r="BR71" s="59">
        <v>280</v>
      </c>
      <c r="BS71" s="58">
        <v>2926</v>
      </c>
      <c r="BT71" s="59">
        <v>280</v>
      </c>
      <c r="BU71" s="58">
        <v>3761</v>
      </c>
      <c r="BV71" s="59">
        <v>300</v>
      </c>
      <c r="BW71" s="58">
        <v>3056</v>
      </c>
      <c r="BX71" s="59">
        <v>320</v>
      </c>
      <c r="BY71" s="58">
        <v>3181</v>
      </c>
      <c r="BZ71" s="59">
        <v>310</v>
      </c>
      <c r="CA71" s="58">
        <v>3052</v>
      </c>
      <c r="CB71" s="59">
        <v>310</v>
      </c>
      <c r="CC71" s="58">
        <v>3709</v>
      </c>
      <c r="CD71" s="59">
        <v>330</v>
      </c>
      <c r="CE71" s="58">
        <v>3027</v>
      </c>
      <c r="CF71" s="59">
        <v>330</v>
      </c>
      <c r="CG71" s="58">
        <v>3531</v>
      </c>
      <c r="CH71" s="59">
        <v>340</v>
      </c>
      <c r="CI71" s="58">
        <v>3434</v>
      </c>
      <c r="CJ71" s="59">
        <v>330</v>
      </c>
      <c r="CK71" s="58">
        <v>4253</v>
      </c>
      <c r="CL71" s="59">
        <v>355</v>
      </c>
      <c r="CM71" s="58">
        <v>3475</v>
      </c>
      <c r="CN71" s="59">
        <v>340</v>
      </c>
      <c r="CO71" s="58">
        <v>3895</v>
      </c>
      <c r="CP71" s="59">
        <v>350</v>
      </c>
      <c r="CQ71" s="58">
        <v>3912</v>
      </c>
      <c r="CR71" s="59">
        <v>350</v>
      </c>
      <c r="CS71" s="58">
        <v>4923</v>
      </c>
      <c r="CT71" s="59">
        <v>370</v>
      </c>
      <c r="CU71" s="58">
        <v>3665</v>
      </c>
      <c r="CV71" s="59">
        <v>350</v>
      </c>
      <c r="CW71" s="58">
        <v>4357</v>
      </c>
      <c r="CX71" s="59">
        <v>350</v>
      </c>
      <c r="CY71" s="58">
        <v>4134</v>
      </c>
      <c r="CZ71" s="59">
        <v>360</v>
      </c>
      <c r="DA71" s="58">
        <v>5825</v>
      </c>
      <c r="DB71" s="59">
        <v>375</v>
      </c>
      <c r="DC71" s="58">
        <v>4362</v>
      </c>
      <c r="DD71" s="59">
        <v>360</v>
      </c>
      <c r="DE71" s="58">
        <v>4936</v>
      </c>
      <c r="DF71" s="59">
        <v>365</v>
      </c>
      <c r="DG71" s="58">
        <v>4805</v>
      </c>
      <c r="DH71" s="59">
        <v>360</v>
      </c>
      <c r="DI71" s="58">
        <v>6428</v>
      </c>
      <c r="DJ71" s="59">
        <v>385</v>
      </c>
      <c r="DK71" s="58">
        <v>5023</v>
      </c>
      <c r="DL71" s="59">
        <v>370</v>
      </c>
      <c r="DM71" s="58">
        <v>5366</v>
      </c>
      <c r="DN71" s="59">
        <v>370</v>
      </c>
      <c r="DO71" s="58">
        <v>4939</v>
      </c>
      <c r="DP71" s="59">
        <v>375</v>
      </c>
      <c r="DQ71" s="58">
        <v>7173</v>
      </c>
      <c r="DR71" s="59">
        <v>400</v>
      </c>
      <c r="DS71" s="58">
        <v>5188</v>
      </c>
      <c r="DT71" s="59">
        <v>370</v>
      </c>
      <c r="DU71" s="58">
        <v>6004</v>
      </c>
      <c r="DV71" s="59">
        <v>385</v>
      </c>
      <c r="DW71" s="58">
        <v>5771</v>
      </c>
      <c r="DX71" s="59">
        <v>380</v>
      </c>
      <c r="DY71" s="58">
        <v>7452</v>
      </c>
      <c r="DZ71" s="59">
        <v>400</v>
      </c>
      <c r="EA71" s="58">
        <v>5706</v>
      </c>
      <c r="EB71" s="59">
        <v>385</v>
      </c>
      <c r="EC71" s="58">
        <v>6195</v>
      </c>
      <c r="ED71" s="59">
        <v>400</v>
      </c>
      <c r="EE71" s="58">
        <v>5959</v>
      </c>
      <c r="EF71" s="59">
        <v>390</v>
      </c>
      <c r="EG71" s="58">
        <v>8103</v>
      </c>
      <c r="EH71" s="59">
        <v>425</v>
      </c>
      <c r="EI71" s="58">
        <v>5771</v>
      </c>
      <c r="EJ71" s="59">
        <v>400</v>
      </c>
      <c r="EK71" s="58">
        <v>7090</v>
      </c>
      <c r="EL71" s="59">
        <v>410</v>
      </c>
      <c r="EM71" s="58">
        <v>6274</v>
      </c>
      <c r="EN71" s="59">
        <v>400</v>
      </c>
      <c r="EO71" s="58">
        <v>8252</v>
      </c>
      <c r="EP71" s="59">
        <v>450</v>
      </c>
      <c r="EQ71" s="58">
        <v>5952</v>
      </c>
      <c r="ER71" s="59">
        <v>425</v>
      </c>
      <c r="ES71" s="58">
        <v>6601</v>
      </c>
      <c r="ET71" s="59">
        <v>440</v>
      </c>
      <c r="EU71" s="58">
        <v>6041</v>
      </c>
      <c r="EV71" s="59">
        <v>430</v>
      </c>
      <c r="EW71" s="58">
        <v>8067</v>
      </c>
      <c r="EX71" s="59">
        <v>460</v>
      </c>
      <c r="EY71" s="58">
        <v>5980</v>
      </c>
      <c r="EZ71" s="59">
        <v>435</v>
      </c>
      <c r="FA71" s="58">
        <v>6614</v>
      </c>
      <c r="FB71" s="59">
        <v>460</v>
      </c>
      <c r="FC71" s="58">
        <v>5824</v>
      </c>
      <c r="FD71" s="59">
        <v>450</v>
      </c>
      <c r="FE71" s="58">
        <v>8103</v>
      </c>
      <c r="FF71" s="59">
        <v>485</v>
      </c>
      <c r="FG71" s="58">
        <v>5668</v>
      </c>
      <c r="FH71" s="59">
        <v>450</v>
      </c>
      <c r="FI71" s="58">
        <v>6596</v>
      </c>
      <c r="FJ71" s="59">
        <v>465</v>
      </c>
      <c r="FK71" s="58">
        <v>6307</v>
      </c>
      <c r="FL71" s="59">
        <v>460</v>
      </c>
      <c r="FM71" s="58">
        <v>8607</v>
      </c>
      <c r="FN71" s="59">
        <v>490</v>
      </c>
      <c r="FO71" s="58">
        <v>5781</v>
      </c>
      <c r="FP71" s="59">
        <v>430</v>
      </c>
      <c r="FQ71" s="58">
        <v>6502</v>
      </c>
      <c r="FR71" s="59">
        <v>420</v>
      </c>
      <c r="FS71" s="58">
        <v>8745</v>
      </c>
      <c r="FT71" s="59">
        <v>400</v>
      </c>
      <c r="FU71" s="58">
        <v>11373</v>
      </c>
      <c r="FV71" s="59">
        <v>400</v>
      </c>
      <c r="FW71" s="58">
        <v>9318</v>
      </c>
      <c r="FX71" s="59">
        <v>385</v>
      </c>
      <c r="FY71" s="58">
        <v>7753</v>
      </c>
      <c r="FZ71" s="59">
        <v>390</v>
      </c>
      <c r="GA71" s="58">
        <v>8132</v>
      </c>
      <c r="GB71" s="59">
        <v>400</v>
      </c>
      <c r="GC71" s="58">
        <v>10429</v>
      </c>
      <c r="GD71" s="59">
        <v>430</v>
      </c>
      <c r="GE71" s="58">
        <v>7697</v>
      </c>
      <c r="GF71" s="59">
        <v>450</v>
      </c>
      <c r="GG71" s="58">
        <v>8480</v>
      </c>
      <c r="GH71" s="59">
        <v>476</v>
      </c>
      <c r="GI71" s="58">
        <v>7311</v>
      </c>
      <c r="GJ71" s="59">
        <v>480</v>
      </c>
      <c r="GK71" s="58">
        <v>8562</v>
      </c>
      <c r="GL71" s="59">
        <v>570</v>
      </c>
      <c r="GM71" s="58">
        <v>6282</v>
      </c>
      <c r="GN71" s="59">
        <v>555</v>
      </c>
      <c r="GO71" s="58">
        <v>7053</v>
      </c>
      <c r="GP71" s="59">
        <v>590</v>
      </c>
      <c r="GQ71" s="58">
        <v>6316</v>
      </c>
      <c r="GR71" s="59">
        <v>575</v>
      </c>
      <c r="GS71" s="58">
        <v>8308</v>
      </c>
      <c r="GT71" s="59">
        <v>650</v>
      </c>
      <c r="GU71" s="58">
        <v>6008</v>
      </c>
      <c r="GV71" s="59">
        <v>600</v>
      </c>
      <c r="GW71" s="58">
        <v>7030</v>
      </c>
      <c r="GX71" s="59">
        <v>600</v>
      </c>
      <c r="GY71" s="58">
        <v>6190</v>
      </c>
      <c r="GZ71" s="59">
        <v>590</v>
      </c>
      <c r="HA71" s="6">
        <v>8980</v>
      </c>
      <c r="HB71" s="59">
        <v>665</v>
      </c>
      <c r="HC71" s="6">
        <v>5762</v>
      </c>
      <c r="HD71" s="59">
        <v>620</v>
      </c>
      <c r="HE71" s="6">
        <v>6731</v>
      </c>
      <c r="HF71" s="59">
        <v>625</v>
      </c>
    </row>
    <row r="72" spans="1:214" s="10" customFormat="1" x14ac:dyDescent="0.25">
      <c r="A72" s="53" t="s">
        <v>809</v>
      </c>
      <c r="B72" s="54" t="s">
        <v>810</v>
      </c>
      <c r="C72" s="55">
        <v>549</v>
      </c>
      <c r="D72" s="56">
        <v>190</v>
      </c>
      <c r="E72" s="55">
        <v>583</v>
      </c>
      <c r="F72" s="56">
        <v>195</v>
      </c>
      <c r="G72" s="55">
        <v>590</v>
      </c>
      <c r="H72" s="56">
        <v>200</v>
      </c>
      <c r="I72" s="55">
        <v>721</v>
      </c>
      <c r="J72" s="56">
        <v>200</v>
      </c>
      <c r="K72" s="55">
        <v>552</v>
      </c>
      <c r="L72" s="56">
        <v>200</v>
      </c>
      <c r="M72" s="55">
        <v>593</v>
      </c>
      <c r="N72" s="56">
        <v>205</v>
      </c>
      <c r="O72" s="55">
        <v>588</v>
      </c>
      <c r="P72" s="56">
        <v>210</v>
      </c>
      <c r="Q72" s="55">
        <v>825</v>
      </c>
      <c r="R72" s="56">
        <v>210</v>
      </c>
      <c r="S72" s="55">
        <v>557</v>
      </c>
      <c r="T72" s="56">
        <v>220</v>
      </c>
      <c r="U72" s="55">
        <v>582</v>
      </c>
      <c r="V72" s="56">
        <v>220</v>
      </c>
      <c r="W72" s="55">
        <v>558</v>
      </c>
      <c r="X72" s="56">
        <v>215</v>
      </c>
      <c r="Y72" s="55">
        <v>820</v>
      </c>
      <c r="Z72" s="56">
        <v>220</v>
      </c>
      <c r="AA72" s="55">
        <v>525</v>
      </c>
      <c r="AB72" s="56">
        <v>230</v>
      </c>
      <c r="AC72" s="55">
        <v>591</v>
      </c>
      <c r="AD72" s="56">
        <v>220</v>
      </c>
      <c r="AE72" s="55">
        <v>557</v>
      </c>
      <c r="AF72" s="56">
        <v>225</v>
      </c>
      <c r="AG72" s="55">
        <v>843</v>
      </c>
      <c r="AH72" s="56">
        <v>230</v>
      </c>
      <c r="AI72" s="55">
        <v>544</v>
      </c>
      <c r="AJ72" s="56">
        <v>230</v>
      </c>
      <c r="AK72" s="55">
        <v>598</v>
      </c>
      <c r="AL72" s="56">
        <v>230</v>
      </c>
      <c r="AM72" s="55">
        <v>534</v>
      </c>
      <c r="AN72" s="56">
        <v>230</v>
      </c>
      <c r="AO72" s="55">
        <v>829</v>
      </c>
      <c r="AP72" s="56">
        <v>235</v>
      </c>
      <c r="AQ72" s="55">
        <v>491</v>
      </c>
      <c r="AR72" s="56">
        <v>236</v>
      </c>
      <c r="AS72" s="55">
        <v>572</v>
      </c>
      <c r="AT72" s="56">
        <v>240</v>
      </c>
      <c r="AU72" s="55">
        <v>502</v>
      </c>
      <c r="AV72" s="56">
        <v>240</v>
      </c>
      <c r="AW72" s="55">
        <v>716</v>
      </c>
      <c r="AX72" s="56">
        <v>240</v>
      </c>
      <c r="AY72" s="55">
        <v>538</v>
      </c>
      <c r="AZ72" s="56">
        <v>240</v>
      </c>
      <c r="BA72" s="55">
        <v>577</v>
      </c>
      <c r="BB72" s="56">
        <v>250</v>
      </c>
      <c r="BC72" s="55">
        <v>534</v>
      </c>
      <c r="BD72" s="56">
        <v>250</v>
      </c>
      <c r="BE72" s="55">
        <v>684</v>
      </c>
      <c r="BF72" s="56">
        <v>250</v>
      </c>
      <c r="BG72" s="55">
        <v>497</v>
      </c>
      <c r="BH72" s="56">
        <v>260</v>
      </c>
      <c r="BI72" s="55">
        <v>508</v>
      </c>
      <c r="BJ72" s="56">
        <v>263</v>
      </c>
      <c r="BK72" s="55">
        <v>488</v>
      </c>
      <c r="BL72" s="56">
        <v>270</v>
      </c>
      <c r="BM72" s="55">
        <v>627</v>
      </c>
      <c r="BN72" s="56">
        <v>280</v>
      </c>
      <c r="BO72" s="55">
        <v>460</v>
      </c>
      <c r="BP72" s="56">
        <v>290</v>
      </c>
      <c r="BQ72" s="55">
        <v>445</v>
      </c>
      <c r="BR72" s="56">
        <v>300</v>
      </c>
      <c r="BS72" s="55">
        <v>446</v>
      </c>
      <c r="BT72" s="56">
        <v>300</v>
      </c>
      <c r="BU72" s="55">
        <v>606</v>
      </c>
      <c r="BV72" s="56">
        <v>320</v>
      </c>
      <c r="BW72" s="55">
        <v>448</v>
      </c>
      <c r="BX72" s="56">
        <v>330</v>
      </c>
      <c r="BY72" s="55">
        <v>499</v>
      </c>
      <c r="BZ72" s="56">
        <v>330</v>
      </c>
      <c r="CA72" s="55">
        <v>493</v>
      </c>
      <c r="CB72" s="56">
        <v>350</v>
      </c>
      <c r="CC72" s="55">
        <v>606</v>
      </c>
      <c r="CD72" s="56">
        <v>350</v>
      </c>
      <c r="CE72" s="55">
        <v>493</v>
      </c>
      <c r="CF72" s="56">
        <v>350</v>
      </c>
      <c r="CG72" s="55">
        <v>508</v>
      </c>
      <c r="CH72" s="56">
        <v>350</v>
      </c>
      <c r="CI72" s="55">
        <v>537</v>
      </c>
      <c r="CJ72" s="56">
        <v>350</v>
      </c>
      <c r="CK72" s="55">
        <v>654</v>
      </c>
      <c r="CL72" s="56">
        <v>360</v>
      </c>
      <c r="CM72" s="55">
        <v>533</v>
      </c>
      <c r="CN72" s="56">
        <v>360</v>
      </c>
      <c r="CO72" s="55">
        <v>569</v>
      </c>
      <c r="CP72" s="56">
        <v>365</v>
      </c>
      <c r="CQ72" s="55">
        <v>562</v>
      </c>
      <c r="CR72" s="56">
        <v>365</v>
      </c>
      <c r="CS72" s="55">
        <v>691</v>
      </c>
      <c r="CT72" s="56">
        <v>370</v>
      </c>
      <c r="CU72" s="55">
        <v>586</v>
      </c>
      <c r="CV72" s="56">
        <v>380</v>
      </c>
      <c r="CW72" s="55">
        <v>631</v>
      </c>
      <c r="CX72" s="56">
        <v>380</v>
      </c>
      <c r="CY72" s="55">
        <v>630</v>
      </c>
      <c r="CZ72" s="56">
        <v>380</v>
      </c>
      <c r="DA72" s="55">
        <v>735</v>
      </c>
      <c r="DB72" s="56">
        <v>380</v>
      </c>
      <c r="DC72" s="55">
        <v>627</v>
      </c>
      <c r="DD72" s="56">
        <v>390</v>
      </c>
      <c r="DE72" s="55">
        <v>595</v>
      </c>
      <c r="DF72" s="56">
        <v>380</v>
      </c>
      <c r="DG72" s="55">
        <v>619</v>
      </c>
      <c r="DH72" s="56">
        <v>380</v>
      </c>
      <c r="DI72" s="55">
        <v>850</v>
      </c>
      <c r="DJ72" s="56">
        <v>385</v>
      </c>
      <c r="DK72" s="55">
        <v>651</v>
      </c>
      <c r="DL72" s="56">
        <v>380</v>
      </c>
      <c r="DM72" s="55">
        <v>681</v>
      </c>
      <c r="DN72" s="56">
        <v>380</v>
      </c>
      <c r="DO72" s="55">
        <v>680</v>
      </c>
      <c r="DP72" s="56">
        <v>390</v>
      </c>
      <c r="DQ72" s="55">
        <v>917</v>
      </c>
      <c r="DR72" s="56">
        <v>385</v>
      </c>
      <c r="DS72" s="55">
        <v>641</v>
      </c>
      <c r="DT72" s="56">
        <v>400</v>
      </c>
      <c r="DU72" s="55">
        <v>713</v>
      </c>
      <c r="DV72" s="56">
        <v>400</v>
      </c>
      <c r="DW72" s="55">
        <v>726</v>
      </c>
      <c r="DX72" s="56">
        <v>390</v>
      </c>
      <c r="DY72" s="55">
        <v>877</v>
      </c>
      <c r="DZ72" s="56">
        <v>400</v>
      </c>
      <c r="EA72" s="55">
        <v>688</v>
      </c>
      <c r="EB72" s="56">
        <v>400</v>
      </c>
      <c r="EC72" s="55">
        <v>729</v>
      </c>
      <c r="ED72" s="56">
        <v>400</v>
      </c>
      <c r="EE72" s="55">
        <v>720</v>
      </c>
      <c r="EF72" s="56">
        <v>410</v>
      </c>
      <c r="EG72" s="55">
        <v>999</v>
      </c>
      <c r="EH72" s="56">
        <v>420</v>
      </c>
      <c r="EI72" s="55">
        <v>685</v>
      </c>
      <c r="EJ72" s="56">
        <v>420</v>
      </c>
      <c r="EK72" s="55">
        <v>782</v>
      </c>
      <c r="EL72" s="56">
        <v>420</v>
      </c>
      <c r="EM72" s="55">
        <v>841</v>
      </c>
      <c r="EN72" s="56">
        <v>425</v>
      </c>
      <c r="EO72" s="55">
        <v>988</v>
      </c>
      <c r="EP72" s="56">
        <v>430</v>
      </c>
      <c r="EQ72" s="55">
        <v>773</v>
      </c>
      <c r="ER72" s="56">
        <v>430</v>
      </c>
      <c r="ES72" s="55">
        <v>768</v>
      </c>
      <c r="ET72" s="56">
        <v>430</v>
      </c>
      <c r="EU72" s="55">
        <v>730</v>
      </c>
      <c r="EV72" s="56">
        <v>450</v>
      </c>
      <c r="EW72" s="55">
        <v>938</v>
      </c>
      <c r="EX72" s="56">
        <v>440</v>
      </c>
      <c r="EY72" s="55">
        <v>686</v>
      </c>
      <c r="EZ72" s="56">
        <v>450</v>
      </c>
      <c r="FA72" s="55">
        <v>679</v>
      </c>
      <c r="FB72" s="56">
        <v>450</v>
      </c>
      <c r="FC72" s="55">
        <v>649</v>
      </c>
      <c r="FD72" s="56">
        <v>455</v>
      </c>
      <c r="FE72" s="55">
        <v>926</v>
      </c>
      <c r="FF72" s="56">
        <v>450</v>
      </c>
      <c r="FG72" s="55">
        <v>623</v>
      </c>
      <c r="FH72" s="56">
        <v>460</v>
      </c>
      <c r="FI72" s="55">
        <v>668</v>
      </c>
      <c r="FJ72" s="56">
        <v>460</v>
      </c>
      <c r="FK72" s="55">
        <v>684</v>
      </c>
      <c r="FL72" s="56">
        <v>455</v>
      </c>
      <c r="FM72" s="55">
        <v>862</v>
      </c>
      <c r="FN72" s="56">
        <v>460</v>
      </c>
      <c r="FO72" s="55">
        <v>548</v>
      </c>
      <c r="FP72" s="56">
        <v>450</v>
      </c>
      <c r="FQ72" s="55">
        <v>557</v>
      </c>
      <c r="FR72" s="56">
        <v>430</v>
      </c>
      <c r="FS72" s="55">
        <v>710</v>
      </c>
      <c r="FT72" s="56">
        <v>420</v>
      </c>
      <c r="FU72" s="55">
        <v>973</v>
      </c>
      <c r="FV72" s="56">
        <v>400</v>
      </c>
      <c r="FW72" s="55">
        <v>864</v>
      </c>
      <c r="FX72" s="56">
        <v>400</v>
      </c>
      <c r="FY72" s="55">
        <v>712</v>
      </c>
      <c r="FZ72" s="56">
        <v>400</v>
      </c>
      <c r="GA72" s="55">
        <v>793</v>
      </c>
      <c r="GB72" s="56">
        <v>400</v>
      </c>
      <c r="GC72" s="55">
        <v>969</v>
      </c>
      <c r="GD72" s="56">
        <v>420</v>
      </c>
      <c r="GE72" s="55">
        <v>767</v>
      </c>
      <c r="GF72" s="56">
        <v>430</v>
      </c>
      <c r="GG72" s="55">
        <v>802</v>
      </c>
      <c r="GH72" s="56">
        <v>445</v>
      </c>
      <c r="GI72" s="55">
        <v>777</v>
      </c>
      <c r="GJ72" s="56">
        <v>460</v>
      </c>
      <c r="GK72" s="55">
        <v>743</v>
      </c>
      <c r="GL72" s="56">
        <v>500</v>
      </c>
      <c r="GM72" s="55">
        <v>560</v>
      </c>
      <c r="GN72" s="56">
        <v>525</v>
      </c>
      <c r="GO72" s="55">
        <v>602</v>
      </c>
      <c r="GP72" s="56">
        <v>530</v>
      </c>
      <c r="GQ72" s="55">
        <v>570</v>
      </c>
      <c r="GR72" s="56">
        <v>550</v>
      </c>
      <c r="GS72" s="55">
        <v>668</v>
      </c>
      <c r="GT72" s="56">
        <v>570</v>
      </c>
      <c r="GU72" s="55">
        <v>518</v>
      </c>
      <c r="GV72" s="56">
        <v>585</v>
      </c>
      <c r="GW72" s="55">
        <v>621</v>
      </c>
      <c r="GX72" s="56">
        <v>575</v>
      </c>
      <c r="GY72" s="55">
        <v>611</v>
      </c>
      <c r="GZ72" s="56">
        <v>570</v>
      </c>
      <c r="HA72" s="7">
        <v>694</v>
      </c>
      <c r="HB72" s="56">
        <v>595</v>
      </c>
      <c r="HC72" s="7">
        <v>530</v>
      </c>
      <c r="HD72" s="56">
        <v>600</v>
      </c>
      <c r="HE72" s="7">
        <v>542</v>
      </c>
      <c r="HF72" s="56">
        <v>600</v>
      </c>
    </row>
    <row r="73" spans="1:214" x14ac:dyDescent="0.25">
      <c r="A73" s="53"/>
      <c r="B73" s="54" t="s">
        <v>811</v>
      </c>
      <c r="C73" s="55">
        <v>149</v>
      </c>
      <c r="D73" s="56">
        <v>145</v>
      </c>
      <c r="E73" s="55">
        <v>123</v>
      </c>
      <c r="F73" s="56">
        <v>150</v>
      </c>
      <c r="G73" s="55">
        <v>125</v>
      </c>
      <c r="H73" s="56">
        <v>150</v>
      </c>
      <c r="I73" s="55">
        <v>142</v>
      </c>
      <c r="J73" s="56">
        <v>155</v>
      </c>
      <c r="K73" s="55">
        <v>148</v>
      </c>
      <c r="L73" s="56">
        <v>155</v>
      </c>
      <c r="M73" s="55">
        <v>139</v>
      </c>
      <c r="N73" s="56">
        <v>165</v>
      </c>
      <c r="O73" s="55">
        <v>132</v>
      </c>
      <c r="P73" s="56">
        <v>160</v>
      </c>
      <c r="Q73" s="55">
        <v>145</v>
      </c>
      <c r="R73" s="56">
        <v>165</v>
      </c>
      <c r="S73" s="55">
        <v>137</v>
      </c>
      <c r="T73" s="56">
        <v>160</v>
      </c>
      <c r="U73" s="55">
        <v>167</v>
      </c>
      <c r="V73" s="56">
        <v>165</v>
      </c>
      <c r="W73" s="55">
        <v>127</v>
      </c>
      <c r="X73" s="56">
        <v>170</v>
      </c>
      <c r="Y73" s="55">
        <v>135</v>
      </c>
      <c r="Z73" s="56">
        <v>165</v>
      </c>
      <c r="AA73" s="55">
        <v>122</v>
      </c>
      <c r="AB73" s="56">
        <v>170</v>
      </c>
      <c r="AC73" s="55">
        <v>121</v>
      </c>
      <c r="AD73" s="56">
        <v>170</v>
      </c>
      <c r="AE73" s="55">
        <v>119</v>
      </c>
      <c r="AF73" s="56">
        <v>165</v>
      </c>
      <c r="AG73" s="55">
        <v>144</v>
      </c>
      <c r="AH73" s="56">
        <v>170</v>
      </c>
      <c r="AI73" s="55">
        <v>149</v>
      </c>
      <c r="AJ73" s="56">
        <v>185</v>
      </c>
      <c r="AK73" s="55">
        <v>128</v>
      </c>
      <c r="AL73" s="56">
        <v>175</v>
      </c>
      <c r="AM73" s="55">
        <v>128</v>
      </c>
      <c r="AN73" s="56">
        <v>173</v>
      </c>
      <c r="AO73" s="55">
        <v>127</v>
      </c>
      <c r="AP73" s="56">
        <v>180</v>
      </c>
      <c r="AQ73" s="55">
        <v>105</v>
      </c>
      <c r="AR73" s="56">
        <v>180</v>
      </c>
      <c r="AS73" s="55">
        <v>127</v>
      </c>
      <c r="AT73" s="56">
        <v>180</v>
      </c>
      <c r="AU73" s="55">
        <v>117</v>
      </c>
      <c r="AV73" s="56">
        <v>185</v>
      </c>
      <c r="AW73" s="55">
        <v>124</v>
      </c>
      <c r="AX73" s="56">
        <v>190</v>
      </c>
      <c r="AY73" s="55">
        <v>142</v>
      </c>
      <c r="AZ73" s="56">
        <v>188</v>
      </c>
      <c r="BA73" s="55">
        <v>120</v>
      </c>
      <c r="BB73" s="56">
        <v>188</v>
      </c>
      <c r="BC73" s="55">
        <v>124</v>
      </c>
      <c r="BD73" s="56">
        <v>190</v>
      </c>
      <c r="BE73" s="55">
        <v>118</v>
      </c>
      <c r="BF73" s="56">
        <v>190</v>
      </c>
      <c r="BG73" s="55">
        <v>150</v>
      </c>
      <c r="BH73" s="56">
        <v>195</v>
      </c>
      <c r="BI73" s="55">
        <v>146</v>
      </c>
      <c r="BJ73" s="56">
        <v>210</v>
      </c>
      <c r="BK73" s="55">
        <v>119</v>
      </c>
      <c r="BL73" s="56">
        <v>200</v>
      </c>
      <c r="BM73" s="55">
        <v>135</v>
      </c>
      <c r="BN73" s="56">
        <v>200</v>
      </c>
      <c r="BO73" s="55">
        <v>139</v>
      </c>
      <c r="BP73" s="56">
        <v>220</v>
      </c>
      <c r="BQ73" s="55">
        <v>109</v>
      </c>
      <c r="BR73" s="56">
        <v>215</v>
      </c>
      <c r="BS73" s="55">
        <v>124</v>
      </c>
      <c r="BT73" s="56">
        <v>240</v>
      </c>
      <c r="BU73" s="55">
        <v>117</v>
      </c>
      <c r="BV73" s="56">
        <v>230</v>
      </c>
      <c r="BW73" s="55">
        <v>92</v>
      </c>
      <c r="BX73" s="56">
        <v>248</v>
      </c>
      <c r="BY73" s="55">
        <v>114</v>
      </c>
      <c r="BZ73" s="56">
        <v>255</v>
      </c>
      <c r="CA73" s="55">
        <v>113</v>
      </c>
      <c r="CB73" s="56">
        <v>260</v>
      </c>
      <c r="CC73" s="55">
        <v>115</v>
      </c>
      <c r="CD73" s="56">
        <v>265</v>
      </c>
      <c r="CE73" s="55">
        <v>131</v>
      </c>
      <c r="CF73" s="56">
        <v>270</v>
      </c>
      <c r="CG73" s="55">
        <v>126</v>
      </c>
      <c r="CH73" s="56">
        <v>263</v>
      </c>
      <c r="CI73" s="55">
        <v>99</v>
      </c>
      <c r="CJ73" s="56">
        <v>265</v>
      </c>
      <c r="CK73" s="55">
        <v>122</v>
      </c>
      <c r="CL73" s="56">
        <v>280</v>
      </c>
      <c r="CM73" s="55">
        <v>110</v>
      </c>
      <c r="CN73" s="56">
        <v>280</v>
      </c>
      <c r="CO73" s="55">
        <v>130</v>
      </c>
      <c r="CP73" s="56">
        <v>280</v>
      </c>
      <c r="CQ73" s="55">
        <v>121</v>
      </c>
      <c r="CR73" s="56">
        <v>290</v>
      </c>
      <c r="CS73" s="55">
        <v>121</v>
      </c>
      <c r="CT73" s="56">
        <v>300</v>
      </c>
      <c r="CU73" s="55">
        <v>99</v>
      </c>
      <c r="CV73" s="56">
        <v>300</v>
      </c>
      <c r="CW73" s="55">
        <v>128</v>
      </c>
      <c r="CX73" s="56">
        <v>300</v>
      </c>
      <c r="CY73" s="55">
        <v>153</v>
      </c>
      <c r="CZ73" s="56">
        <v>290</v>
      </c>
      <c r="DA73" s="55">
        <v>164</v>
      </c>
      <c r="DB73" s="56">
        <v>300</v>
      </c>
      <c r="DC73" s="55">
        <v>162</v>
      </c>
      <c r="DD73" s="56">
        <v>290</v>
      </c>
      <c r="DE73" s="55">
        <v>155</v>
      </c>
      <c r="DF73" s="56">
        <v>300</v>
      </c>
      <c r="DG73" s="55">
        <v>131</v>
      </c>
      <c r="DH73" s="56">
        <v>300</v>
      </c>
      <c r="DI73" s="55">
        <v>174</v>
      </c>
      <c r="DJ73" s="56">
        <v>318</v>
      </c>
      <c r="DK73" s="55">
        <v>163</v>
      </c>
      <c r="DL73" s="56">
        <v>320</v>
      </c>
      <c r="DM73" s="55">
        <v>156</v>
      </c>
      <c r="DN73" s="56">
        <v>310</v>
      </c>
      <c r="DO73" s="55">
        <v>147</v>
      </c>
      <c r="DP73" s="56">
        <v>320</v>
      </c>
      <c r="DQ73" s="55">
        <v>168</v>
      </c>
      <c r="DR73" s="56">
        <v>320</v>
      </c>
      <c r="DS73" s="55">
        <v>133</v>
      </c>
      <c r="DT73" s="56">
        <v>320</v>
      </c>
      <c r="DU73" s="55">
        <v>158</v>
      </c>
      <c r="DV73" s="56">
        <v>320</v>
      </c>
      <c r="DW73" s="55">
        <v>159</v>
      </c>
      <c r="DX73" s="56">
        <v>330</v>
      </c>
      <c r="DY73" s="55">
        <v>164</v>
      </c>
      <c r="DZ73" s="56">
        <v>330</v>
      </c>
      <c r="EA73" s="55">
        <v>155</v>
      </c>
      <c r="EB73" s="56">
        <v>340</v>
      </c>
      <c r="EC73" s="55">
        <v>152</v>
      </c>
      <c r="ED73" s="56">
        <v>340</v>
      </c>
      <c r="EE73" s="55">
        <v>168</v>
      </c>
      <c r="EF73" s="56">
        <v>330</v>
      </c>
      <c r="EG73" s="55">
        <v>179</v>
      </c>
      <c r="EH73" s="56">
        <v>340</v>
      </c>
      <c r="EI73" s="55">
        <v>187</v>
      </c>
      <c r="EJ73" s="56">
        <v>345</v>
      </c>
      <c r="EK73" s="55">
        <v>183</v>
      </c>
      <c r="EL73" s="56">
        <v>345</v>
      </c>
      <c r="EM73" s="55">
        <v>170</v>
      </c>
      <c r="EN73" s="56">
        <v>340</v>
      </c>
      <c r="EO73" s="55">
        <v>171</v>
      </c>
      <c r="EP73" s="56">
        <v>350</v>
      </c>
      <c r="EQ73" s="55">
        <v>182</v>
      </c>
      <c r="ER73" s="56">
        <v>350</v>
      </c>
      <c r="ES73" s="55">
        <v>178</v>
      </c>
      <c r="ET73" s="56">
        <v>350</v>
      </c>
      <c r="EU73" s="55">
        <v>166</v>
      </c>
      <c r="EV73" s="56">
        <v>360</v>
      </c>
      <c r="EW73" s="55">
        <v>195</v>
      </c>
      <c r="EX73" s="56">
        <v>355</v>
      </c>
      <c r="EY73" s="55">
        <v>181</v>
      </c>
      <c r="EZ73" s="56">
        <v>360</v>
      </c>
      <c r="FA73" s="55">
        <v>178</v>
      </c>
      <c r="FB73" s="56">
        <v>367</v>
      </c>
      <c r="FC73" s="55">
        <v>171</v>
      </c>
      <c r="FD73" s="56">
        <v>370</v>
      </c>
      <c r="FE73" s="55">
        <v>202</v>
      </c>
      <c r="FF73" s="56">
        <v>370</v>
      </c>
      <c r="FG73" s="55">
        <v>174</v>
      </c>
      <c r="FH73" s="56">
        <v>370</v>
      </c>
      <c r="FI73" s="55">
        <v>163</v>
      </c>
      <c r="FJ73" s="56">
        <v>365</v>
      </c>
      <c r="FK73" s="55">
        <v>117</v>
      </c>
      <c r="FL73" s="56">
        <v>370</v>
      </c>
      <c r="FM73" s="55">
        <v>171</v>
      </c>
      <c r="FN73" s="56">
        <v>370</v>
      </c>
      <c r="FO73" s="55">
        <v>156</v>
      </c>
      <c r="FP73" s="56">
        <v>370</v>
      </c>
      <c r="FQ73" s="55">
        <v>112</v>
      </c>
      <c r="FR73" s="56">
        <v>380</v>
      </c>
      <c r="FS73" s="55">
        <v>127</v>
      </c>
      <c r="FT73" s="56">
        <v>380</v>
      </c>
      <c r="FU73" s="55">
        <v>155</v>
      </c>
      <c r="FV73" s="56">
        <v>380</v>
      </c>
      <c r="FW73" s="55">
        <v>165</v>
      </c>
      <c r="FX73" s="56">
        <v>380</v>
      </c>
      <c r="FY73" s="55">
        <v>157</v>
      </c>
      <c r="FZ73" s="56">
        <v>380</v>
      </c>
      <c r="GA73" s="55">
        <v>137</v>
      </c>
      <c r="GB73" s="56">
        <v>380</v>
      </c>
      <c r="GC73" s="55">
        <v>161</v>
      </c>
      <c r="GD73" s="56">
        <v>390</v>
      </c>
      <c r="GE73" s="55">
        <v>131</v>
      </c>
      <c r="GF73" s="56">
        <v>390</v>
      </c>
      <c r="GG73" s="55">
        <v>142</v>
      </c>
      <c r="GH73" s="56">
        <v>395</v>
      </c>
      <c r="GI73" s="55">
        <v>135</v>
      </c>
      <c r="GJ73" s="56">
        <v>400</v>
      </c>
      <c r="GK73" s="55">
        <v>127</v>
      </c>
      <c r="GL73" s="56">
        <v>420</v>
      </c>
      <c r="GM73" s="55">
        <v>124</v>
      </c>
      <c r="GN73" s="56">
        <v>440</v>
      </c>
      <c r="GO73" s="55">
        <v>116</v>
      </c>
      <c r="GP73" s="56">
        <v>450</v>
      </c>
      <c r="GQ73" s="55">
        <v>103</v>
      </c>
      <c r="GR73" s="56">
        <v>450</v>
      </c>
      <c r="GS73" s="55">
        <v>113</v>
      </c>
      <c r="GT73" s="56">
        <v>470</v>
      </c>
      <c r="GU73" s="55">
        <v>96</v>
      </c>
      <c r="GV73" s="56">
        <v>490</v>
      </c>
      <c r="GW73" s="55">
        <v>115</v>
      </c>
      <c r="GX73" s="56">
        <v>500</v>
      </c>
      <c r="GY73" s="55">
        <v>103</v>
      </c>
      <c r="GZ73" s="56">
        <v>500</v>
      </c>
      <c r="HA73">
        <v>104</v>
      </c>
      <c r="HB73" s="56">
        <v>500</v>
      </c>
      <c r="HC73">
        <v>115</v>
      </c>
      <c r="HD73" s="56">
        <v>490</v>
      </c>
      <c r="HE73">
        <v>85</v>
      </c>
      <c r="HF73" s="56">
        <v>540</v>
      </c>
    </row>
    <row r="74" spans="1:214" x14ac:dyDescent="0.25">
      <c r="A74" s="53"/>
      <c r="B74" s="54" t="s">
        <v>812</v>
      </c>
      <c r="C74" s="55">
        <v>68</v>
      </c>
      <c r="D74" s="56">
        <v>180</v>
      </c>
      <c r="E74" s="55">
        <v>76</v>
      </c>
      <c r="F74" s="56">
        <v>185</v>
      </c>
      <c r="G74" s="55">
        <v>60</v>
      </c>
      <c r="H74" s="56">
        <v>185</v>
      </c>
      <c r="I74" s="55">
        <v>82</v>
      </c>
      <c r="J74" s="56">
        <v>190</v>
      </c>
      <c r="K74" s="55">
        <v>77</v>
      </c>
      <c r="L74" s="56">
        <v>190</v>
      </c>
      <c r="M74" s="55">
        <v>72</v>
      </c>
      <c r="N74" s="56">
        <v>195</v>
      </c>
      <c r="O74" s="55">
        <v>96</v>
      </c>
      <c r="P74" s="56">
        <v>200</v>
      </c>
      <c r="Q74" s="55">
        <v>101</v>
      </c>
      <c r="R74" s="56">
        <v>210</v>
      </c>
      <c r="S74" s="55">
        <v>82</v>
      </c>
      <c r="T74" s="56">
        <v>200</v>
      </c>
      <c r="U74" s="55">
        <v>94</v>
      </c>
      <c r="V74" s="56">
        <v>200</v>
      </c>
      <c r="W74" s="55">
        <v>88</v>
      </c>
      <c r="X74" s="56">
        <v>220</v>
      </c>
      <c r="Y74" s="55">
        <v>82</v>
      </c>
      <c r="Z74" s="56">
        <v>218</v>
      </c>
      <c r="AA74" s="55">
        <v>78</v>
      </c>
      <c r="AB74" s="56">
        <v>218</v>
      </c>
      <c r="AC74" s="55">
        <v>91</v>
      </c>
      <c r="AD74" s="56">
        <v>215</v>
      </c>
      <c r="AE74" s="55">
        <v>87</v>
      </c>
      <c r="AF74" s="56">
        <v>210</v>
      </c>
      <c r="AG74" s="55">
        <v>106</v>
      </c>
      <c r="AH74" s="56">
        <v>220</v>
      </c>
      <c r="AI74" s="55">
        <v>79</v>
      </c>
      <c r="AJ74" s="56">
        <v>220</v>
      </c>
      <c r="AK74" s="55">
        <v>85</v>
      </c>
      <c r="AL74" s="56">
        <v>215</v>
      </c>
      <c r="AM74" s="55">
        <v>75</v>
      </c>
      <c r="AN74" s="56">
        <v>225</v>
      </c>
      <c r="AO74" s="55">
        <v>84</v>
      </c>
      <c r="AP74" s="56">
        <v>230</v>
      </c>
      <c r="AQ74" s="55">
        <v>94</v>
      </c>
      <c r="AR74" s="56">
        <v>238</v>
      </c>
      <c r="AS74" s="55">
        <v>94</v>
      </c>
      <c r="AT74" s="56">
        <v>220</v>
      </c>
      <c r="AU74" s="55">
        <v>76</v>
      </c>
      <c r="AV74" s="56">
        <v>225</v>
      </c>
      <c r="AW74" s="55">
        <v>98</v>
      </c>
      <c r="AX74" s="56">
        <v>240</v>
      </c>
      <c r="AY74" s="55">
        <v>86</v>
      </c>
      <c r="AZ74" s="56">
        <v>243</v>
      </c>
      <c r="BA74" s="55">
        <v>87</v>
      </c>
      <c r="BB74" s="56">
        <v>230</v>
      </c>
      <c r="BC74" s="55">
        <v>55</v>
      </c>
      <c r="BD74" s="56">
        <v>240</v>
      </c>
      <c r="BE74" s="55">
        <v>81</v>
      </c>
      <c r="BF74" s="56">
        <v>240</v>
      </c>
      <c r="BG74" s="55">
        <v>69</v>
      </c>
      <c r="BH74" s="56">
        <v>250</v>
      </c>
      <c r="BI74" s="55">
        <v>64</v>
      </c>
      <c r="BJ74" s="56">
        <v>250</v>
      </c>
      <c r="BK74" s="55">
        <v>60</v>
      </c>
      <c r="BL74" s="56">
        <v>248</v>
      </c>
      <c r="BM74" s="55">
        <v>86</v>
      </c>
      <c r="BN74" s="56">
        <v>265</v>
      </c>
      <c r="BO74" s="55">
        <v>86</v>
      </c>
      <c r="BP74" s="56">
        <v>265</v>
      </c>
      <c r="BQ74" s="55">
        <v>71</v>
      </c>
      <c r="BR74" s="56">
        <v>270</v>
      </c>
      <c r="BS74" s="55">
        <v>63</v>
      </c>
      <c r="BT74" s="56">
        <v>285</v>
      </c>
      <c r="BU74" s="55">
        <v>76</v>
      </c>
      <c r="BV74" s="56">
        <v>280</v>
      </c>
      <c r="BW74" s="55">
        <v>87</v>
      </c>
      <c r="BX74" s="56">
        <v>310</v>
      </c>
      <c r="BY74" s="55">
        <v>77</v>
      </c>
      <c r="BZ74" s="56">
        <v>300</v>
      </c>
      <c r="CA74" s="55">
        <v>68</v>
      </c>
      <c r="CB74" s="56">
        <v>305</v>
      </c>
      <c r="CC74" s="55">
        <v>71</v>
      </c>
      <c r="CD74" s="56">
        <v>300</v>
      </c>
      <c r="CE74" s="55">
        <v>72</v>
      </c>
      <c r="CF74" s="56">
        <v>310</v>
      </c>
      <c r="CG74" s="55">
        <v>73</v>
      </c>
      <c r="CH74" s="56">
        <v>310</v>
      </c>
      <c r="CI74" s="55">
        <v>77</v>
      </c>
      <c r="CJ74" s="56">
        <v>320</v>
      </c>
      <c r="CK74" s="55">
        <v>81</v>
      </c>
      <c r="CL74" s="56">
        <v>320</v>
      </c>
      <c r="CM74" s="55">
        <v>79</v>
      </c>
      <c r="CN74" s="56">
        <v>340</v>
      </c>
      <c r="CO74" s="55">
        <v>81</v>
      </c>
      <c r="CP74" s="56">
        <v>335</v>
      </c>
      <c r="CQ74" s="55">
        <v>80</v>
      </c>
      <c r="CR74" s="56">
        <v>340</v>
      </c>
      <c r="CS74" s="55">
        <v>100</v>
      </c>
      <c r="CT74" s="56">
        <v>348</v>
      </c>
      <c r="CU74" s="55">
        <v>85</v>
      </c>
      <c r="CV74" s="56">
        <v>350</v>
      </c>
      <c r="CW74" s="55">
        <v>92</v>
      </c>
      <c r="CX74" s="56">
        <v>350</v>
      </c>
      <c r="CY74" s="55">
        <v>98</v>
      </c>
      <c r="CZ74" s="56">
        <v>353</v>
      </c>
      <c r="DA74" s="55">
        <v>95</v>
      </c>
      <c r="DB74" s="56">
        <v>350</v>
      </c>
      <c r="DC74" s="55">
        <v>129</v>
      </c>
      <c r="DD74" s="56">
        <v>350</v>
      </c>
      <c r="DE74" s="55">
        <v>161</v>
      </c>
      <c r="DF74" s="56">
        <v>370</v>
      </c>
      <c r="DG74" s="55">
        <v>103</v>
      </c>
      <c r="DH74" s="56">
        <v>360</v>
      </c>
      <c r="DI74" s="55">
        <v>136</v>
      </c>
      <c r="DJ74" s="56">
        <v>370</v>
      </c>
      <c r="DK74" s="55">
        <v>84</v>
      </c>
      <c r="DL74" s="56">
        <v>360</v>
      </c>
      <c r="DM74" s="55">
        <v>136</v>
      </c>
      <c r="DN74" s="56">
        <v>368</v>
      </c>
      <c r="DO74" s="55">
        <v>120</v>
      </c>
      <c r="DP74" s="56">
        <v>370</v>
      </c>
      <c r="DQ74" s="55">
        <v>141</v>
      </c>
      <c r="DR74" s="56">
        <v>380</v>
      </c>
      <c r="DS74" s="55">
        <v>113</v>
      </c>
      <c r="DT74" s="56">
        <v>375</v>
      </c>
      <c r="DU74" s="55">
        <v>113</v>
      </c>
      <c r="DV74" s="56">
        <v>370</v>
      </c>
      <c r="DW74" s="55">
        <v>97</v>
      </c>
      <c r="DX74" s="56">
        <v>380</v>
      </c>
      <c r="DY74" s="55">
        <v>132</v>
      </c>
      <c r="DZ74" s="56">
        <v>390</v>
      </c>
      <c r="EA74" s="55">
        <v>120</v>
      </c>
      <c r="EB74" s="56">
        <v>388</v>
      </c>
      <c r="EC74" s="55">
        <v>147</v>
      </c>
      <c r="ED74" s="56">
        <v>405</v>
      </c>
      <c r="EE74" s="55">
        <v>154</v>
      </c>
      <c r="EF74" s="56">
        <v>400</v>
      </c>
      <c r="EG74" s="55">
        <v>144</v>
      </c>
      <c r="EH74" s="56">
        <v>400</v>
      </c>
      <c r="EI74" s="55">
        <v>164</v>
      </c>
      <c r="EJ74" s="56">
        <v>410</v>
      </c>
      <c r="EK74" s="55">
        <v>280</v>
      </c>
      <c r="EL74" s="56">
        <v>400</v>
      </c>
      <c r="EM74" s="55">
        <v>162</v>
      </c>
      <c r="EN74" s="56">
        <v>420</v>
      </c>
      <c r="EO74" s="55">
        <v>225</v>
      </c>
      <c r="EP74" s="56">
        <v>430</v>
      </c>
      <c r="EQ74" s="55">
        <v>189</v>
      </c>
      <c r="ER74" s="56">
        <v>440</v>
      </c>
      <c r="ES74" s="55">
        <v>211</v>
      </c>
      <c r="ET74" s="56">
        <v>420</v>
      </c>
      <c r="EU74" s="55">
        <v>195</v>
      </c>
      <c r="EV74" s="56">
        <v>430</v>
      </c>
      <c r="EW74" s="55">
        <v>222</v>
      </c>
      <c r="EX74" s="56">
        <v>430</v>
      </c>
      <c r="EY74" s="55">
        <v>162</v>
      </c>
      <c r="EZ74" s="56">
        <v>438</v>
      </c>
      <c r="FA74" s="55">
        <v>188</v>
      </c>
      <c r="FB74" s="56">
        <v>440</v>
      </c>
      <c r="FC74" s="55">
        <v>206</v>
      </c>
      <c r="FD74" s="56">
        <v>450</v>
      </c>
      <c r="FE74" s="55">
        <v>230</v>
      </c>
      <c r="FF74" s="56">
        <v>440</v>
      </c>
      <c r="FG74" s="55">
        <v>190</v>
      </c>
      <c r="FH74" s="56">
        <v>435</v>
      </c>
      <c r="FI74" s="55">
        <v>225</v>
      </c>
      <c r="FJ74" s="56">
        <v>450</v>
      </c>
      <c r="FK74" s="55">
        <v>210</v>
      </c>
      <c r="FL74" s="56">
        <v>440</v>
      </c>
      <c r="FM74" s="55">
        <v>237</v>
      </c>
      <c r="FN74" s="56">
        <v>445</v>
      </c>
      <c r="FO74" s="55">
        <v>152</v>
      </c>
      <c r="FP74" s="56">
        <v>420</v>
      </c>
      <c r="FQ74" s="55">
        <v>171</v>
      </c>
      <c r="FR74" s="56">
        <v>415</v>
      </c>
      <c r="FS74" s="55">
        <v>173</v>
      </c>
      <c r="FT74" s="56">
        <v>410</v>
      </c>
      <c r="FU74" s="55">
        <v>270</v>
      </c>
      <c r="FV74" s="56">
        <v>400</v>
      </c>
      <c r="FW74" s="55">
        <v>239</v>
      </c>
      <c r="FX74" s="56">
        <v>400</v>
      </c>
      <c r="FY74" s="55">
        <v>220</v>
      </c>
      <c r="FZ74" s="56">
        <v>400</v>
      </c>
      <c r="GA74" s="55">
        <v>181</v>
      </c>
      <c r="GB74" s="56">
        <v>420</v>
      </c>
      <c r="GC74" s="55">
        <v>241</v>
      </c>
      <c r="GD74" s="56">
        <v>420</v>
      </c>
      <c r="GE74" s="55">
        <v>236</v>
      </c>
      <c r="GF74" s="56">
        <v>440</v>
      </c>
      <c r="GG74" s="55">
        <v>215</v>
      </c>
      <c r="GH74" s="56">
        <v>440</v>
      </c>
      <c r="GI74" s="55">
        <v>210</v>
      </c>
      <c r="GJ74" s="56">
        <v>450</v>
      </c>
      <c r="GK74" s="55">
        <v>191</v>
      </c>
      <c r="GL74" s="56">
        <v>500</v>
      </c>
      <c r="GM74" s="55">
        <v>159</v>
      </c>
      <c r="GN74" s="56">
        <v>530</v>
      </c>
      <c r="GO74" s="55">
        <v>190</v>
      </c>
      <c r="GP74" s="56">
        <v>530</v>
      </c>
      <c r="GQ74" s="55">
        <v>157</v>
      </c>
      <c r="GR74" s="56">
        <v>545</v>
      </c>
      <c r="GS74" s="55">
        <v>185</v>
      </c>
      <c r="GT74" s="56">
        <v>550</v>
      </c>
      <c r="GU74" s="55">
        <v>142</v>
      </c>
      <c r="GV74" s="56">
        <v>580</v>
      </c>
      <c r="GW74" s="55">
        <v>180</v>
      </c>
      <c r="GX74" s="56">
        <v>580</v>
      </c>
      <c r="GY74" s="55">
        <v>163</v>
      </c>
      <c r="GZ74" s="56">
        <v>575</v>
      </c>
      <c r="HA74">
        <v>188</v>
      </c>
      <c r="HB74" s="56">
        <v>580</v>
      </c>
      <c r="HC74">
        <v>151</v>
      </c>
      <c r="HD74" s="56">
        <v>590</v>
      </c>
      <c r="HE74">
        <v>133</v>
      </c>
      <c r="HF74" s="56">
        <v>600</v>
      </c>
    </row>
    <row r="75" spans="1:214" x14ac:dyDescent="0.25">
      <c r="A75" s="53"/>
      <c r="B75" s="54" t="s">
        <v>813</v>
      </c>
      <c r="C75" s="55">
        <v>232</v>
      </c>
      <c r="D75" s="56">
        <v>150</v>
      </c>
      <c r="E75" s="55">
        <v>248</v>
      </c>
      <c r="F75" s="56">
        <v>150</v>
      </c>
      <c r="G75" s="55">
        <v>249</v>
      </c>
      <c r="H75" s="56">
        <v>150</v>
      </c>
      <c r="I75" s="55">
        <v>257</v>
      </c>
      <c r="J75" s="56">
        <v>150</v>
      </c>
      <c r="K75" s="55">
        <v>230</v>
      </c>
      <c r="L75" s="56">
        <v>155</v>
      </c>
      <c r="M75" s="55">
        <v>276</v>
      </c>
      <c r="N75" s="56">
        <v>155</v>
      </c>
      <c r="O75" s="55">
        <v>248</v>
      </c>
      <c r="P75" s="56">
        <v>160</v>
      </c>
      <c r="Q75" s="55">
        <v>249</v>
      </c>
      <c r="R75" s="56">
        <v>160</v>
      </c>
      <c r="S75" s="55">
        <v>237</v>
      </c>
      <c r="T75" s="56">
        <v>160</v>
      </c>
      <c r="U75" s="55">
        <v>259</v>
      </c>
      <c r="V75" s="56">
        <v>160</v>
      </c>
      <c r="W75" s="55">
        <v>258</v>
      </c>
      <c r="X75" s="56">
        <v>165</v>
      </c>
      <c r="Y75" s="55">
        <v>237</v>
      </c>
      <c r="Z75" s="56">
        <v>165</v>
      </c>
      <c r="AA75" s="55">
        <v>233</v>
      </c>
      <c r="AB75" s="56">
        <v>165</v>
      </c>
      <c r="AC75" s="55">
        <v>256</v>
      </c>
      <c r="AD75" s="56">
        <v>170</v>
      </c>
      <c r="AE75" s="55">
        <v>247</v>
      </c>
      <c r="AF75" s="56">
        <v>165</v>
      </c>
      <c r="AG75" s="55">
        <v>271</v>
      </c>
      <c r="AH75" s="56">
        <v>174</v>
      </c>
      <c r="AI75" s="55">
        <v>256</v>
      </c>
      <c r="AJ75" s="56">
        <v>170</v>
      </c>
      <c r="AK75" s="55">
        <v>258</v>
      </c>
      <c r="AL75" s="56">
        <v>175</v>
      </c>
      <c r="AM75" s="55">
        <v>223</v>
      </c>
      <c r="AN75" s="56">
        <v>175</v>
      </c>
      <c r="AO75" s="55">
        <v>248</v>
      </c>
      <c r="AP75" s="56">
        <v>175</v>
      </c>
      <c r="AQ75" s="55">
        <v>232</v>
      </c>
      <c r="AR75" s="56">
        <v>175</v>
      </c>
      <c r="AS75" s="55">
        <v>245</v>
      </c>
      <c r="AT75" s="56">
        <v>180</v>
      </c>
      <c r="AU75" s="55">
        <v>215</v>
      </c>
      <c r="AV75" s="56">
        <v>180</v>
      </c>
      <c r="AW75" s="55">
        <v>229</v>
      </c>
      <c r="AX75" s="56">
        <v>180</v>
      </c>
      <c r="AY75" s="55">
        <v>242</v>
      </c>
      <c r="AZ75" s="56">
        <v>180</v>
      </c>
      <c r="BA75" s="55">
        <v>244</v>
      </c>
      <c r="BB75" s="56">
        <v>185</v>
      </c>
      <c r="BC75" s="55">
        <v>218</v>
      </c>
      <c r="BD75" s="56">
        <v>190</v>
      </c>
      <c r="BE75" s="55">
        <v>217</v>
      </c>
      <c r="BF75" s="56">
        <v>195</v>
      </c>
      <c r="BG75" s="55">
        <v>173</v>
      </c>
      <c r="BH75" s="56">
        <v>195</v>
      </c>
      <c r="BI75" s="55">
        <v>199</v>
      </c>
      <c r="BJ75" s="56">
        <v>200</v>
      </c>
      <c r="BK75" s="55">
        <v>192</v>
      </c>
      <c r="BL75" s="56">
        <v>203</v>
      </c>
      <c r="BM75" s="55">
        <v>227</v>
      </c>
      <c r="BN75" s="56">
        <v>210</v>
      </c>
      <c r="BO75" s="55">
        <v>190</v>
      </c>
      <c r="BP75" s="56">
        <v>210</v>
      </c>
      <c r="BQ75" s="55">
        <v>181</v>
      </c>
      <c r="BR75" s="56">
        <v>220</v>
      </c>
      <c r="BS75" s="55">
        <v>167</v>
      </c>
      <c r="BT75" s="56">
        <v>230</v>
      </c>
      <c r="BU75" s="55">
        <v>206</v>
      </c>
      <c r="BV75" s="56">
        <v>245</v>
      </c>
      <c r="BW75" s="55">
        <v>185</v>
      </c>
      <c r="BX75" s="56">
        <v>250</v>
      </c>
      <c r="BY75" s="55">
        <v>201</v>
      </c>
      <c r="BZ75" s="56">
        <v>250</v>
      </c>
      <c r="CA75" s="55">
        <v>231</v>
      </c>
      <c r="CB75" s="56">
        <v>250</v>
      </c>
      <c r="CC75" s="55">
        <v>186</v>
      </c>
      <c r="CD75" s="56">
        <v>250</v>
      </c>
      <c r="CE75" s="55">
        <v>192</v>
      </c>
      <c r="CF75" s="56">
        <v>265</v>
      </c>
      <c r="CG75" s="55">
        <v>196</v>
      </c>
      <c r="CH75" s="56">
        <v>270</v>
      </c>
      <c r="CI75" s="55">
        <v>182</v>
      </c>
      <c r="CJ75" s="56">
        <v>270</v>
      </c>
      <c r="CK75" s="55">
        <v>202</v>
      </c>
      <c r="CL75" s="56">
        <v>270</v>
      </c>
      <c r="CM75" s="55">
        <v>192</v>
      </c>
      <c r="CN75" s="56">
        <v>280</v>
      </c>
      <c r="CO75" s="55">
        <v>215</v>
      </c>
      <c r="CP75" s="56">
        <v>290</v>
      </c>
      <c r="CQ75" s="55">
        <v>199</v>
      </c>
      <c r="CR75" s="56">
        <v>290</v>
      </c>
      <c r="CS75" s="55">
        <v>228</v>
      </c>
      <c r="CT75" s="56">
        <v>290</v>
      </c>
      <c r="CU75" s="55">
        <v>178</v>
      </c>
      <c r="CV75" s="56">
        <v>300</v>
      </c>
      <c r="CW75" s="55">
        <v>248</v>
      </c>
      <c r="CX75" s="56">
        <v>300</v>
      </c>
      <c r="CY75" s="55">
        <v>195</v>
      </c>
      <c r="CZ75" s="56">
        <v>300</v>
      </c>
      <c r="DA75" s="55">
        <v>235</v>
      </c>
      <c r="DB75" s="56">
        <v>300</v>
      </c>
      <c r="DC75" s="55">
        <v>215</v>
      </c>
      <c r="DD75" s="56">
        <v>310</v>
      </c>
      <c r="DE75" s="55">
        <v>251</v>
      </c>
      <c r="DF75" s="56">
        <v>300</v>
      </c>
      <c r="DG75" s="55">
        <v>231</v>
      </c>
      <c r="DH75" s="56">
        <v>300</v>
      </c>
      <c r="DI75" s="55">
        <v>240</v>
      </c>
      <c r="DJ75" s="56">
        <v>300</v>
      </c>
      <c r="DK75" s="55">
        <v>246</v>
      </c>
      <c r="DL75" s="56">
        <v>305</v>
      </c>
      <c r="DM75" s="55">
        <v>289</v>
      </c>
      <c r="DN75" s="56">
        <v>310</v>
      </c>
      <c r="DO75" s="55">
        <v>231</v>
      </c>
      <c r="DP75" s="56">
        <v>310</v>
      </c>
      <c r="DQ75" s="55">
        <v>222</v>
      </c>
      <c r="DR75" s="56">
        <v>311</v>
      </c>
      <c r="DS75" s="55">
        <v>238</v>
      </c>
      <c r="DT75" s="56">
        <v>320</v>
      </c>
      <c r="DU75" s="55">
        <v>257</v>
      </c>
      <c r="DV75" s="56">
        <v>320</v>
      </c>
      <c r="DW75" s="55">
        <v>247</v>
      </c>
      <c r="DX75" s="56">
        <v>320</v>
      </c>
      <c r="DY75" s="55">
        <v>232</v>
      </c>
      <c r="DZ75" s="56">
        <v>320</v>
      </c>
      <c r="EA75" s="55">
        <v>258</v>
      </c>
      <c r="EB75" s="56">
        <v>323</v>
      </c>
      <c r="EC75" s="55">
        <v>287</v>
      </c>
      <c r="ED75" s="56">
        <v>330</v>
      </c>
      <c r="EE75" s="55">
        <v>253</v>
      </c>
      <c r="EF75" s="56">
        <v>330</v>
      </c>
      <c r="EG75" s="55">
        <v>267</v>
      </c>
      <c r="EH75" s="56">
        <v>330</v>
      </c>
      <c r="EI75" s="55">
        <v>277</v>
      </c>
      <c r="EJ75" s="56">
        <v>330</v>
      </c>
      <c r="EK75" s="55">
        <v>263</v>
      </c>
      <c r="EL75" s="56">
        <v>340</v>
      </c>
      <c r="EM75" s="55">
        <v>259</v>
      </c>
      <c r="EN75" s="56">
        <v>345</v>
      </c>
      <c r="EO75" s="55">
        <v>265</v>
      </c>
      <c r="EP75" s="56">
        <v>345</v>
      </c>
      <c r="EQ75" s="55">
        <v>254</v>
      </c>
      <c r="ER75" s="56">
        <v>340</v>
      </c>
      <c r="ES75" s="55">
        <v>260</v>
      </c>
      <c r="ET75" s="56">
        <v>350</v>
      </c>
      <c r="EU75" s="55">
        <v>226</v>
      </c>
      <c r="EV75" s="56">
        <v>350</v>
      </c>
      <c r="EW75" s="55">
        <v>259</v>
      </c>
      <c r="EX75" s="56">
        <v>350</v>
      </c>
      <c r="EY75" s="55">
        <v>245</v>
      </c>
      <c r="EZ75" s="56">
        <v>360</v>
      </c>
      <c r="FA75" s="55">
        <v>238</v>
      </c>
      <c r="FB75" s="56">
        <v>360</v>
      </c>
      <c r="FC75" s="55">
        <v>209</v>
      </c>
      <c r="FD75" s="56">
        <v>360</v>
      </c>
      <c r="FE75" s="55">
        <v>265</v>
      </c>
      <c r="FF75" s="56">
        <v>365</v>
      </c>
      <c r="FG75" s="55">
        <v>261</v>
      </c>
      <c r="FH75" s="56">
        <v>365</v>
      </c>
      <c r="FI75" s="55">
        <v>293</v>
      </c>
      <c r="FJ75" s="56">
        <v>380</v>
      </c>
      <c r="FK75" s="55">
        <v>233</v>
      </c>
      <c r="FL75" s="56">
        <v>370</v>
      </c>
      <c r="FM75" s="55">
        <v>247</v>
      </c>
      <c r="FN75" s="56">
        <v>370</v>
      </c>
      <c r="FO75" s="55">
        <v>188</v>
      </c>
      <c r="FP75" s="56">
        <v>370</v>
      </c>
      <c r="FQ75" s="55">
        <v>168</v>
      </c>
      <c r="FR75" s="56">
        <v>365</v>
      </c>
      <c r="FS75" s="55">
        <v>199</v>
      </c>
      <c r="FT75" s="56">
        <v>370</v>
      </c>
      <c r="FU75" s="55">
        <v>251</v>
      </c>
      <c r="FV75" s="56">
        <v>375</v>
      </c>
      <c r="FW75" s="55">
        <v>226</v>
      </c>
      <c r="FX75" s="56">
        <v>375</v>
      </c>
      <c r="FY75" s="55">
        <v>202</v>
      </c>
      <c r="FZ75" s="56">
        <v>380</v>
      </c>
      <c r="GA75" s="55">
        <v>230</v>
      </c>
      <c r="GB75" s="56">
        <v>390</v>
      </c>
      <c r="GC75" s="55">
        <v>233</v>
      </c>
      <c r="GD75" s="56">
        <v>385</v>
      </c>
      <c r="GE75" s="55">
        <v>209</v>
      </c>
      <c r="GF75" s="56">
        <v>390</v>
      </c>
      <c r="GG75" s="55">
        <v>227</v>
      </c>
      <c r="GH75" s="56">
        <v>395</v>
      </c>
      <c r="GI75" s="55">
        <v>233</v>
      </c>
      <c r="GJ75" s="56">
        <v>405</v>
      </c>
      <c r="GK75" s="55">
        <v>211</v>
      </c>
      <c r="GL75" s="56">
        <v>420</v>
      </c>
      <c r="GM75" s="55">
        <v>183</v>
      </c>
      <c r="GN75" s="56">
        <v>430</v>
      </c>
      <c r="GO75" s="55">
        <v>157</v>
      </c>
      <c r="GP75" s="56">
        <v>450</v>
      </c>
      <c r="GQ75" s="55">
        <v>180</v>
      </c>
      <c r="GR75" s="56">
        <v>460</v>
      </c>
      <c r="GS75" s="55">
        <v>215</v>
      </c>
      <c r="GT75" s="56">
        <v>470</v>
      </c>
      <c r="GU75" s="55">
        <v>164</v>
      </c>
      <c r="GV75" s="56">
        <v>478</v>
      </c>
      <c r="GW75" s="55">
        <v>187</v>
      </c>
      <c r="GX75" s="56">
        <v>500</v>
      </c>
      <c r="GY75" s="55">
        <v>194</v>
      </c>
      <c r="GZ75" s="56">
        <v>510</v>
      </c>
      <c r="HA75">
        <v>164</v>
      </c>
      <c r="HB75" s="56">
        <v>500</v>
      </c>
      <c r="HC75">
        <v>174</v>
      </c>
      <c r="HD75" s="56">
        <v>520</v>
      </c>
      <c r="HE75">
        <v>129</v>
      </c>
      <c r="HF75" s="56">
        <v>520</v>
      </c>
    </row>
    <row r="76" spans="1:214" x14ac:dyDescent="0.25">
      <c r="A76" s="53"/>
      <c r="B76" s="54" t="s">
        <v>814</v>
      </c>
      <c r="C76" s="55">
        <v>268</v>
      </c>
      <c r="D76" s="56">
        <v>165</v>
      </c>
      <c r="E76" s="55">
        <v>267</v>
      </c>
      <c r="F76" s="56">
        <v>165</v>
      </c>
      <c r="G76" s="55">
        <v>272</v>
      </c>
      <c r="H76" s="56">
        <v>170</v>
      </c>
      <c r="I76" s="55">
        <v>376</v>
      </c>
      <c r="J76" s="56">
        <v>170</v>
      </c>
      <c r="K76" s="55">
        <v>213</v>
      </c>
      <c r="L76" s="56">
        <v>175</v>
      </c>
      <c r="M76" s="55">
        <v>282</v>
      </c>
      <c r="N76" s="56">
        <v>175</v>
      </c>
      <c r="O76" s="55">
        <v>285</v>
      </c>
      <c r="P76" s="56">
        <v>175</v>
      </c>
      <c r="Q76" s="55">
        <v>367</v>
      </c>
      <c r="R76" s="56">
        <v>175</v>
      </c>
      <c r="S76" s="55">
        <v>247</v>
      </c>
      <c r="T76" s="56">
        <v>180</v>
      </c>
      <c r="U76" s="55">
        <v>269</v>
      </c>
      <c r="V76" s="56">
        <v>180</v>
      </c>
      <c r="W76" s="55">
        <v>265</v>
      </c>
      <c r="X76" s="56">
        <v>185</v>
      </c>
      <c r="Y76" s="55">
        <v>370</v>
      </c>
      <c r="Z76" s="56">
        <v>185</v>
      </c>
      <c r="AA76" s="55">
        <v>249</v>
      </c>
      <c r="AB76" s="56">
        <v>190</v>
      </c>
      <c r="AC76" s="55">
        <v>284</v>
      </c>
      <c r="AD76" s="56">
        <v>190</v>
      </c>
      <c r="AE76" s="55">
        <v>258</v>
      </c>
      <c r="AF76" s="56">
        <v>190</v>
      </c>
      <c r="AG76" s="55">
        <v>351</v>
      </c>
      <c r="AH76" s="56">
        <v>190</v>
      </c>
      <c r="AI76" s="55">
        <v>248</v>
      </c>
      <c r="AJ76" s="56">
        <v>195</v>
      </c>
      <c r="AK76" s="55">
        <v>288</v>
      </c>
      <c r="AL76" s="56">
        <v>200</v>
      </c>
      <c r="AM76" s="55">
        <v>264</v>
      </c>
      <c r="AN76" s="56">
        <v>200</v>
      </c>
      <c r="AO76" s="55">
        <v>399</v>
      </c>
      <c r="AP76" s="56">
        <v>200</v>
      </c>
      <c r="AQ76" s="55">
        <v>196</v>
      </c>
      <c r="AR76" s="56">
        <v>210</v>
      </c>
      <c r="AS76" s="55">
        <v>245</v>
      </c>
      <c r="AT76" s="56">
        <v>195</v>
      </c>
      <c r="AU76" s="55">
        <v>286</v>
      </c>
      <c r="AV76" s="56">
        <v>203</v>
      </c>
      <c r="AW76" s="55">
        <v>385</v>
      </c>
      <c r="AX76" s="56">
        <v>210</v>
      </c>
      <c r="AY76" s="55">
        <v>263</v>
      </c>
      <c r="AZ76" s="56">
        <v>220</v>
      </c>
      <c r="BA76" s="55">
        <v>296</v>
      </c>
      <c r="BB76" s="56">
        <v>210</v>
      </c>
      <c r="BC76" s="55">
        <v>238</v>
      </c>
      <c r="BD76" s="56">
        <v>220</v>
      </c>
      <c r="BE76" s="55">
        <v>381</v>
      </c>
      <c r="BF76" s="56">
        <v>225</v>
      </c>
      <c r="BG76" s="55">
        <v>216</v>
      </c>
      <c r="BH76" s="56">
        <v>230</v>
      </c>
      <c r="BI76" s="55">
        <v>222</v>
      </c>
      <c r="BJ76" s="56">
        <v>235</v>
      </c>
      <c r="BK76" s="55">
        <v>275</v>
      </c>
      <c r="BL76" s="56">
        <v>240</v>
      </c>
      <c r="BM76" s="55">
        <v>334</v>
      </c>
      <c r="BN76" s="56">
        <v>240</v>
      </c>
      <c r="BO76" s="55">
        <v>202</v>
      </c>
      <c r="BP76" s="56">
        <v>250</v>
      </c>
      <c r="BQ76" s="55">
        <v>215</v>
      </c>
      <c r="BR76" s="56">
        <v>260</v>
      </c>
      <c r="BS76" s="55">
        <v>232</v>
      </c>
      <c r="BT76" s="56">
        <v>260</v>
      </c>
      <c r="BU76" s="55">
        <v>331</v>
      </c>
      <c r="BV76" s="56">
        <v>280</v>
      </c>
      <c r="BW76" s="55">
        <v>260</v>
      </c>
      <c r="BX76" s="56">
        <v>290</v>
      </c>
      <c r="BY76" s="55">
        <v>258</v>
      </c>
      <c r="BZ76" s="56">
        <v>300</v>
      </c>
      <c r="CA76" s="55">
        <v>244</v>
      </c>
      <c r="CB76" s="56">
        <v>303</v>
      </c>
      <c r="CC76" s="55">
        <v>322</v>
      </c>
      <c r="CD76" s="56">
        <v>310</v>
      </c>
      <c r="CE76" s="55">
        <v>245</v>
      </c>
      <c r="CF76" s="56">
        <v>300</v>
      </c>
      <c r="CG76" s="55">
        <v>250</v>
      </c>
      <c r="CH76" s="56">
        <v>310</v>
      </c>
      <c r="CI76" s="55">
        <v>260</v>
      </c>
      <c r="CJ76" s="56">
        <v>310</v>
      </c>
      <c r="CK76" s="55">
        <v>373</v>
      </c>
      <c r="CL76" s="56">
        <v>320</v>
      </c>
      <c r="CM76" s="55">
        <v>287</v>
      </c>
      <c r="CN76" s="56">
        <v>320</v>
      </c>
      <c r="CO76" s="55">
        <v>271</v>
      </c>
      <c r="CP76" s="56">
        <v>330</v>
      </c>
      <c r="CQ76" s="55">
        <v>272</v>
      </c>
      <c r="CR76" s="56">
        <v>330</v>
      </c>
      <c r="CS76" s="55">
        <v>391</v>
      </c>
      <c r="CT76" s="56">
        <v>335</v>
      </c>
      <c r="CU76" s="55">
        <v>236</v>
      </c>
      <c r="CV76" s="56">
        <v>330</v>
      </c>
      <c r="CW76" s="55">
        <v>325</v>
      </c>
      <c r="CX76" s="56">
        <v>340</v>
      </c>
      <c r="CY76" s="55">
        <v>279</v>
      </c>
      <c r="CZ76" s="56">
        <v>340</v>
      </c>
      <c r="DA76" s="55">
        <v>354</v>
      </c>
      <c r="DB76" s="56">
        <v>350</v>
      </c>
      <c r="DC76" s="55">
        <v>289</v>
      </c>
      <c r="DD76" s="56">
        <v>345</v>
      </c>
      <c r="DE76" s="55">
        <v>278</v>
      </c>
      <c r="DF76" s="56">
        <v>345</v>
      </c>
      <c r="DG76" s="55">
        <v>294</v>
      </c>
      <c r="DH76" s="56">
        <v>340</v>
      </c>
      <c r="DI76" s="55">
        <v>426</v>
      </c>
      <c r="DJ76" s="56">
        <v>350</v>
      </c>
      <c r="DK76" s="55">
        <v>299</v>
      </c>
      <c r="DL76" s="56">
        <v>350</v>
      </c>
      <c r="DM76" s="55">
        <v>349</v>
      </c>
      <c r="DN76" s="56">
        <v>350</v>
      </c>
      <c r="DO76" s="55">
        <v>285</v>
      </c>
      <c r="DP76" s="56">
        <v>350</v>
      </c>
      <c r="DQ76" s="55">
        <v>408</v>
      </c>
      <c r="DR76" s="56">
        <v>360</v>
      </c>
      <c r="DS76" s="55">
        <v>292</v>
      </c>
      <c r="DT76" s="56">
        <v>360</v>
      </c>
      <c r="DU76" s="55">
        <v>325</v>
      </c>
      <c r="DV76" s="56">
        <v>360</v>
      </c>
      <c r="DW76" s="55">
        <v>324</v>
      </c>
      <c r="DX76" s="56">
        <v>360</v>
      </c>
      <c r="DY76" s="55">
        <v>450</v>
      </c>
      <c r="DZ76" s="56">
        <v>365</v>
      </c>
      <c r="EA76" s="55">
        <v>334</v>
      </c>
      <c r="EB76" s="56">
        <v>360</v>
      </c>
      <c r="EC76" s="55">
        <v>333</v>
      </c>
      <c r="ED76" s="56">
        <v>360</v>
      </c>
      <c r="EE76" s="55">
        <v>355</v>
      </c>
      <c r="EF76" s="56">
        <v>370</v>
      </c>
      <c r="EG76" s="55">
        <v>465</v>
      </c>
      <c r="EH76" s="56">
        <v>380</v>
      </c>
      <c r="EI76" s="55">
        <v>338</v>
      </c>
      <c r="EJ76" s="56">
        <v>380</v>
      </c>
      <c r="EK76" s="55">
        <v>410</v>
      </c>
      <c r="EL76" s="56">
        <v>380</v>
      </c>
      <c r="EM76" s="55">
        <v>329</v>
      </c>
      <c r="EN76" s="56">
        <v>385</v>
      </c>
      <c r="EO76" s="55">
        <v>454</v>
      </c>
      <c r="EP76" s="56">
        <v>385</v>
      </c>
      <c r="EQ76" s="55">
        <v>355</v>
      </c>
      <c r="ER76" s="56">
        <v>400</v>
      </c>
      <c r="ES76" s="55">
        <v>367</v>
      </c>
      <c r="ET76" s="56">
        <v>390</v>
      </c>
      <c r="EU76" s="55">
        <v>331</v>
      </c>
      <c r="EV76" s="56">
        <v>391</v>
      </c>
      <c r="EW76" s="55">
        <v>465</v>
      </c>
      <c r="EX76" s="56">
        <v>400</v>
      </c>
      <c r="EY76" s="55">
        <v>312</v>
      </c>
      <c r="EZ76" s="56">
        <v>400</v>
      </c>
      <c r="FA76" s="55">
        <v>372</v>
      </c>
      <c r="FB76" s="56">
        <v>410</v>
      </c>
      <c r="FC76" s="55">
        <v>307</v>
      </c>
      <c r="FD76" s="56">
        <v>400</v>
      </c>
      <c r="FE76" s="55">
        <v>458</v>
      </c>
      <c r="FF76" s="56">
        <v>410</v>
      </c>
      <c r="FG76" s="55">
        <v>297</v>
      </c>
      <c r="FH76" s="56">
        <v>410</v>
      </c>
      <c r="FI76" s="55">
        <v>369</v>
      </c>
      <c r="FJ76" s="56">
        <v>410</v>
      </c>
      <c r="FK76" s="55">
        <v>325</v>
      </c>
      <c r="FL76" s="56">
        <v>415</v>
      </c>
      <c r="FM76" s="55">
        <v>657</v>
      </c>
      <c r="FN76" s="56">
        <v>450</v>
      </c>
      <c r="FO76" s="55">
        <v>319</v>
      </c>
      <c r="FP76" s="56">
        <v>405</v>
      </c>
      <c r="FQ76" s="55">
        <v>413</v>
      </c>
      <c r="FR76" s="56">
        <v>400</v>
      </c>
      <c r="FS76" s="55">
        <v>467</v>
      </c>
      <c r="FT76" s="56">
        <v>399</v>
      </c>
      <c r="FU76" s="55">
        <v>672</v>
      </c>
      <c r="FV76" s="56">
        <v>391</v>
      </c>
      <c r="FW76" s="55">
        <v>587</v>
      </c>
      <c r="FX76" s="56">
        <v>380</v>
      </c>
      <c r="FY76" s="55">
        <v>446</v>
      </c>
      <c r="FZ76" s="56">
        <v>390</v>
      </c>
      <c r="GA76" s="55">
        <v>539</v>
      </c>
      <c r="GB76" s="56">
        <v>390</v>
      </c>
      <c r="GC76" s="55">
        <v>643</v>
      </c>
      <c r="GD76" s="56">
        <v>414</v>
      </c>
      <c r="GE76" s="55">
        <v>482</v>
      </c>
      <c r="GF76" s="56">
        <v>420</v>
      </c>
      <c r="GG76" s="55">
        <v>440</v>
      </c>
      <c r="GH76" s="56">
        <v>435</v>
      </c>
      <c r="GI76" s="55">
        <v>399</v>
      </c>
      <c r="GJ76" s="56">
        <v>450</v>
      </c>
      <c r="GK76" s="55">
        <v>483</v>
      </c>
      <c r="GL76" s="56">
        <v>480</v>
      </c>
      <c r="GM76" s="55">
        <v>336</v>
      </c>
      <c r="GN76" s="56">
        <v>500</v>
      </c>
      <c r="GO76" s="55">
        <v>357</v>
      </c>
      <c r="GP76" s="56">
        <v>520</v>
      </c>
      <c r="GQ76" s="55">
        <v>347</v>
      </c>
      <c r="GR76" s="56">
        <v>530</v>
      </c>
      <c r="GS76" s="55">
        <v>464</v>
      </c>
      <c r="GT76" s="56">
        <v>565</v>
      </c>
      <c r="GU76" s="55">
        <v>308</v>
      </c>
      <c r="GV76" s="56">
        <v>568</v>
      </c>
      <c r="GW76" s="55">
        <v>442</v>
      </c>
      <c r="GX76" s="56">
        <v>570</v>
      </c>
      <c r="GY76" s="55">
        <v>399</v>
      </c>
      <c r="GZ76" s="56">
        <v>560</v>
      </c>
      <c r="HA76">
        <v>518</v>
      </c>
      <c r="HB76" s="56">
        <v>600</v>
      </c>
      <c r="HC76">
        <v>302</v>
      </c>
      <c r="HD76" s="56">
        <v>580</v>
      </c>
      <c r="HE76">
        <v>421</v>
      </c>
      <c r="HF76" s="56">
        <v>600</v>
      </c>
    </row>
    <row r="77" spans="1:214" x14ac:dyDescent="0.25">
      <c r="A77" s="53"/>
      <c r="B77" s="54" t="s">
        <v>815</v>
      </c>
      <c r="C77" s="55">
        <v>321</v>
      </c>
      <c r="D77" s="56">
        <v>165</v>
      </c>
      <c r="E77" s="55">
        <v>302</v>
      </c>
      <c r="F77" s="56">
        <v>165</v>
      </c>
      <c r="G77" s="55">
        <v>315</v>
      </c>
      <c r="H77" s="56">
        <v>170</v>
      </c>
      <c r="I77" s="55">
        <v>383</v>
      </c>
      <c r="J77" s="56">
        <v>170</v>
      </c>
      <c r="K77" s="55">
        <v>302</v>
      </c>
      <c r="L77" s="56">
        <v>170</v>
      </c>
      <c r="M77" s="55">
        <v>310</v>
      </c>
      <c r="N77" s="56">
        <v>175</v>
      </c>
      <c r="O77" s="55">
        <v>304</v>
      </c>
      <c r="P77" s="56">
        <v>170</v>
      </c>
      <c r="Q77" s="55">
        <v>371</v>
      </c>
      <c r="R77" s="56">
        <v>175</v>
      </c>
      <c r="S77" s="55">
        <v>289</v>
      </c>
      <c r="T77" s="56">
        <v>180</v>
      </c>
      <c r="U77" s="55">
        <v>302</v>
      </c>
      <c r="V77" s="56">
        <v>183</v>
      </c>
      <c r="W77" s="55">
        <v>303</v>
      </c>
      <c r="X77" s="56">
        <v>185</v>
      </c>
      <c r="Y77" s="55">
        <v>353</v>
      </c>
      <c r="Z77" s="56">
        <v>190</v>
      </c>
      <c r="AA77" s="55">
        <v>275</v>
      </c>
      <c r="AB77" s="56">
        <v>190</v>
      </c>
      <c r="AC77" s="55">
        <v>319</v>
      </c>
      <c r="AD77" s="56">
        <v>195</v>
      </c>
      <c r="AE77" s="55">
        <v>283</v>
      </c>
      <c r="AF77" s="56">
        <v>190</v>
      </c>
      <c r="AG77" s="55">
        <v>375</v>
      </c>
      <c r="AH77" s="56">
        <v>190</v>
      </c>
      <c r="AI77" s="55">
        <v>287</v>
      </c>
      <c r="AJ77" s="56">
        <v>195</v>
      </c>
      <c r="AK77" s="55">
        <v>298</v>
      </c>
      <c r="AL77" s="56">
        <v>200</v>
      </c>
      <c r="AM77" s="55">
        <v>287</v>
      </c>
      <c r="AN77" s="56">
        <v>200</v>
      </c>
      <c r="AO77" s="55">
        <v>363</v>
      </c>
      <c r="AP77" s="56">
        <v>200</v>
      </c>
      <c r="AQ77" s="55">
        <v>264</v>
      </c>
      <c r="AR77" s="56">
        <v>200</v>
      </c>
      <c r="AS77" s="55">
        <v>289</v>
      </c>
      <c r="AT77" s="56">
        <v>200</v>
      </c>
      <c r="AU77" s="55">
        <v>275</v>
      </c>
      <c r="AV77" s="56">
        <v>200</v>
      </c>
      <c r="AW77" s="55">
        <v>336</v>
      </c>
      <c r="AX77" s="56">
        <v>210</v>
      </c>
      <c r="AY77" s="55">
        <v>273</v>
      </c>
      <c r="AZ77" s="56">
        <v>210</v>
      </c>
      <c r="BA77" s="55">
        <v>311</v>
      </c>
      <c r="BB77" s="56">
        <v>210</v>
      </c>
      <c r="BC77" s="55">
        <v>271</v>
      </c>
      <c r="BD77" s="56">
        <v>210</v>
      </c>
      <c r="BE77" s="55">
        <v>302</v>
      </c>
      <c r="BF77" s="56">
        <v>215</v>
      </c>
      <c r="BG77" s="55">
        <v>253</v>
      </c>
      <c r="BH77" s="56">
        <v>220</v>
      </c>
      <c r="BI77" s="55">
        <v>266</v>
      </c>
      <c r="BJ77" s="56">
        <v>230</v>
      </c>
      <c r="BK77" s="55">
        <v>254</v>
      </c>
      <c r="BL77" s="56">
        <v>230</v>
      </c>
      <c r="BM77" s="55">
        <v>303</v>
      </c>
      <c r="BN77" s="56">
        <v>245</v>
      </c>
      <c r="BO77" s="55">
        <v>252</v>
      </c>
      <c r="BP77" s="56">
        <v>250</v>
      </c>
      <c r="BQ77" s="55">
        <v>241</v>
      </c>
      <c r="BR77" s="56">
        <v>255</v>
      </c>
      <c r="BS77" s="55">
        <v>262</v>
      </c>
      <c r="BT77" s="56">
        <v>270</v>
      </c>
      <c r="BU77" s="55">
        <v>317</v>
      </c>
      <c r="BV77" s="56">
        <v>280</v>
      </c>
      <c r="BW77" s="55">
        <v>209</v>
      </c>
      <c r="BX77" s="56">
        <v>290</v>
      </c>
      <c r="BY77" s="55">
        <v>250</v>
      </c>
      <c r="BZ77" s="56">
        <v>290</v>
      </c>
      <c r="CA77" s="55">
        <v>237</v>
      </c>
      <c r="CB77" s="56">
        <v>290</v>
      </c>
      <c r="CC77" s="55">
        <v>317</v>
      </c>
      <c r="CD77" s="56">
        <v>300</v>
      </c>
      <c r="CE77" s="55">
        <v>283</v>
      </c>
      <c r="CF77" s="56">
        <v>300</v>
      </c>
      <c r="CG77" s="55">
        <v>267</v>
      </c>
      <c r="CH77" s="56">
        <v>300</v>
      </c>
      <c r="CI77" s="55">
        <v>256</v>
      </c>
      <c r="CJ77" s="56">
        <v>310</v>
      </c>
      <c r="CK77" s="55">
        <v>299</v>
      </c>
      <c r="CL77" s="56">
        <v>320</v>
      </c>
      <c r="CM77" s="55">
        <v>286</v>
      </c>
      <c r="CN77" s="56">
        <v>320</v>
      </c>
      <c r="CO77" s="55">
        <v>289</v>
      </c>
      <c r="CP77" s="56">
        <v>320</v>
      </c>
      <c r="CQ77" s="55">
        <v>341</v>
      </c>
      <c r="CR77" s="56">
        <v>320</v>
      </c>
      <c r="CS77" s="55">
        <v>351</v>
      </c>
      <c r="CT77" s="56">
        <v>335</v>
      </c>
      <c r="CU77" s="55">
        <v>277</v>
      </c>
      <c r="CV77" s="56">
        <v>330</v>
      </c>
      <c r="CW77" s="55">
        <v>323</v>
      </c>
      <c r="CX77" s="56">
        <v>340</v>
      </c>
      <c r="CY77" s="55">
        <v>320</v>
      </c>
      <c r="CZ77" s="56">
        <v>340</v>
      </c>
      <c r="DA77" s="55">
        <v>448</v>
      </c>
      <c r="DB77" s="56">
        <v>343</v>
      </c>
      <c r="DC77" s="55">
        <v>314</v>
      </c>
      <c r="DD77" s="56">
        <v>350</v>
      </c>
      <c r="DE77" s="55">
        <v>306</v>
      </c>
      <c r="DF77" s="56">
        <v>345</v>
      </c>
      <c r="DG77" s="55">
        <v>323</v>
      </c>
      <c r="DH77" s="56">
        <v>340</v>
      </c>
      <c r="DI77" s="55">
        <v>441</v>
      </c>
      <c r="DJ77" s="56">
        <v>350</v>
      </c>
      <c r="DK77" s="55">
        <v>360</v>
      </c>
      <c r="DL77" s="56">
        <v>350</v>
      </c>
      <c r="DM77" s="55">
        <v>337</v>
      </c>
      <c r="DN77" s="56">
        <v>350</v>
      </c>
      <c r="DO77" s="55">
        <v>348</v>
      </c>
      <c r="DP77" s="56">
        <v>353</v>
      </c>
      <c r="DQ77" s="55">
        <v>530</v>
      </c>
      <c r="DR77" s="56">
        <v>365</v>
      </c>
      <c r="DS77" s="55">
        <v>385</v>
      </c>
      <c r="DT77" s="56">
        <v>355</v>
      </c>
      <c r="DU77" s="55">
        <v>404</v>
      </c>
      <c r="DV77" s="56">
        <v>355</v>
      </c>
      <c r="DW77" s="55">
        <v>382</v>
      </c>
      <c r="DX77" s="56">
        <v>370</v>
      </c>
      <c r="DY77" s="55">
        <v>452</v>
      </c>
      <c r="DZ77" s="56">
        <v>370</v>
      </c>
      <c r="EA77" s="55">
        <v>435</v>
      </c>
      <c r="EB77" s="56">
        <v>370</v>
      </c>
      <c r="EC77" s="55">
        <v>415</v>
      </c>
      <c r="ED77" s="56">
        <v>370</v>
      </c>
      <c r="EE77" s="55">
        <v>450</v>
      </c>
      <c r="EF77" s="56">
        <v>373</v>
      </c>
      <c r="EG77" s="55">
        <v>513</v>
      </c>
      <c r="EH77" s="56">
        <v>390</v>
      </c>
      <c r="EI77" s="55">
        <v>394</v>
      </c>
      <c r="EJ77" s="56">
        <v>380</v>
      </c>
      <c r="EK77" s="55">
        <v>509</v>
      </c>
      <c r="EL77" s="56">
        <v>380</v>
      </c>
      <c r="EM77" s="55">
        <v>463</v>
      </c>
      <c r="EN77" s="56">
        <v>390</v>
      </c>
      <c r="EO77" s="55">
        <v>553</v>
      </c>
      <c r="EP77" s="56">
        <v>390</v>
      </c>
      <c r="EQ77" s="55">
        <v>463</v>
      </c>
      <c r="ER77" s="56">
        <v>400</v>
      </c>
      <c r="ES77" s="55">
        <v>519</v>
      </c>
      <c r="ET77" s="56">
        <v>410</v>
      </c>
      <c r="EU77" s="55">
        <v>538</v>
      </c>
      <c r="EV77" s="56">
        <v>420</v>
      </c>
      <c r="EW77" s="55">
        <v>780</v>
      </c>
      <c r="EX77" s="56">
        <v>430</v>
      </c>
      <c r="EY77" s="55">
        <v>459</v>
      </c>
      <c r="EZ77" s="56">
        <v>420</v>
      </c>
      <c r="FA77" s="55">
        <v>505</v>
      </c>
      <c r="FB77" s="56">
        <v>420</v>
      </c>
      <c r="FC77" s="55">
        <v>515</v>
      </c>
      <c r="FD77" s="56">
        <v>415</v>
      </c>
      <c r="FE77" s="55">
        <v>616</v>
      </c>
      <c r="FF77" s="56">
        <v>430</v>
      </c>
      <c r="FG77" s="55">
        <v>457</v>
      </c>
      <c r="FH77" s="56">
        <v>420</v>
      </c>
      <c r="FI77" s="55">
        <v>490</v>
      </c>
      <c r="FJ77" s="56">
        <v>425</v>
      </c>
      <c r="FK77" s="55">
        <v>546</v>
      </c>
      <c r="FL77" s="56">
        <v>430</v>
      </c>
      <c r="FM77" s="55">
        <v>644</v>
      </c>
      <c r="FN77" s="56">
        <v>450</v>
      </c>
      <c r="FO77" s="55">
        <v>423</v>
      </c>
      <c r="FP77" s="56">
        <v>410</v>
      </c>
      <c r="FQ77" s="55">
        <v>462</v>
      </c>
      <c r="FR77" s="56">
        <v>400</v>
      </c>
      <c r="FS77" s="55">
        <v>563</v>
      </c>
      <c r="FT77" s="56">
        <v>400</v>
      </c>
      <c r="FU77" s="55">
        <v>744</v>
      </c>
      <c r="FV77" s="56">
        <v>395</v>
      </c>
      <c r="FW77" s="55">
        <v>655</v>
      </c>
      <c r="FX77" s="56">
        <v>385</v>
      </c>
      <c r="FY77" s="55">
        <v>623</v>
      </c>
      <c r="FZ77" s="56">
        <v>400</v>
      </c>
      <c r="GA77" s="55">
        <v>653</v>
      </c>
      <c r="GB77" s="56">
        <v>400</v>
      </c>
      <c r="GC77" s="55">
        <v>780</v>
      </c>
      <c r="GD77" s="56">
        <v>415</v>
      </c>
      <c r="GE77" s="55">
        <v>600</v>
      </c>
      <c r="GF77" s="56">
        <v>430</v>
      </c>
      <c r="GG77" s="55">
        <v>646</v>
      </c>
      <c r="GH77" s="56">
        <v>430</v>
      </c>
      <c r="GI77" s="55">
        <v>528</v>
      </c>
      <c r="GJ77" s="56">
        <v>450</v>
      </c>
      <c r="GK77" s="55">
        <v>568</v>
      </c>
      <c r="GL77" s="56">
        <v>480</v>
      </c>
      <c r="GM77" s="55">
        <v>520</v>
      </c>
      <c r="GN77" s="56">
        <v>510</v>
      </c>
      <c r="GO77" s="55">
        <v>560</v>
      </c>
      <c r="GP77" s="56">
        <v>550</v>
      </c>
      <c r="GQ77" s="55">
        <v>494</v>
      </c>
      <c r="GR77" s="56">
        <v>550</v>
      </c>
      <c r="GS77" s="55">
        <v>595</v>
      </c>
      <c r="GT77" s="56">
        <v>550</v>
      </c>
      <c r="GU77" s="55">
        <v>464</v>
      </c>
      <c r="GV77" s="56">
        <v>580</v>
      </c>
      <c r="GW77" s="55">
        <v>532</v>
      </c>
      <c r="GX77" s="56">
        <v>580</v>
      </c>
      <c r="GY77" s="55">
        <v>537</v>
      </c>
      <c r="GZ77" s="56">
        <v>560</v>
      </c>
      <c r="HA77">
        <v>573</v>
      </c>
      <c r="HB77" s="56">
        <v>580</v>
      </c>
      <c r="HC77">
        <v>448</v>
      </c>
      <c r="HD77" s="56">
        <v>585</v>
      </c>
      <c r="HE77">
        <v>464</v>
      </c>
      <c r="HF77" s="56">
        <v>600</v>
      </c>
    </row>
    <row r="78" spans="1:214" x14ac:dyDescent="0.25">
      <c r="A78" s="53"/>
      <c r="B78" s="54" t="s">
        <v>816</v>
      </c>
      <c r="C78" s="55">
        <v>79</v>
      </c>
      <c r="D78" s="56">
        <v>135</v>
      </c>
      <c r="E78" s="55">
        <v>48</v>
      </c>
      <c r="F78" s="56">
        <v>130</v>
      </c>
      <c r="G78" s="55">
        <v>72</v>
      </c>
      <c r="H78" s="56">
        <v>135</v>
      </c>
      <c r="I78" s="55">
        <v>81</v>
      </c>
      <c r="J78" s="56">
        <v>140</v>
      </c>
      <c r="K78" s="55">
        <v>86</v>
      </c>
      <c r="L78" s="56">
        <v>140</v>
      </c>
      <c r="M78" s="55">
        <v>93</v>
      </c>
      <c r="N78" s="56">
        <v>140</v>
      </c>
      <c r="O78" s="55">
        <v>87</v>
      </c>
      <c r="P78" s="56">
        <v>140</v>
      </c>
      <c r="Q78" s="55">
        <v>69</v>
      </c>
      <c r="R78" s="56">
        <v>145</v>
      </c>
      <c r="S78" s="55">
        <v>71</v>
      </c>
      <c r="T78" s="56">
        <v>150</v>
      </c>
      <c r="U78" s="55">
        <v>82</v>
      </c>
      <c r="V78" s="56">
        <v>150</v>
      </c>
      <c r="W78" s="55">
        <v>74</v>
      </c>
      <c r="X78" s="56">
        <v>150</v>
      </c>
      <c r="Y78" s="55">
        <v>62</v>
      </c>
      <c r="Z78" s="56">
        <v>150</v>
      </c>
      <c r="AA78" s="55">
        <v>68</v>
      </c>
      <c r="AB78" s="56">
        <v>155</v>
      </c>
      <c r="AC78" s="55">
        <v>92</v>
      </c>
      <c r="AD78" s="56">
        <v>150</v>
      </c>
      <c r="AE78" s="55">
        <v>75</v>
      </c>
      <c r="AF78" s="56">
        <v>160</v>
      </c>
      <c r="AG78" s="55">
        <v>94</v>
      </c>
      <c r="AH78" s="56">
        <v>155</v>
      </c>
      <c r="AI78" s="55">
        <v>74</v>
      </c>
      <c r="AJ78" s="56">
        <v>160</v>
      </c>
      <c r="AK78" s="55">
        <v>74</v>
      </c>
      <c r="AL78" s="56">
        <v>160</v>
      </c>
      <c r="AM78" s="55">
        <v>86</v>
      </c>
      <c r="AN78" s="56">
        <v>168</v>
      </c>
      <c r="AO78" s="55">
        <v>74</v>
      </c>
      <c r="AP78" s="56">
        <v>165</v>
      </c>
      <c r="AQ78" s="55">
        <v>75</v>
      </c>
      <c r="AR78" s="56">
        <v>165</v>
      </c>
      <c r="AS78" s="55">
        <v>77</v>
      </c>
      <c r="AT78" s="56">
        <v>165</v>
      </c>
      <c r="AU78" s="55">
        <v>63</v>
      </c>
      <c r="AV78" s="56">
        <v>175</v>
      </c>
      <c r="AW78" s="55">
        <v>73</v>
      </c>
      <c r="AX78" s="56">
        <v>170</v>
      </c>
      <c r="AY78" s="55">
        <v>67</v>
      </c>
      <c r="AZ78" s="56">
        <v>170</v>
      </c>
      <c r="BA78" s="55">
        <v>78</v>
      </c>
      <c r="BB78" s="56">
        <v>175</v>
      </c>
      <c r="BC78" s="55">
        <v>63</v>
      </c>
      <c r="BD78" s="56">
        <v>180</v>
      </c>
      <c r="BE78" s="55">
        <v>67</v>
      </c>
      <c r="BF78" s="56">
        <v>175</v>
      </c>
      <c r="BG78" s="55">
        <v>58</v>
      </c>
      <c r="BH78" s="56">
        <v>180</v>
      </c>
      <c r="BI78" s="55">
        <v>71</v>
      </c>
      <c r="BJ78" s="56">
        <v>180</v>
      </c>
      <c r="BK78" s="55">
        <v>75</v>
      </c>
      <c r="BL78" s="56">
        <v>190</v>
      </c>
      <c r="BM78" s="55">
        <v>70</v>
      </c>
      <c r="BN78" s="56">
        <v>195</v>
      </c>
      <c r="BO78" s="55">
        <v>64</v>
      </c>
      <c r="BP78" s="56">
        <v>190</v>
      </c>
      <c r="BQ78" s="55">
        <v>67</v>
      </c>
      <c r="BR78" s="56">
        <v>210</v>
      </c>
      <c r="BS78" s="55">
        <v>72</v>
      </c>
      <c r="BT78" s="56">
        <v>223</v>
      </c>
      <c r="BU78" s="55">
        <v>77</v>
      </c>
      <c r="BV78" s="56">
        <v>225</v>
      </c>
      <c r="BW78" s="55">
        <v>73</v>
      </c>
      <c r="BX78" s="56">
        <v>230</v>
      </c>
      <c r="BY78" s="55">
        <v>71</v>
      </c>
      <c r="BZ78" s="56">
        <v>230</v>
      </c>
      <c r="CA78" s="55">
        <v>57</v>
      </c>
      <c r="CB78" s="56">
        <v>240</v>
      </c>
      <c r="CC78" s="55">
        <v>75</v>
      </c>
      <c r="CD78" s="56">
        <v>250</v>
      </c>
      <c r="CE78" s="55">
        <v>62</v>
      </c>
      <c r="CF78" s="56">
        <v>245</v>
      </c>
      <c r="CG78" s="55">
        <v>68</v>
      </c>
      <c r="CH78" s="56">
        <v>248</v>
      </c>
      <c r="CI78" s="55">
        <v>67</v>
      </c>
      <c r="CJ78" s="56">
        <v>260</v>
      </c>
      <c r="CK78" s="55">
        <v>77</v>
      </c>
      <c r="CL78" s="56">
        <v>265</v>
      </c>
      <c r="CM78" s="55">
        <v>72</v>
      </c>
      <c r="CN78" s="56">
        <v>260</v>
      </c>
      <c r="CO78" s="55">
        <v>64</v>
      </c>
      <c r="CP78" s="56">
        <v>265</v>
      </c>
      <c r="CQ78" s="55">
        <v>64</v>
      </c>
      <c r="CR78" s="56">
        <v>278</v>
      </c>
      <c r="CS78" s="55">
        <v>57</v>
      </c>
      <c r="CT78" s="56">
        <v>280</v>
      </c>
      <c r="CU78" s="55">
        <v>70</v>
      </c>
      <c r="CV78" s="56">
        <v>273</v>
      </c>
      <c r="CW78" s="55">
        <v>72</v>
      </c>
      <c r="CX78" s="56">
        <v>275</v>
      </c>
      <c r="CY78" s="55">
        <v>74</v>
      </c>
      <c r="CZ78" s="56">
        <v>290</v>
      </c>
      <c r="DA78" s="55">
        <v>65</v>
      </c>
      <c r="DB78" s="56">
        <v>285</v>
      </c>
      <c r="DC78" s="55">
        <v>80</v>
      </c>
      <c r="DD78" s="56">
        <v>280</v>
      </c>
      <c r="DE78" s="55">
        <v>79</v>
      </c>
      <c r="DF78" s="56">
        <v>275</v>
      </c>
      <c r="DG78" s="55">
        <v>76</v>
      </c>
      <c r="DH78" s="56">
        <v>288</v>
      </c>
      <c r="DI78" s="55">
        <v>68</v>
      </c>
      <c r="DJ78" s="56">
        <v>297</v>
      </c>
      <c r="DK78" s="55">
        <v>68</v>
      </c>
      <c r="DL78" s="56">
        <v>295</v>
      </c>
      <c r="DM78" s="55">
        <v>75</v>
      </c>
      <c r="DN78" s="56">
        <v>285</v>
      </c>
      <c r="DO78" s="55">
        <v>105</v>
      </c>
      <c r="DP78" s="56">
        <v>300</v>
      </c>
      <c r="DQ78" s="55">
        <v>90</v>
      </c>
      <c r="DR78" s="56">
        <v>300</v>
      </c>
      <c r="DS78" s="55">
        <v>75</v>
      </c>
      <c r="DT78" s="56">
        <v>300</v>
      </c>
      <c r="DU78" s="55">
        <v>84</v>
      </c>
      <c r="DV78" s="56">
        <v>293</v>
      </c>
      <c r="DW78" s="55">
        <v>61</v>
      </c>
      <c r="DX78" s="56">
        <v>320</v>
      </c>
      <c r="DY78" s="55">
        <v>72</v>
      </c>
      <c r="DZ78" s="56">
        <v>320</v>
      </c>
      <c r="EA78" s="55">
        <v>81</v>
      </c>
      <c r="EB78" s="56">
        <v>315</v>
      </c>
      <c r="EC78" s="55">
        <v>81</v>
      </c>
      <c r="ED78" s="56">
        <v>320</v>
      </c>
      <c r="EE78" s="55">
        <v>102</v>
      </c>
      <c r="EF78" s="56">
        <v>310</v>
      </c>
      <c r="EG78" s="55">
        <v>67</v>
      </c>
      <c r="EH78" s="56">
        <v>310</v>
      </c>
      <c r="EI78" s="55">
        <v>76</v>
      </c>
      <c r="EJ78" s="56">
        <v>320</v>
      </c>
      <c r="EK78" s="55">
        <v>89</v>
      </c>
      <c r="EL78" s="56">
        <v>335</v>
      </c>
      <c r="EM78" s="55">
        <v>86</v>
      </c>
      <c r="EN78" s="56">
        <v>328</v>
      </c>
      <c r="EO78" s="55">
        <v>80</v>
      </c>
      <c r="EP78" s="56">
        <v>325</v>
      </c>
      <c r="EQ78" s="55">
        <v>86</v>
      </c>
      <c r="ER78" s="56">
        <v>350</v>
      </c>
      <c r="ES78" s="55">
        <v>96</v>
      </c>
      <c r="ET78" s="56">
        <v>343</v>
      </c>
      <c r="EU78" s="55">
        <v>75</v>
      </c>
      <c r="EV78" s="56">
        <v>350</v>
      </c>
      <c r="EW78" s="55">
        <v>78</v>
      </c>
      <c r="EX78" s="56">
        <v>350</v>
      </c>
      <c r="EY78" s="55">
        <v>77</v>
      </c>
      <c r="EZ78" s="56">
        <v>345</v>
      </c>
      <c r="FA78" s="55">
        <v>76</v>
      </c>
      <c r="FB78" s="56">
        <v>350</v>
      </c>
      <c r="FC78" s="55">
        <v>61</v>
      </c>
      <c r="FD78" s="56">
        <v>365</v>
      </c>
      <c r="FE78" s="55">
        <v>67</v>
      </c>
      <c r="FF78" s="56">
        <v>340</v>
      </c>
      <c r="FG78" s="55">
        <v>64</v>
      </c>
      <c r="FH78" s="56">
        <v>351</v>
      </c>
      <c r="FI78" s="55">
        <v>82</v>
      </c>
      <c r="FJ78" s="56">
        <v>370</v>
      </c>
      <c r="FK78" s="55">
        <v>78</v>
      </c>
      <c r="FL78" s="56">
        <v>360</v>
      </c>
      <c r="FM78" s="55">
        <v>75</v>
      </c>
      <c r="FN78" s="56">
        <v>370</v>
      </c>
      <c r="FO78" s="55">
        <v>59</v>
      </c>
      <c r="FP78" s="56">
        <v>360</v>
      </c>
      <c r="FQ78" s="55">
        <v>58</v>
      </c>
      <c r="FR78" s="56">
        <v>368</v>
      </c>
      <c r="FS78" s="55">
        <v>71</v>
      </c>
      <c r="FT78" s="56">
        <v>375</v>
      </c>
      <c r="FU78" s="55">
        <v>60</v>
      </c>
      <c r="FV78" s="56">
        <v>368</v>
      </c>
      <c r="FW78" s="55">
        <v>65</v>
      </c>
      <c r="FX78" s="56">
        <v>370</v>
      </c>
      <c r="FY78" s="55">
        <v>81</v>
      </c>
      <c r="FZ78" s="56">
        <v>370</v>
      </c>
      <c r="GA78" s="55">
        <v>51</v>
      </c>
      <c r="GB78" s="56">
        <v>400</v>
      </c>
      <c r="GC78" s="55">
        <v>61</v>
      </c>
      <c r="GD78" s="56">
        <v>390</v>
      </c>
      <c r="GE78" s="55">
        <v>52</v>
      </c>
      <c r="GF78" s="56">
        <v>393</v>
      </c>
      <c r="GG78" s="55">
        <v>76</v>
      </c>
      <c r="GH78" s="56">
        <v>400</v>
      </c>
      <c r="GI78" s="55">
        <v>60</v>
      </c>
      <c r="GJ78" s="56">
        <v>400</v>
      </c>
      <c r="GK78" s="55">
        <v>47</v>
      </c>
      <c r="GL78" s="56">
        <v>420</v>
      </c>
      <c r="GM78" s="55">
        <v>55</v>
      </c>
      <c r="GN78" s="56">
        <v>425</v>
      </c>
      <c r="GO78" s="55">
        <v>57</v>
      </c>
      <c r="GP78" s="56">
        <v>450</v>
      </c>
      <c r="GQ78" s="55">
        <v>57</v>
      </c>
      <c r="GR78" s="56">
        <v>430</v>
      </c>
      <c r="GS78" s="55">
        <v>59</v>
      </c>
      <c r="GT78" s="56">
        <v>480</v>
      </c>
      <c r="GU78" s="55">
        <v>40</v>
      </c>
      <c r="GV78" s="56">
        <v>488</v>
      </c>
      <c r="GW78" s="55">
        <v>40</v>
      </c>
      <c r="GX78" s="56">
        <v>480</v>
      </c>
      <c r="GY78" s="55">
        <v>36</v>
      </c>
      <c r="GZ78" s="56">
        <v>500</v>
      </c>
      <c r="HA78">
        <v>48</v>
      </c>
      <c r="HB78" s="56">
        <v>498</v>
      </c>
      <c r="HC78">
        <v>52</v>
      </c>
      <c r="HD78" s="56">
        <v>518</v>
      </c>
      <c r="HE78">
        <v>48</v>
      </c>
      <c r="HF78" s="56">
        <v>530</v>
      </c>
    </row>
    <row r="79" spans="1:214" s="10" customFormat="1" x14ac:dyDescent="0.25">
      <c r="A79" s="57"/>
      <c r="B79" s="57" t="s">
        <v>752</v>
      </c>
      <c r="C79" s="58">
        <v>1666</v>
      </c>
      <c r="D79" s="59">
        <v>170</v>
      </c>
      <c r="E79" s="58">
        <v>1647</v>
      </c>
      <c r="F79" s="59">
        <v>170</v>
      </c>
      <c r="G79" s="58">
        <v>1683</v>
      </c>
      <c r="H79" s="59">
        <v>175</v>
      </c>
      <c r="I79" s="58">
        <v>2042</v>
      </c>
      <c r="J79" s="59">
        <v>175</v>
      </c>
      <c r="K79" s="58">
        <v>1608</v>
      </c>
      <c r="L79" s="59">
        <v>180</v>
      </c>
      <c r="M79" s="58">
        <v>1765</v>
      </c>
      <c r="N79" s="59">
        <v>180</v>
      </c>
      <c r="O79" s="58">
        <v>1740</v>
      </c>
      <c r="P79" s="59">
        <v>180</v>
      </c>
      <c r="Q79" s="58">
        <v>2127</v>
      </c>
      <c r="R79" s="59">
        <v>185</v>
      </c>
      <c r="S79" s="58">
        <v>1620</v>
      </c>
      <c r="T79" s="59">
        <v>185</v>
      </c>
      <c r="U79" s="58">
        <v>1755</v>
      </c>
      <c r="V79" s="59">
        <v>190</v>
      </c>
      <c r="W79" s="58">
        <v>1673</v>
      </c>
      <c r="X79" s="59">
        <v>190</v>
      </c>
      <c r="Y79" s="58">
        <v>2059</v>
      </c>
      <c r="Z79" s="59">
        <v>195</v>
      </c>
      <c r="AA79" s="58">
        <v>1550</v>
      </c>
      <c r="AB79" s="59">
        <v>195</v>
      </c>
      <c r="AC79" s="58">
        <v>1754</v>
      </c>
      <c r="AD79" s="59">
        <v>195</v>
      </c>
      <c r="AE79" s="58">
        <v>1626</v>
      </c>
      <c r="AF79" s="59">
        <v>195</v>
      </c>
      <c r="AG79" s="58">
        <v>2184</v>
      </c>
      <c r="AH79" s="59">
        <v>200</v>
      </c>
      <c r="AI79" s="58">
        <v>1637</v>
      </c>
      <c r="AJ79" s="59">
        <v>200</v>
      </c>
      <c r="AK79" s="58">
        <v>1729</v>
      </c>
      <c r="AL79" s="59">
        <v>200</v>
      </c>
      <c r="AM79" s="58">
        <v>1597</v>
      </c>
      <c r="AN79" s="59">
        <v>200</v>
      </c>
      <c r="AO79" s="58">
        <v>2124</v>
      </c>
      <c r="AP79" s="59">
        <v>210</v>
      </c>
      <c r="AQ79" s="58">
        <v>1457</v>
      </c>
      <c r="AR79" s="59">
        <v>205</v>
      </c>
      <c r="AS79" s="58">
        <v>1649</v>
      </c>
      <c r="AT79" s="59">
        <v>205</v>
      </c>
      <c r="AU79" s="58">
        <v>1534</v>
      </c>
      <c r="AV79" s="59">
        <v>210</v>
      </c>
      <c r="AW79" s="58">
        <v>1961</v>
      </c>
      <c r="AX79" s="59">
        <v>220</v>
      </c>
      <c r="AY79" s="58">
        <v>1611</v>
      </c>
      <c r="AZ79" s="59">
        <v>215</v>
      </c>
      <c r="BA79" s="58">
        <v>1713</v>
      </c>
      <c r="BB79" s="59">
        <v>220</v>
      </c>
      <c r="BC79" s="58">
        <v>1503</v>
      </c>
      <c r="BD79" s="59">
        <v>220</v>
      </c>
      <c r="BE79" s="58">
        <v>1850</v>
      </c>
      <c r="BF79" s="59">
        <v>230</v>
      </c>
      <c r="BG79" s="58">
        <v>1416</v>
      </c>
      <c r="BH79" s="59">
        <v>230</v>
      </c>
      <c r="BI79" s="58">
        <v>1476</v>
      </c>
      <c r="BJ79" s="59">
        <v>230</v>
      </c>
      <c r="BK79" s="58">
        <v>1463</v>
      </c>
      <c r="BL79" s="59">
        <v>240</v>
      </c>
      <c r="BM79" s="58">
        <v>1782</v>
      </c>
      <c r="BN79" s="59">
        <v>250</v>
      </c>
      <c r="BO79" s="58">
        <v>1393</v>
      </c>
      <c r="BP79" s="59">
        <v>250</v>
      </c>
      <c r="BQ79" s="58">
        <v>1329</v>
      </c>
      <c r="BR79" s="59">
        <v>260</v>
      </c>
      <c r="BS79" s="58">
        <v>1366</v>
      </c>
      <c r="BT79" s="59">
        <v>270</v>
      </c>
      <c r="BU79" s="58">
        <v>1730</v>
      </c>
      <c r="BV79" s="59">
        <v>280</v>
      </c>
      <c r="BW79" s="58">
        <v>1354</v>
      </c>
      <c r="BX79" s="59">
        <v>290</v>
      </c>
      <c r="BY79" s="58">
        <v>1470</v>
      </c>
      <c r="BZ79" s="59">
        <v>300</v>
      </c>
      <c r="CA79" s="58">
        <v>1443</v>
      </c>
      <c r="CB79" s="59">
        <v>300</v>
      </c>
      <c r="CC79" s="58">
        <v>1692</v>
      </c>
      <c r="CD79" s="59">
        <v>310</v>
      </c>
      <c r="CE79" s="58">
        <v>1478</v>
      </c>
      <c r="CF79" s="59">
        <v>300</v>
      </c>
      <c r="CG79" s="58">
        <v>1488</v>
      </c>
      <c r="CH79" s="59">
        <v>310</v>
      </c>
      <c r="CI79" s="58">
        <v>1478</v>
      </c>
      <c r="CJ79" s="59">
        <v>320</v>
      </c>
      <c r="CK79" s="58">
        <v>1808</v>
      </c>
      <c r="CL79" s="59">
        <v>320</v>
      </c>
      <c r="CM79" s="58">
        <v>1559</v>
      </c>
      <c r="CN79" s="59">
        <v>325</v>
      </c>
      <c r="CO79" s="58">
        <v>1619</v>
      </c>
      <c r="CP79" s="59">
        <v>330</v>
      </c>
      <c r="CQ79" s="58">
        <v>1639</v>
      </c>
      <c r="CR79" s="59">
        <v>330</v>
      </c>
      <c r="CS79" s="58">
        <v>1939</v>
      </c>
      <c r="CT79" s="59">
        <v>340</v>
      </c>
      <c r="CU79" s="58">
        <v>1531</v>
      </c>
      <c r="CV79" s="59">
        <v>345</v>
      </c>
      <c r="CW79" s="58">
        <v>1819</v>
      </c>
      <c r="CX79" s="59">
        <v>345</v>
      </c>
      <c r="CY79" s="58">
        <v>1749</v>
      </c>
      <c r="CZ79" s="59">
        <v>340</v>
      </c>
      <c r="DA79" s="58">
        <v>2096</v>
      </c>
      <c r="DB79" s="59">
        <v>350</v>
      </c>
      <c r="DC79" s="58">
        <v>1816</v>
      </c>
      <c r="DD79" s="59">
        <v>350</v>
      </c>
      <c r="DE79" s="58">
        <v>1825</v>
      </c>
      <c r="DF79" s="59">
        <v>340</v>
      </c>
      <c r="DG79" s="58">
        <v>1777</v>
      </c>
      <c r="DH79" s="59">
        <v>350</v>
      </c>
      <c r="DI79" s="58">
        <v>2335</v>
      </c>
      <c r="DJ79" s="59">
        <v>350</v>
      </c>
      <c r="DK79" s="58">
        <v>1871</v>
      </c>
      <c r="DL79" s="59">
        <v>350</v>
      </c>
      <c r="DM79" s="58">
        <v>2023</v>
      </c>
      <c r="DN79" s="59">
        <v>350</v>
      </c>
      <c r="DO79" s="58">
        <v>1916</v>
      </c>
      <c r="DP79" s="59">
        <v>350</v>
      </c>
      <c r="DQ79" s="58">
        <v>2476</v>
      </c>
      <c r="DR79" s="59">
        <v>360</v>
      </c>
      <c r="DS79" s="58">
        <v>1877</v>
      </c>
      <c r="DT79" s="59">
        <v>360</v>
      </c>
      <c r="DU79" s="58">
        <v>2054</v>
      </c>
      <c r="DV79" s="59">
        <v>360</v>
      </c>
      <c r="DW79" s="58">
        <v>1996</v>
      </c>
      <c r="DX79" s="59">
        <v>360</v>
      </c>
      <c r="DY79" s="58">
        <v>2379</v>
      </c>
      <c r="DZ79" s="59">
        <v>370</v>
      </c>
      <c r="EA79" s="58">
        <v>2071</v>
      </c>
      <c r="EB79" s="59">
        <v>370</v>
      </c>
      <c r="EC79" s="58">
        <v>2144</v>
      </c>
      <c r="ED79" s="59">
        <v>370</v>
      </c>
      <c r="EE79" s="58">
        <v>2202</v>
      </c>
      <c r="EF79" s="59">
        <v>370</v>
      </c>
      <c r="EG79" s="58">
        <v>2634</v>
      </c>
      <c r="EH79" s="59">
        <v>380</v>
      </c>
      <c r="EI79" s="58">
        <v>2121</v>
      </c>
      <c r="EJ79" s="59">
        <v>375</v>
      </c>
      <c r="EK79" s="58">
        <v>2516</v>
      </c>
      <c r="EL79" s="59">
        <v>380</v>
      </c>
      <c r="EM79" s="58">
        <v>2310</v>
      </c>
      <c r="EN79" s="59">
        <v>390</v>
      </c>
      <c r="EO79" s="58">
        <v>2736</v>
      </c>
      <c r="EP79" s="59">
        <v>395</v>
      </c>
      <c r="EQ79" s="58">
        <v>2302</v>
      </c>
      <c r="ER79" s="59">
        <v>400</v>
      </c>
      <c r="ES79" s="58">
        <v>2399</v>
      </c>
      <c r="ET79" s="59">
        <v>400</v>
      </c>
      <c r="EU79" s="58">
        <v>2261</v>
      </c>
      <c r="EV79" s="59">
        <v>400</v>
      </c>
      <c r="EW79" s="58">
        <v>2937</v>
      </c>
      <c r="EX79" s="59">
        <v>410</v>
      </c>
      <c r="EY79" s="58">
        <v>2122</v>
      </c>
      <c r="EZ79" s="59">
        <v>410</v>
      </c>
      <c r="FA79" s="58">
        <v>2236</v>
      </c>
      <c r="FB79" s="59">
        <v>410</v>
      </c>
      <c r="FC79" s="58">
        <v>2118</v>
      </c>
      <c r="FD79" s="59">
        <v>410</v>
      </c>
      <c r="FE79" s="58">
        <v>2764</v>
      </c>
      <c r="FF79" s="59">
        <v>420</v>
      </c>
      <c r="FG79" s="58">
        <v>2066</v>
      </c>
      <c r="FH79" s="59">
        <v>420</v>
      </c>
      <c r="FI79" s="58">
        <v>2290</v>
      </c>
      <c r="FJ79" s="59">
        <v>420</v>
      </c>
      <c r="FK79" s="58">
        <v>2193</v>
      </c>
      <c r="FL79" s="59">
        <v>420</v>
      </c>
      <c r="FM79" s="58">
        <v>2893</v>
      </c>
      <c r="FN79" s="59">
        <v>435</v>
      </c>
      <c r="FO79" s="58">
        <v>1845</v>
      </c>
      <c r="FP79" s="59">
        <v>400</v>
      </c>
      <c r="FQ79" s="58">
        <v>1941</v>
      </c>
      <c r="FR79" s="59">
        <v>400</v>
      </c>
      <c r="FS79" s="58">
        <v>2310</v>
      </c>
      <c r="FT79" s="59">
        <v>400</v>
      </c>
      <c r="FU79" s="58">
        <v>3125</v>
      </c>
      <c r="FV79" s="59">
        <v>395</v>
      </c>
      <c r="FW79" s="58">
        <v>2801</v>
      </c>
      <c r="FX79" s="59">
        <v>390</v>
      </c>
      <c r="FY79" s="58">
        <v>2441</v>
      </c>
      <c r="FZ79" s="59">
        <v>395</v>
      </c>
      <c r="GA79" s="58">
        <v>2584</v>
      </c>
      <c r="GB79" s="59">
        <v>400</v>
      </c>
      <c r="GC79" s="58">
        <v>3088</v>
      </c>
      <c r="GD79" s="59">
        <v>410</v>
      </c>
      <c r="GE79" s="58">
        <v>2477</v>
      </c>
      <c r="GF79" s="59">
        <v>420</v>
      </c>
      <c r="GG79" s="58">
        <v>2548</v>
      </c>
      <c r="GH79" s="59">
        <v>425</v>
      </c>
      <c r="GI79" s="58">
        <v>2342</v>
      </c>
      <c r="GJ79" s="59">
        <v>440</v>
      </c>
      <c r="GK79" s="58">
        <v>2370</v>
      </c>
      <c r="GL79" s="59">
        <v>475</v>
      </c>
      <c r="GM79" s="58">
        <v>1937</v>
      </c>
      <c r="GN79" s="59">
        <v>500</v>
      </c>
      <c r="GO79" s="58">
        <v>2039</v>
      </c>
      <c r="GP79" s="59">
        <v>520</v>
      </c>
      <c r="GQ79" s="58">
        <v>1908</v>
      </c>
      <c r="GR79" s="59">
        <v>520</v>
      </c>
      <c r="GS79" s="58">
        <v>2299</v>
      </c>
      <c r="GT79" s="59">
        <v>550</v>
      </c>
      <c r="GU79" s="58">
        <v>1732</v>
      </c>
      <c r="GV79" s="59">
        <v>550</v>
      </c>
      <c r="GW79" s="58">
        <v>2117</v>
      </c>
      <c r="GX79" s="59">
        <v>550</v>
      </c>
      <c r="GY79" s="58">
        <v>2043</v>
      </c>
      <c r="GZ79" s="59">
        <v>550</v>
      </c>
      <c r="HA79" s="10">
        <v>2289</v>
      </c>
      <c r="HB79" s="59">
        <v>575</v>
      </c>
      <c r="HC79" s="10">
        <v>1772</v>
      </c>
      <c r="HD79" s="59">
        <v>568</v>
      </c>
      <c r="HE79" s="10">
        <v>1822</v>
      </c>
      <c r="HF79" s="59">
        <v>590</v>
      </c>
    </row>
    <row r="80" spans="1:214" x14ac:dyDescent="0.25">
      <c r="A80" s="53" t="s">
        <v>817</v>
      </c>
      <c r="B80" s="54" t="s">
        <v>8</v>
      </c>
      <c r="C80" s="55">
        <v>157</v>
      </c>
      <c r="D80" s="56">
        <v>200</v>
      </c>
      <c r="E80" s="55">
        <v>153</v>
      </c>
      <c r="F80" s="56">
        <v>200</v>
      </c>
      <c r="G80" s="55">
        <v>168</v>
      </c>
      <c r="H80" s="56">
        <v>205</v>
      </c>
      <c r="I80" s="55">
        <v>157</v>
      </c>
      <c r="J80" s="56">
        <v>200</v>
      </c>
      <c r="K80" s="55">
        <v>143</v>
      </c>
      <c r="L80" s="56">
        <v>220</v>
      </c>
      <c r="M80" s="55">
        <v>189</v>
      </c>
      <c r="N80" s="56">
        <v>220</v>
      </c>
      <c r="O80" s="55">
        <v>168</v>
      </c>
      <c r="P80" s="56">
        <v>217</v>
      </c>
      <c r="Q80" s="55">
        <v>185</v>
      </c>
      <c r="R80" s="56">
        <v>220</v>
      </c>
      <c r="S80" s="55">
        <v>175</v>
      </c>
      <c r="T80" s="56">
        <v>230</v>
      </c>
      <c r="U80" s="55">
        <v>173</v>
      </c>
      <c r="V80" s="56">
        <v>230</v>
      </c>
      <c r="W80" s="55">
        <v>169</v>
      </c>
      <c r="X80" s="56">
        <v>220</v>
      </c>
      <c r="Y80" s="55">
        <v>178</v>
      </c>
      <c r="Z80" s="56">
        <v>230</v>
      </c>
      <c r="AA80" s="55">
        <v>161</v>
      </c>
      <c r="AB80" s="56">
        <v>230</v>
      </c>
      <c r="AC80" s="55">
        <v>180</v>
      </c>
      <c r="AD80" s="56">
        <v>230</v>
      </c>
      <c r="AE80" s="55">
        <v>168</v>
      </c>
      <c r="AF80" s="56">
        <v>230</v>
      </c>
      <c r="AG80" s="55">
        <v>217</v>
      </c>
      <c r="AH80" s="56">
        <v>230</v>
      </c>
      <c r="AI80" s="55">
        <v>181</v>
      </c>
      <c r="AJ80" s="56">
        <v>230</v>
      </c>
      <c r="AK80" s="55">
        <v>189</v>
      </c>
      <c r="AL80" s="56">
        <v>235</v>
      </c>
      <c r="AM80" s="55">
        <v>161</v>
      </c>
      <c r="AN80" s="56">
        <v>245</v>
      </c>
      <c r="AO80" s="55">
        <v>195</v>
      </c>
      <c r="AP80" s="56">
        <v>245</v>
      </c>
      <c r="AQ80" s="55">
        <v>149</v>
      </c>
      <c r="AR80" s="56">
        <v>240</v>
      </c>
      <c r="AS80" s="55">
        <v>188</v>
      </c>
      <c r="AT80" s="56">
        <v>235</v>
      </c>
      <c r="AU80" s="55">
        <v>187</v>
      </c>
      <c r="AV80" s="56">
        <v>250</v>
      </c>
      <c r="AW80" s="55">
        <v>230</v>
      </c>
      <c r="AX80" s="56">
        <v>250</v>
      </c>
      <c r="AY80" s="55">
        <v>171</v>
      </c>
      <c r="AZ80" s="56">
        <v>250</v>
      </c>
      <c r="BA80" s="55">
        <v>168</v>
      </c>
      <c r="BB80" s="56">
        <v>265</v>
      </c>
      <c r="BC80" s="55">
        <v>193</v>
      </c>
      <c r="BD80" s="56">
        <v>250</v>
      </c>
      <c r="BE80" s="55">
        <v>178</v>
      </c>
      <c r="BF80" s="56">
        <v>270</v>
      </c>
      <c r="BG80" s="55">
        <v>134</v>
      </c>
      <c r="BH80" s="56">
        <v>280</v>
      </c>
      <c r="BI80" s="55">
        <v>149</v>
      </c>
      <c r="BJ80" s="56">
        <v>280</v>
      </c>
      <c r="BK80" s="55">
        <v>146</v>
      </c>
      <c r="BL80" s="56">
        <v>288</v>
      </c>
      <c r="BM80" s="55">
        <v>199</v>
      </c>
      <c r="BN80" s="56">
        <v>300</v>
      </c>
      <c r="BO80" s="55">
        <v>159</v>
      </c>
      <c r="BP80" s="56">
        <v>300</v>
      </c>
      <c r="BQ80" s="55">
        <v>164</v>
      </c>
      <c r="BR80" s="56">
        <v>300</v>
      </c>
      <c r="BS80" s="55">
        <v>175</v>
      </c>
      <c r="BT80" s="56">
        <v>325</v>
      </c>
      <c r="BU80" s="55">
        <v>190</v>
      </c>
      <c r="BV80" s="56">
        <v>340</v>
      </c>
      <c r="BW80" s="55">
        <v>174</v>
      </c>
      <c r="BX80" s="56">
        <v>350</v>
      </c>
      <c r="BY80" s="55">
        <v>172</v>
      </c>
      <c r="BZ80" s="56">
        <v>350</v>
      </c>
      <c r="CA80" s="55">
        <v>166</v>
      </c>
      <c r="CB80" s="56">
        <v>360</v>
      </c>
      <c r="CC80" s="55">
        <v>174</v>
      </c>
      <c r="CD80" s="56">
        <v>360</v>
      </c>
      <c r="CE80" s="55">
        <v>151</v>
      </c>
      <c r="CF80" s="56">
        <v>360</v>
      </c>
      <c r="CG80" s="55">
        <v>180</v>
      </c>
      <c r="CH80" s="56">
        <v>355</v>
      </c>
      <c r="CI80" s="55">
        <v>151</v>
      </c>
      <c r="CJ80" s="56">
        <v>380</v>
      </c>
      <c r="CK80" s="55">
        <v>164</v>
      </c>
      <c r="CL80" s="56">
        <v>380</v>
      </c>
      <c r="CM80" s="55">
        <v>173</v>
      </c>
      <c r="CN80" s="56">
        <v>380</v>
      </c>
      <c r="CO80" s="55">
        <v>175</v>
      </c>
      <c r="CP80" s="56">
        <v>375</v>
      </c>
      <c r="CQ80" s="55">
        <v>177</v>
      </c>
      <c r="CR80" s="56">
        <v>399</v>
      </c>
      <c r="CS80" s="55">
        <v>193</v>
      </c>
      <c r="CT80" s="56">
        <v>400</v>
      </c>
      <c r="CU80" s="55">
        <v>159</v>
      </c>
      <c r="CV80" s="56">
        <v>400</v>
      </c>
      <c r="CW80" s="55">
        <v>213</v>
      </c>
      <c r="CX80" s="56">
        <v>400</v>
      </c>
      <c r="CY80" s="55">
        <v>190</v>
      </c>
      <c r="CZ80" s="56">
        <v>400</v>
      </c>
      <c r="DA80" s="55">
        <v>206</v>
      </c>
      <c r="DB80" s="56">
        <v>400</v>
      </c>
      <c r="DC80" s="55">
        <v>183</v>
      </c>
      <c r="DD80" s="56">
        <v>420</v>
      </c>
      <c r="DE80" s="55">
        <v>228</v>
      </c>
      <c r="DF80" s="56">
        <v>413</v>
      </c>
      <c r="DG80" s="55">
        <v>233</v>
      </c>
      <c r="DH80" s="56">
        <v>398</v>
      </c>
      <c r="DI80" s="55">
        <v>260</v>
      </c>
      <c r="DJ80" s="56">
        <v>400</v>
      </c>
      <c r="DK80" s="55">
        <v>216</v>
      </c>
      <c r="DL80" s="56">
        <v>410</v>
      </c>
      <c r="DM80" s="55">
        <v>257</v>
      </c>
      <c r="DN80" s="56">
        <v>395</v>
      </c>
      <c r="DO80" s="55">
        <v>257</v>
      </c>
      <c r="DP80" s="56">
        <v>400</v>
      </c>
      <c r="DQ80" s="55">
        <v>336</v>
      </c>
      <c r="DR80" s="56">
        <v>440</v>
      </c>
      <c r="DS80" s="55">
        <v>267</v>
      </c>
      <c r="DT80" s="56">
        <v>410</v>
      </c>
      <c r="DU80" s="55">
        <v>268</v>
      </c>
      <c r="DV80" s="56">
        <v>430</v>
      </c>
      <c r="DW80" s="55">
        <v>270</v>
      </c>
      <c r="DX80" s="56">
        <v>420</v>
      </c>
      <c r="DY80" s="55">
        <v>301</v>
      </c>
      <c r="DZ80" s="56">
        <v>430</v>
      </c>
      <c r="EA80" s="55">
        <v>282</v>
      </c>
      <c r="EB80" s="56">
        <v>400</v>
      </c>
      <c r="EC80" s="55">
        <v>258</v>
      </c>
      <c r="ED80" s="56">
        <v>420</v>
      </c>
      <c r="EE80" s="55">
        <v>248</v>
      </c>
      <c r="EF80" s="56">
        <v>435</v>
      </c>
      <c r="EG80" s="55">
        <v>285</v>
      </c>
      <c r="EH80" s="56">
        <v>440</v>
      </c>
      <c r="EI80" s="55">
        <v>269</v>
      </c>
      <c r="EJ80" s="56">
        <v>450</v>
      </c>
      <c r="EK80" s="55">
        <v>311</v>
      </c>
      <c r="EL80" s="56">
        <v>460</v>
      </c>
      <c r="EM80" s="55">
        <v>274</v>
      </c>
      <c r="EN80" s="56">
        <v>450</v>
      </c>
      <c r="EO80" s="55">
        <v>287</v>
      </c>
      <c r="EP80" s="56">
        <v>455</v>
      </c>
      <c r="EQ80" s="55">
        <v>273</v>
      </c>
      <c r="ER80" s="56">
        <v>479</v>
      </c>
      <c r="ES80" s="55">
        <v>289</v>
      </c>
      <c r="ET80" s="56">
        <v>465</v>
      </c>
      <c r="EU80" s="55">
        <v>259</v>
      </c>
      <c r="EV80" s="56">
        <v>475</v>
      </c>
      <c r="EW80" s="55">
        <v>289</v>
      </c>
      <c r="EX80" s="56">
        <v>470</v>
      </c>
      <c r="EY80" s="55">
        <v>324</v>
      </c>
      <c r="EZ80" s="56">
        <v>475</v>
      </c>
      <c r="FA80" s="55">
        <v>265</v>
      </c>
      <c r="FB80" s="56">
        <v>475</v>
      </c>
      <c r="FC80" s="55">
        <v>282</v>
      </c>
      <c r="FD80" s="56">
        <v>490</v>
      </c>
      <c r="FE80" s="55">
        <v>290</v>
      </c>
      <c r="FF80" s="56">
        <v>500</v>
      </c>
      <c r="FG80" s="55">
        <v>270</v>
      </c>
      <c r="FH80" s="56">
        <v>485</v>
      </c>
      <c r="FI80" s="55">
        <v>267</v>
      </c>
      <c r="FJ80" s="56">
        <v>480</v>
      </c>
      <c r="FK80" s="55">
        <v>259</v>
      </c>
      <c r="FL80" s="56">
        <v>495</v>
      </c>
      <c r="FM80" s="55">
        <v>298</v>
      </c>
      <c r="FN80" s="56">
        <v>495</v>
      </c>
      <c r="FO80" s="55">
        <v>246</v>
      </c>
      <c r="FP80" s="56">
        <v>475</v>
      </c>
      <c r="FQ80" s="55">
        <v>197</v>
      </c>
      <c r="FR80" s="56">
        <v>480</v>
      </c>
      <c r="FS80" s="55">
        <v>323</v>
      </c>
      <c r="FT80" s="56">
        <v>480</v>
      </c>
      <c r="FU80" s="55">
        <v>295</v>
      </c>
      <c r="FV80" s="56">
        <v>480</v>
      </c>
      <c r="FW80" s="55">
        <v>303</v>
      </c>
      <c r="FX80" s="56">
        <v>470</v>
      </c>
      <c r="FY80" s="55">
        <v>259</v>
      </c>
      <c r="FZ80" s="56">
        <v>480</v>
      </c>
      <c r="GA80" s="55">
        <v>269</v>
      </c>
      <c r="GB80" s="56">
        <v>480</v>
      </c>
      <c r="GC80" s="55">
        <v>306</v>
      </c>
      <c r="GD80" s="56">
        <v>495</v>
      </c>
      <c r="GE80" s="55">
        <v>233</v>
      </c>
      <c r="GF80" s="56">
        <v>500</v>
      </c>
      <c r="GG80" s="55">
        <v>275</v>
      </c>
      <c r="GH80" s="56">
        <v>495</v>
      </c>
      <c r="GI80" s="55">
        <v>229</v>
      </c>
      <c r="GJ80" s="56">
        <v>510</v>
      </c>
      <c r="GK80" s="55">
        <v>227</v>
      </c>
      <c r="GL80" s="56">
        <v>550</v>
      </c>
      <c r="GM80" s="55">
        <v>218</v>
      </c>
      <c r="GN80" s="56">
        <v>560</v>
      </c>
      <c r="GO80" s="55">
        <v>211</v>
      </c>
      <c r="GP80" s="56">
        <v>575</v>
      </c>
      <c r="GQ80" s="55">
        <v>204</v>
      </c>
      <c r="GR80" s="56">
        <v>588</v>
      </c>
      <c r="GS80" s="55">
        <v>291</v>
      </c>
      <c r="GT80" s="56">
        <v>600</v>
      </c>
      <c r="GU80" s="55">
        <v>277</v>
      </c>
      <c r="GV80" s="56">
        <v>600</v>
      </c>
      <c r="GW80" s="55">
        <v>236</v>
      </c>
      <c r="GX80" s="56">
        <v>600</v>
      </c>
      <c r="GY80" s="55">
        <v>223</v>
      </c>
      <c r="GZ80" s="56">
        <v>610</v>
      </c>
      <c r="HA80">
        <v>259</v>
      </c>
      <c r="HB80" s="56">
        <v>630</v>
      </c>
      <c r="HC80">
        <v>226</v>
      </c>
      <c r="HD80" s="56">
        <v>630</v>
      </c>
      <c r="HE80">
        <v>210</v>
      </c>
      <c r="HF80" s="56">
        <v>650</v>
      </c>
    </row>
    <row r="81" spans="1:214" x14ac:dyDescent="0.25">
      <c r="A81" s="53"/>
      <c r="B81" s="54" t="s">
        <v>818</v>
      </c>
      <c r="C81" s="55">
        <v>30</v>
      </c>
      <c r="D81" s="56">
        <v>135</v>
      </c>
      <c r="E81" s="55">
        <v>37</v>
      </c>
      <c r="F81" s="56">
        <v>150</v>
      </c>
      <c r="G81" s="55">
        <v>28</v>
      </c>
      <c r="H81" s="56">
        <v>143</v>
      </c>
      <c r="I81" s="55">
        <v>28</v>
      </c>
      <c r="J81" s="56">
        <v>140</v>
      </c>
      <c r="K81" s="55">
        <v>36</v>
      </c>
      <c r="L81" s="56">
        <v>143</v>
      </c>
      <c r="M81" s="55">
        <v>28</v>
      </c>
      <c r="N81" s="56">
        <v>143</v>
      </c>
      <c r="O81" s="55">
        <v>33</v>
      </c>
      <c r="P81" s="56">
        <v>150</v>
      </c>
      <c r="Q81" s="55">
        <v>33</v>
      </c>
      <c r="R81" s="56">
        <v>155</v>
      </c>
      <c r="S81" s="55">
        <v>28</v>
      </c>
      <c r="T81" s="56">
        <v>145</v>
      </c>
      <c r="U81" s="55">
        <v>35</v>
      </c>
      <c r="V81" s="56">
        <v>145</v>
      </c>
      <c r="W81" s="55">
        <v>32</v>
      </c>
      <c r="X81" s="56">
        <v>150</v>
      </c>
      <c r="Y81" s="55">
        <v>41</v>
      </c>
      <c r="Z81" s="56">
        <v>150</v>
      </c>
      <c r="AA81" s="55">
        <v>35</v>
      </c>
      <c r="AB81" s="56">
        <v>150</v>
      </c>
      <c r="AC81" s="55">
        <v>39</v>
      </c>
      <c r="AD81" s="56">
        <v>145</v>
      </c>
      <c r="AE81" s="55">
        <v>18</v>
      </c>
      <c r="AF81" s="56">
        <v>155</v>
      </c>
      <c r="AG81" s="55">
        <v>36</v>
      </c>
      <c r="AH81" s="56">
        <v>153</v>
      </c>
      <c r="AI81" s="55">
        <v>37</v>
      </c>
      <c r="AJ81" s="56">
        <v>153</v>
      </c>
      <c r="AK81" s="55">
        <v>44</v>
      </c>
      <c r="AL81" s="56">
        <v>160</v>
      </c>
      <c r="AM81" s="55">
        <v>31</v>
      </c>
      <c r="AN81" s="56">
        <v>155</v>
      </c>
      <c r="AO81" s="55">
        <v>42</v>
      </c>
      <c r="AP81" s="56">
        <v>158</v>
      </c>
      <c r="AQ81" s="55">
        <v>28</v>
      </c>
      <c r="AR81" s="56">
        <v>165</v>
      </c>
      <c r="AS81" s="55">
        <v>36</v>
      </c>
      <c r="AT81" s="56">
        <v>165</v>
      </c>
      <c r="AU81" s="55">
        <v>36</v>
      </c>
      <c r="AV81" s="56">
        <v>160</v>
      </c>
      <c r="AW81" s="55">
        <v>30</v>
      </c>
      <c r="AX81" s="56">
        <v>165</v>
      </c>
      <c r="AY81" s="55">
        <v>42</v>
      </c>
      <c r="AZ81" s="56">
        <v>165</v>
      </c>
      <c r="BA81" s="55">
        <v>31</v>
      </c>
      <c r="BB81" s="56">
        <v>170</v>
      </c>
      <c r="BC81" s="55">
        <v>24</v>
      </c>
      <c r="BD81" s="56">
        <v>170</v>
      </c>
      <c r="BE81" s="55">
        <v>39</v>
      </c>
      <c r="BF81" s="56">
        <v>165</v>
      </c>
      <c r="BG81" s="55">
        <v>34</v>
      </c>
      <c r="BH81" s="56">
        <v>170</v>
      </c>
      <c r="BI81" s="55">
        <v>29</v>
      </c>
      <c r="BJ81" s="56">
        <v>170</v>
      </c>
      <c r="BK81" s="55">
        <v>31</v>
      </c>
      <c r="BL81" s="56">
        <v>180</v>
      </c>
      <c r="BM81" s="55">
        <v>37</v>
      </c>
      <c r="BN81" s="56">
        <v>180</v>
      </c>
      <c r="BO81" s="55">
        <v>36</v>
      </c>
      <c r="BP81" s="56">
        <v>180</v>
      </c>
      <c r="BQ81" s="55">
        <v>31</v>
      </c>
      <c r="BR81" s="56">
        <v>185</v>
      </c>
      <c r="BS81" s="55">
        <v>25</v>
      </c>
      <c r="BT81" s="56">
        <v>190</v>
      </c>
      <c r="BU81" s="55">
        <v>34</v>
      </c>
      <c r="BV81" s="56">
        <v>205</v>
      </c>
      <c r="BW81" s="55">
        <v>36</v>
      </c>
      <c r="BX81" s="56">
        <v>210</v>
      </c>
      <c r="BY81" s="55">
        <v>50</v>
      </c>
      <c r="BZ81" s="56">
        <v>205</v>
      </c>
      <c r="CA81" s="55">
        <v>26</v>
      </c>
      <c r="CB81" s="56">
        <v>200</v>
      </c>
      <c r="CC81" s="55">
        <v>37</v>
      </c>
      <c r="CD81" s="56">
        <v>220</v>
      </c>
      <c r="CE81" s="55">
        <v>43</v>
      </c>
      <c r="CF81" s="56">
        <v>220</v>
      </c>
      <c r="CG81" s="55">
        <v>32</v>
      </c>
      <c r="CH81" s="56">
        <v>220</v>
      </c>
      <c r="CI81" s="55">
        <v>39</v>
      </c>
      <c r="CJ81" s="56">
        <v>225</v>
      </c>
      <c r="CK81" s="55">
        <v>41</v>
      </c>
      <c r="CL81" s="56">
        <v>240</v>
      </c>
      <c r="CM81" s="55">
        <v>31</v>
      </c>
      <c r="CN81" s="56">
        <v>235</v>
      </c>
      <c r="CO81" s="55">
        <v>39</v>
      </c>
      <c r="CP81" s="56">
        <v>230</v>
      </c>
      <c r="CQ81" s="55">
        <v>45</v>
      </c>
      <c r="CR81" s="56">
        <v>240</v>
      </c>
      <c r="CS81" s="55">
        <v>27</v>
      </c>
      <c r="CT81" s="56">
        <v>250</v>
      </c>
      <c r="CU81" s="55">
        <v>47</v>
      </c>
      <c r="CV81" s="56">
        <v>260</v>
      </c>
      <c r="CW81" s="55">
        <v>50</v>
      </c>
      <c r="CX81" s="56">
        <v>260</v>
      </c>
      <c r="CY81" s="55">
        <v>47</v>
      </c>
      <c r="CZ81" s="56">
        <v>260</v>
      </c>
      <c r="DA81" s="55">
        <v>64</v>
      </c>
      <c r="DB81" s="56">
        <v>250</v>
      </c>
      <c r="DC81" s="55">
        <v>52</v>
      </c>
      <c r="DD81" s="56">
        <v>250</v>
      </c>
      <c r="DE81" s="55">
        <v>58</v>
      </c>
      <c r="DF81" s="56">
        <v>255</v>
      </c>
      <c r="DG81" s="55">
        <v>52</v>
      </c>
      <c r="DH81" s="56">
        <v>258</v>
      </c>
      <c r="DI81" s="55">
        <v>80</v>
      </c>
      <c r="DJ81" s="56">
        <v>250</v>
      </c>
      <c r="DK81" s="55">
        <v>69</v>
      </c>
      <c r="DL81" s="56">
        <v>255</v>
      </c>
      <c r="DM81" s="55">
        <v>66</v>
      </c>
      <c r="DN81" s="56">
        <v>260</v>
      </c>
      <c r="DO81" s="55">
        <v>52</v>
      </c>
      <c r="DP81" s="56">
        <v>260</v>
      </c>
      <c r="DQ81" s="55">
        <v>51</v>
      </c>
      <c r="DR81" s="56">
        <v>260</v>
      </c>
      <c r="DS81" s="55">
        <v>59</v>
      </c>
      <c r="DT81" s="56">
        <v>265</v>
      </c>
      <c r="DU81" s="55">
        <v>44</v>
      </c>
      <c r="DV81" s="56">
        <v>260</v>
      </c>
      <c r="DW81" s="55">
        <v>45</v>
      </c>
      <c r="DX81" s="56">
        <v>265</v>
      </c>
      <c r="DY81" s="55">
        <v>83</v>
      </c>
      <c r="DZ81" s="56">
        <v>270</v>
      </c>
      <c r="EA81" s="55">
        <v>72</v>
      </c>
      <c r="EB81" s="56">
        <v>270</v>
      </c>
      <c r="EC81" s="55">
        <v>46</v>
      </c>
      <c r="ED81" s="56">
        <v>270</v>
      </c>
      <c r="EE81" s="55">
        <v>46</v>
      </c>
      <c r="EF81" s="56">
        <v>270</v>
      </c>
      <c r="EG81" s="55">
        <v>55</v>
      </c>
      <c r="EH81" s="56">
        <v>275</v>
      </c>
      <c r="EI81" s="55">
        <v>56</v>
      </c>
      <c r="EJ81" s="56">
        <v>273</v>
      </c>
      <c r="EK81" s="55">
        <v>53</v>
      </c>
      <c r="EL81" s="56">
        <v>275</v>
      </c>
      <c r="EM81" s="55">
        <v>46</v>
      </c>
      <c r="EN81" s="56">
        <v>280</v>
      </c>
      <c r="EO81" s="55">
        <v>65</v>
      </c>
      <c r="EP81" s="56">
        <v>280</v>
      </c>
      <c r="EQ81" s="55">
        <v>52</v>
      </c>
      <c r="ER81" s="56">
        <v>285</v>
      </c>
      <c r="ES81" s="55">
        <v>53</v>
      </c>
      <c r="ET81" s="56">
        <v>280</v>
      </c>
      <c r="EU81" s="55">
        <v>58</v>
      </c>
      <c r="EV81" s="56">
        <v>290</v>
      </c>
      <c r="EW81" s="55">
        <v>50</v>
      </c>
      <c r="EX81" s="56">
        <v>290</v>
      </c>
      <c r="EY81" s="55">
        <v>41</v>
      </c>
      <c r="EZ81" s="56">
        <v>300</v>
      </c>
      <c r="FA81" s="55">
        <v>71</v>
      </c>
      <c r="FB81" s="56">
        <v>300</v>
      </c>
      <c r="FC81" s="55">
        <v>51</v>
      </c>
      <c r="FD81" s="56">
        <v>300</v>
      </c>
      <c r="FE81" s="55">
        <v>48</v>
      </c>
      <c r="FF81" s="56">
        <v>303</v>
      </c>
      <c r="FG81" s="55">
        <v>44</v>
      </c>
      <c r="FH81" s="56">
        <v>300</v>
      </c>
      <c r="FI81" s="55">
        <v>45</v>
      </c>
      <c r="FJ81" s="56">
        <v>315</v>
      </c>
      <c r="FK81" s="55">
        <v>64</v>
      </c>
      <c r="FL81" s="56">
        <v>300</v>
      </c>
      <c r="FM81" s="55">
        <v>59</v>
      </c>
      <c r="FN81" s="56">
        <v>305</v>
      </c>
      <c r="FO81" s="55">
        <v>45</v>
      </c>
      <c r="FP81" s="56">
        <v>310</v>
      </c>
      <c r="FQ81" s="55">
        <v>34</v>
      </c>
      <c r="FR81" s="56">
        <v>320</v>
      </c>
      <c r="FS81" s="55">
        <v>45</v>
      </c>
      <c r="FT81" s="56">
        <v>320</v>
      </c>
      <c r="FU81" s="55">
        <v>45</v>
      </c>
      <c r="FV81" s="56">
        <v>320</v>
      </c>
      <c r="FW81" s="55">
        <v>42</v>
      </c>
      <c r="FX81" s="56">
        <v>323</v>
      </c>
      <c r="FY81" s="55">
        <v>48</v>
      </c>
      <c r="FZ81" s="56">
        <v>330</v>
      </c>
      <c r="GA81" s="55">
        <v>33</v>
      </c>
      <c r="GB81" s="56">
        <v>340</v>
      </c>
      <c r="GC81" s="55">
        <v>43</v>
      </c>
      <c r="GD81" s="56">
        <v>340</v>
      </c>
      <c r="GE81" s="55">
        <v>42</v>
      </c>
      <c r="GF81" s="56">
        <v>340</v>
      </c>
      <c r="GG81" s="55">
        <v>34</v>
      </c>
      <c r="GH81" s="56">
        <v>360</v>
      </c>
      <c r="GI81" s="55">
        <v>33</v>
      </c>
      <c r="GJ81" s="56">
        <v>360</v>
      </c>
      <c r="GK81" s="55">
        <v>36</v>
      </c>
      <c r="GL81" s="56">
        <v>360</v>
      </c>
      <c r="GM81" s="55">
        <v>35</v>
      </c>
      <c r="GN81" s="56">
        <v>390</v>
      </c>
      <c r="GO81" s="55">
        <v>34</v>
      </c>
      <c r="GP81" s="56">
        <v>395</v>
      </c>
      <c r="GQ81" s="55">
        <v>34</v>
      </c>
      <c r="GR81" s="56">
        <v>415</v>
      </c>
      <c r="GS81" s="55">
        <v>33</v>
      </c>
      <c r="GT81" s="56">
        <v>420</v>
      </c>
      <c r="GU81" s="55">
        <v>30</v>
      </c>
      <c r="GV81" s="56">
        <v>430</v>
      </c>
      <c r="GW81" s="55">
        <v>31</v>
      </c>
      <c r="GX81" s="56">
        <v>450</v>
      </c>
      <c r="GY81" s="55">
        <v>35</v>
      </c>
      <c r="GZ81" s="56">
        <v>420</v>
      </c>
      <c r="HA81">
        <v>23</v>
      </c>
      <c r="HB81" s="56">
        <v>450</v>
      </c>
      <c r="HC81">
        <v>25</v>
      </c>
      <c r="HD81" s="56">
        <v>450</v>
      </c>
      <c r="HE81">
        <v>24</v>
      </c>
      <c r="HF81" s="56">
        <v>450</v>
      </c>
    </row>
    <row r="82" spans="1:214" x14ac:dyDescent="0.25">
      <c r="A82" s="53"/>
      <c r="B82" s="54" t="s">
        <v>819</v>
      </c>
      <c r="C82" s="55">
        <v>155</v>
      </c>
      <c r="D82" s="56">
        <v>145</v>
      </c>
      <c r="E82" s="55">
        <v>166</v>
      </c>
      <c r="F82" s="56">
        <v>145</v>
      </c>
      <c r="G82" s="55">
        <v>162</v>
      </c>
      <c r="H82" s="56">
        <v>145</v>
      </c>
      <c r="I82" s="55">
        <v>138</v>
      </c>
      <c r="J82" s="56">
        <v>150</v>
      </c>
      <c r="K82" s="55">
        <v>152</v>
      </c>
      <c r="L82" s="56">
        <v>150</v>
      </c>
      <c r="M82" s="55">
        <v>175</v>
      </c>
      <c r="N82" s="56">
        <v>150</v>
      </c>
      <c r="O82" s="55">
        <v>144</v>
      </c>
      <c r="P82" s="56">
        <v>155</v>
      </c>
      <c r="Q82" s="55">
        <v>158</v>
      </c>
      <c r="R82" s="56">
        <v>160</v>
      </c>
      <c r="S82" s="55">
        <v>150</v>
      </c>
      <c r="T82" s="56">
        <v>155</v>
      </c>
      <c r="U82" s="55">
        <v>142</v>
      </c>
      <c r="V82" s="56">
        <v>155</v>
      </c>
      <c r="W82" s="55">
        <v>162</v>
      </c>
      <c r="X82" s="56">
        <v>156</v>
      </c>
      <c r="Y82" s="55">
        <v>152</v>
      </c>
      <c r="Z82" s="56">
        <v>160</v>
      </c>
      <c r="AA82" s="55">
        <v>166</v>
      </c>
      <c r="AB82" s="56">
        <v>160</v>
      </c>
      <c r="AC82" s="55">
        <v>139</v>
      </c>
      <c r="AD82" s="56">
        <v>160</v>
      </c>
      <c r="AE82" s="55">
        <v>154</v>
      </c>
      <c r="AF82" s="56">
        <v>160</v>
      </c>
      <c r="AG82" s="55">
        <v>137</v>
      </c>
      <c r="AH82" s="56">
        <v>160</v>
      </c>
      <c r="AI82" s="55">
        <v>153</v>
      </c>
      <c r="AJ82" s="56">
        <v>160</v>
      </c>
      <c r="AK82" s="55">
        <v>154</v>
      </c>
      <c r="AL82" s="56">
        <v>160</v>
      </c>
      <c r="AM82" s="55">
        <v>129</v>
      </c>
      <c r="AN82" s="56">
        <v>160</v>
      </c>
      <c r="AO82" s="55">
        <v>127</v>
      </c>
      <c r="AP82" s="56">
        <v>165</v>
      </c>
      <c r="AQ82" s="55">
        <v>105</v>
      </c>
      <c r="AR82" s="56">
        <v>165</v>
      </c>
      <c r="AS82" s="55">
        <v>126</v>
      </c>
      <c r="AT82" s="56">
        <v>170</v>
      </c>
      <c r="AU82" s="55">
        <v>119</v>
      </c>
      <c r="AV82" s="56">
        <v>165</v>
      </c>
      <c r="AW82" s="55">
        <v>135</v>
      </c>
      <c r="AX82" s="56">
        <v>165</v>
      </c>
      <c r="AY82" s="55">
        <v>134</v>
      </c>
      <c r="AZ82" s="56">
        <v>170</v>
      </c>
      <c r="BA82" s="55">
        <v>109</v>
      </c>
      <c r="BB82" s="56">
        <v>170</v>
      </c>
      <c r="BC82" s="55">
        <v>124</v>
      </c>
      <c r="BD82" s="56">
        <v>180</v>
      </c>
      <c r="BE82" s="55">
        <v>103</v>
      </c>
      <c r="BF82" s="56">
        <v>175</v>
      </c>
      <c r="BG82" s="55">
        <v>103</v>
      </c>
      <c r="BH82" s="56">
        <v>180</v>
      </c>
      <c r="BI82" s="55">
        <v>116</v>
      </c>
      <c r="BJ82" s="56">
        <v>180</v>
      </c>
      <c r="BK82" s="55">
        <v>74</v>
      </c>
      <c r="BL82" s="56">
        <v>185</v>
      </c>
      <c r="BM82" s="55">
        <v>124</v>
      </c>
      <c r="BN82" s="56">
        <v>188</v>
      </c>
      <c r="BO82" s="55">
        <v>108</v>
      </c>
      <c r="BP82" s="56">
        <v>195</v>
      </c>
      <c r="BQ82" s="55">
        <v>97</v>
      </c>
      <c r="BR82" s="56">
        <v>195</v>
      </c>
      <c r="BS82" s="55">
        <v>94</v>
      </c>
      <c r="BT82" s="56">
        <v>205</v>
      </c>
      <c r="BU82" s="55">
        <v>112</v>
      </c>
      <c r="BV82" s="56">
        <v>208</v>
      </c>
      <c r="BW82" s="55">
        <v>110</v>
      </c>
      <c r="BX82" s="56">
        <v>215</v>
      </c>
      <c r="BY82" s="55">
        <v>82</v>
      </c>
      <c r="BZ82" s="56">
        <v>220</v>
      </c>
      <c r="CA82" s="55">
        <v>114</v>
      </c>
      <c r="CB82" s="56">
        <v>220</v>
      </c>
      <c r="CC82" s="55">
        <v>92</v>
      </c>
      <c r="CD82" s="56">
        <v>230</v>
      </c>
      <c r="CE82" s="55">
        <v>93</v>
      </c>
      <c r="CF82" s="56">
        <v>230</v>
      </c>
      <c r="CG82" s="55">
        <v>126</v>
      </c>
      <c r="CH82" s="56">
        <v>250</v>
      </c>
      <c r="CI82" s="55">
        <v>101</v>
      </c>
      <c r="CJ82" s="56">
        <v>250</v>
      </c>
      <c r="CK82" s="55">
        <v>103</v>
      </c>
      <c r="CL82" s="56">
        <v>250</v>
      </c>
      <c r="CM82" s="55">
        <v>88</v>
      </c>
      <c r="CN82" s="56">
        <v>260</v>
      </c>
      <c r="CO82" s="55">
        <v>108</v>
      </c>
      <c r="CP82" s="56">
        <v>260</v>
      </c>
      <c r="CQ82" s="55">
        <v>111</v>
      </c>
      <c r="CR82" s="56">
        <v>260</v>
      </c>
      <c r="CS82" s="55">
        <v>104</v>
      </c>
      <c r="CT82" s="56">
        <v>263</v>
      </c>
      <c r="CU82" s="55">
        <v>100</v>
      </c>
      <c r="CV82" s="56">
        <v>270</v>
      </c>
      <c r="CW82" s="55">
        <v>133</v>
      </c>
      <c r="CX82" s="56">
        <v>270</v>
      </c>
      <c r="CY82" s="55">
        <v>125</v>
      </c>
      <c r="CZ82" s="56">
        <v>280</v>
      </c>
      <c r="DA82" s="55">
        <v>119</v>
      </c>
      <c r="DB82" s="56">
        <v>270</v>
      </c>
      <c r="DC82" s="55">
        <v>116</v>
      </c>
      <c r="DD82" s="56">
        <v>280</v>
      </c>
      <c r="DE82" s="55">
        <v>121</v>
      </c>
      <c r="DF82" s="56">
        <v>280</v>
      </c>
      <c r="DG82" s="55">
        <v>138</v>
      </c>
      <c r="DH82" s="56">
        <v>273</v>
      </c>
      <c r="DI82" s="55">
        <v>121</v>
      </c>
      <c r="DJ82" s="56">
        <v>280</v>
      </c>
      <c r="DK82" s="55">
        <v>125</v>
      </c>
      <c r="DL82" s="56">
        <v>290</v>
      </c>
      <c r="DM82" s="55">
        <v>126</v>
      </c>
      <c r="DN82" s="56">
        <v>290</v>
      </c>
      <c r="DO82" s="55">
        <v>126</v>
      </c>
      <c r="DP82" s="56">
        <v>285</v>
      </c>
      <c r="DQ82" s="55">
        <v>134</v>
      </c>
      <c r="DR82" s="56">
        <v>290</v>
      </c>
      <c r="DS82" s="55">
        <v>122</v>
      </c>
      <c r="DT82" s="56">
        <v>300</v>
      </c>
      <c r="DU82" s="55">
        <v>153</v>
      </c>
      <c r="DV82" s="56">
        <v>290</v>
      </c>
      <c r="DW82" s="55">
        <v>137</v>
      </c>
      <c r="DX82" s="56">
        <v>290</v>
      </c>
      <c r="DY82" s="55">
        <v>127</v>
      </c>
      <c r="DZ82" s="56">
        <v>295</v>
      </c>
      <c r="EA82" s="55">
        <v>113</v>
      </c>
      <c r="EB82" s="56">
        <v>295</v>
      </c>
      <c r="EC82" s="55">
        <v>129</v>
      </c>
      <c r="ED82" s="56">
        <v>300</v>
      </c>
      <c r="EE82" s="55">
        <v>139</v>
      </c>
      <c r="EF82" s="56">
        <v>300</v>
      </c>
      <c r="EG82" s="55">
        <v>113</v>
      </c>
      <c r="EH82" s="56">
        <v>300</v>
      </c>
      <c r="EI82" s="55">
        <v>119</v>
      </c>
      <c r="EJ82" s="56">
        <v>300</v>
      </c>
      <c r="EK82" s="55">
        <v>148</v>
      </c>
      <c r="EL82" s="56">
        <v>310</v>
      </c>
      <c r="EM82" s="55">
        <v>146</v>
      </c>
      <c r="EN82" s="56">
        <v>310</v>
      </c>
      <c r="EO82" s="55">
        <v>125</v>
      </c>
      <c r="EP82" s="56">
        <v>310</v>
      </c>
      <c r="EQ82" s="55">
        <v>137</v>
      </c>
      <c r="ER82" s="56">
        <v>310</v>
      </c>
      <c r="ES82" s="55">
        <v>135</v>
      </c>
      <c r="ET82" s="56">
        <v>315</v>
      </c>
      <c r="EU82" s="55">
        <v>155</v>
      </c>
      <c r="EV82" s="56">
        <v>315</v>
      </c>
      <c r="EW82" s="55">
        <v>108</v>
      </c>
      <c r="EX82" s="56">
        <v>320</v>
      </c>
      <c r="EY82" s="55">
        <v>149</v>
      </c>
      <c r="EZ82" s="56">
        <v>320</v>
      </c>
      <c r="FA82" s="55">
        <v>134</v>
      </c>
      <c r="FB82" s="56">
        <v>323</v>
      </c>
      <c r="FC82" s="55">
        <v>147</v>
      </c>
      <c r="FD82" s="56">
        <v>330</v>
      </c>
      <c r="FE82" s="55">
        <v>133</v>
      </c>
      <c r="FF82" s="56">
        <v>320</v>
      </c>
      <c r="FG82" s="55">
        <v>126</v>
      </c>
      <c r="FH82" s="56">
        <v>325</v>
      </c>
      <c r="FI82" s="55">
        <v>148</v>
      </c>
      <c r="FJ82" s="56">
        <v>330</v>
      </c>
      <c r="FK82" s="55">
        <v>130</v>
      </c>
      <c r="FL82" s="56">
        <v>330</v>
      </c>
      <c r="FM82" s="55">
        <v>150</v>
      </c>
      <c r="FN82" s="56">
        <v>328</v>
      </c>
      <c r="FO82" s="55">
        <v>118</v>
      </c>
      <c r="FP82" s="56">
        <v>340</v>
      </c>
      <c r="FQ82" s="55">
        <v>93</v>
      </c>
      <c r="FR82" s="56">
        <v>350</v>
      </c>
      <c r="FS82" s="55">
        <v>104</v>
      </c>
      <c r="FT82" s="56">
        <v>340</v>
      </c>
      <c r="FU82" s="55">
        <v>104</v>
      </c>
      <c r="FV82" s="56">
        <v>330</v>
      </c>
      <c r="FW82" s="55">
        <v>115</v>
      </c>
      <c r="FX82" s="56">
        <v>350</v>
      </c>
      <c r="FY82" s="55">
        <v>113</v>
      </c>
      <c r="FZ82" s="56">
        <v>340</v>
      </c>
      <c r="GA82" s="55">
        <v>99</v>
      </c>
      <c r="GB82" s="56">
        <v>350</v>
      </c>
      <c r="GC82" s="55">
        <v>124</v>
      </c>
      <c r="GD82" s="56">
        <v>353</v>
      </c>
      <c r="GE82" s="55">
        <v>124</v>
      </c>
      <c r="GF82" s="56">
        <v>353</v>
      </c>
      <c r="GG82" s="55">
        <v>127</v>
      </c>
      <c r="GH82" s="56">
        <v>370</v>
      </c>
      <c r="GI82" s="55">
        <v>99</v>
      </c>
      <c r="GJ82" s="56">
        <v>370</v>
      </c>
      <c r="GK82" s="55">
        <v>90</v>
      </c>
      <c r="GL82" s="56">
        <v>383</v>
      </c>
      <c r="GM82" s="55">
        <v>114</v>
      </c>
      <c r="GN82" s="56">
        <v>400</v>
      </c>
      <c r="GO82" s="55">
        <v>94</v>
      </c>
      <c r="GP82" s="56">
        <v>400</v>
      </c>
      <c r="GQ82" s="55">
        <v>88</v>
      </c>
      <c r="GR82" s="56">
        <v>420</v>
      </c>
      <c r="GS82" s="55">
        <v>83</v>
      </c>
      <c r="GT82" s="56">
        <v>435</v>
      </c>
      <c r="GU82" s="55">
        <v>75</v>
      </c>
      <c r="GV82" s="56">
        <v>450</v>
      </c>
      <c r="GW82" s="55">
        <v>93</v>
      </c>
      <c r="GX82" s="56">
        <v>470</v>
      </c>
      <c r="GY82" s="55">
        <v>97</v>
      </c>
      <c r="GZ82" s="56">
        <v>475</v>
      </c>
      <c r="HA82">
        <v>95</v>
      </c>
      <c r="HB82" s="56">
        <v>480</v>
      </c>
      <c r="HC82">
        <v>61</v>
      </c>
      <c r="HD82" s="56">
        <v>470</v>
      </c>
      <c r="HE82">
        <v>88</v>
      </c>
      <c r="HF82" s="56">
        <v>480</v>
      </c>
    </row>
    <row r="83" spans="1:214" x14ac:dyDescent="0.25">
      <c r="A83" s="53"/>
      <c r="B83" s="54" t="s">
        <v>820</v>
      </c>
      <c r="C83" s="55">
        <v>205</v>
      </c>
      <c r="D83" s="56">
        <v>130</v>
      </c>
      <c r="E83" s="55">
        <v>245</v>
      </c>
      <c r="F83" s="56">
        <v>130</v>
      </c>
      <c r="G83" s="55">
        <v>245</v>
      </c>
      <c r="H83" s="56">
        <v>135</v>
      </c>
      <c r="I83" s="55">
        <v>285</v>
      </c>
      <c r="J83" s="56">
        <v>130</v>
      </c>
      <c r="K83" s="55">
        <v>268</v>
      </c>
      <c r="L83" s="56">
        <v>138</v>
      </c>
      <c r="M83" s="55">
        <v>277</v>
      </c>
      <c r="N83" s="56">
        <v>135</v>
      </c>
      <c r="O83" s="55">
        <v>231</v>
      </c>
      <c r="P83" s="56">
        <v>135</v>
      </c>
      <c r="Q83" s="55">
        <v>246</v>
      </c>
      <c r="R83" s="56">
        <v>140</v>
      </c>
      <c r="S83" s="55">
        <v>255</v>
      </c>
      <c r="T83" s="56">
        <v>140</v>
      </c>
      <c r="U83" s="55">
        <v>283</v>
      </c>
      <c r="V83" s="56">
        <v>140</v>
      </c>
      <c r="W83" s="55">
        <v>214</v>
      </c>
      <c r="X83" s="56">
        <v>140</v>
      </c>
      <c r="Y83" s="55">
        <v>253</v>
      </c>
      <c r="Z83" s="56">
        <v>145</v>
      </c>
      <c r="AA83" s="55">
        <v>254</v>
      </c>
      <c r="AB83" s="56">
        <v>145</v>
      </c>
      <c r="AC83" s="55">
        <v>251</v>
      </c>
      <c r="AD83" s="56">
        <v>150</v>
      </c>
      <c r="AE83" s="55">
        <v>243</v>
      </c>
      <c r="AF83" s="56">
        <v>145</v>
      </c>
      <c r="AG83" s="55">
        <v>259</v>
      </c>
      <c r="AH83" s="56">
        <v>150</v>
      </c>
      <c r="AI83" s="55">
        <v>233</v>
      </c>
      <c r="AJ83" s="56">
        <v>150</v>
      </c>
      <c r="AK83" s="55">
        <v>287</v>
      </c>
      <c r="AL83" s="56">
        <v>150</v>
      </c>
      <c r="AM83" s="55">
        <v>216</v>
      </c>
      <c r="AN83" s="56">
        <v>155</v>
      </c>
      <c r="AO83" s="55">
        <v>246</v>
      </c>
      <c r="AP83" s="56">
        <v>150</v>
      </c>
      <c r="AQ83" s="55">
        <v>223</v>
      </c>
      <c r="AR83" s="56">
        <v>155</v>
      </c>
      <c r="AS83" s="55">
        <v>247</v>
      </c>
      <c r="AT83" s="56">
        <v>160</v>
      </c>
      <c r="AU83" s="55">
        <v>226</v>
      </c>
      <c r="AV83" s="56">
        <v>160</v>
      </c>
      <c r="AW83" s="55">
        <v>220</v>
      </c>
      <c r="AX83" s="56">
        <v>160</v>
      </c>
      <c r="AY83" s="55">
        <v>209</v>
      </c>
      <c r="AZ83" s="56">
        <v>160</v>
      </c>
      <c r="BA83" s="55">
        <v>246</v>
      </c>
      <c r="BB83" s="56">
        <v>165</v>
      </c>
      <c r="BC83" s="55">
        <v>231</v>
      </c>
      <c r="BD83" s="56">
        <v>170</v>
      </c>
      <c r="BE83" s="55">
        <v>247</v>
      </c>
      <c r="BF83" s="56">
        <v>170</v>
      </c>
      <c r="BG83" s="55">
        <v>234</v>
      </c>
      <c r="BH83" s="56">
        <v>170</v>
      </c>
      <c r="BI83" s="55">
        <v>227</v>
      </c>
      <c r="BJ83" s="56">
        <v>175</v>
      </c>
      <c r="BK83" s="55">
        <v>216</v>
      </c>
      <c r="BL83" s="56">
        <v>175</v>
      </c>
      <c r="BM83" s="55">
        <v>217</v>
      </c>
      <c r="BN83" s="56">
        <v>175</v>
      </c>
      <c r="BO83" s="55">
        <v>230</v>
      </c>
      <c r="BP83" s="56">
        <v>185</v>
      </c>
      <c r="BQ83" s="55">
        <v>228</v>
      </c>
      <c r="BR83" s="56">
        <v>190</v>
      </c>
      <c r="BS83" s="55">
        <v>196</v>
      </c>
      <c r="BT83" s="56">
        <v>193</v>
      </c>
      <c r="BU83" s="55">
        <v>245</v>
      </c>
      <c r="BV83" s="56">
        <v>195</v>
      </c>
      <c r="BW83" s="55">
        <v>235</v>
      </c>
      <c r="BX83" s="56">
        <v>210</v>
      </c>
      <c r="BY83" s="55">
        <v>198</v>
      </c>
      <c r="BZ83" s="56">
        <v>220</v>
      </c>
      <c r="CA83" s="55">
        <v>231</v>
      </c>
      <c r="CB83" s="56">
        <v>225</v>
      </c>
      <c r="CC83" s="55">
        <v>199</v>
      </c>
      <c r="CD83" s="56">
        <v>220</v>
      </c>
      <c r="CE83" s="55">
        <v>215</v>
      </c>
      <c r="CF83" s="56">
        <v>230</v>
      </c>
      <c r="CG83" s="55">
        <v>238</v>
      </c>
      <c r="CH83" s="56">
        <v>230</v>
      </c>
      <c r="CI83" s="55">
        <v>241</v>
      </c>
      <c r="CJ83" s="56">
        <v>240</v>
      </c>
      <c r="CK83" s="55">
        <v>249</v>
      </c>
      <c r="CL83" s="56">
        <v>240</v>
      </c>
      <c r="CM83" s="55">
        <v>237</v>
      </c>
      <c r="CN83" s="56">
        <v>250</v>
      </c>
      <c r="CO83" s="55">
        <v>266</v>
      </c>
      <c r="CP83" s="56">
        <v>255</v>
      </c>
      <c r="CQ83" s="55">
        <v>242</v>
      </c>
      <c r="CR83" s="56">
        <v>260</v>
      </c>
      <c r="CS83" s="55">
        <v>243</v>
      </c>
      <c r="CT83" s="56">
        <v>260</v>
      </c>
      <c r="CU83" s="55">
        <v>236</v>
      </c>
      <c r="CV83" s="56">
        <v>270</v>
      </c>
      <c r="CW83" s="55">
        <v>279</v>
      </c>
      <c r="CX83" s="56">
        <v>265</v>
      </c>
      <c r="CY83" s="55">
        <v>255</v>
      </c>
      <c r="CZ83" s="56">
        <v>260</v>
      </c>
      <c r="DA83" s="55">
        <v>296</v>
      </c>
      <c r="DB83" s="56">
        <v>265</v>
      </c>
      <c r="DC83" s="55">
        <v>231</v>
      </c>
      <c r="DD83" s="56">
        <v>265</v>
      </c>
      <c r="DE83" s="55">
        <v>282</v>
      </c>
      <c r="DF83" s="56">
        <v>270</v>
      </c>
      <c r="DG83" s="55">
        <v>269</v>
      </c>
      <c r="DH83" s="56">
        <v>265</v>
      </c>
      <c r="DI83" s="55">
        <v>283</v>
      </c>
      <c r="DJ83" s="56">
        <v>265</v>
      </c>
      <c r="DK83" s="55">
        <v>275</v>
      </c>
      <c r="DL83" s="56">
        <v>270</v>
      </c>
      <c r="DM83" s="55">
        <v>264</v>
      </c>
      <c r="DN83" s="56">
        <v>265</v>
      </c>
      <c r="DO83" s="55">
        <v>293</v>
      </c>
      <c r="DP83" s="56">
        <v>275</v>
      </c>
      <c r="DQ83" s="55">
        <v>260</v>
      </c>
      <c r="DR83" s="56">
        <v>270</v>
      </c>
      <c r="DS83" s="55">
        <v>290</v>
      </c>
      <c r="DT83" s="56">
        <v>275</v>
      </c>
      <c r="DU83" s="55">
        <v>292</v>
      </c>
      <c r="DV83" s="56">
        <v>275</v>
      </c>
      <c r="DW83" s="55">
        <v>279</v>
      </c>
      <c r="DX83" s="56">
        <v>280</v>
      </c>
      <c r="DY83" s="55">
        <v>244</v>
      </c>
      <c r="DZ83" s="56">
        <v>280</v>
      </c>
      <c r="EA83" s="55">
        <v>279</v>
      </c>
      <c r="EB83" s="56">
        <v>280</v>
      </c>
      <c r="EC83" s="55">
        <v>253</v>
      </c>
      <c r="ED83" s="56">
        <v>280</v>
      </c>
      <c r="EE83" s="55">
        <v>237</v>
      </c>
      <c r="EF83" s="56">
        <v>290</v>
      </c>
      <c r="EG83" s="55">
        <v>256</v>
      </c>
      <c r="EH83" s="56">
        <v>285</v>
      </c>
      <c r="EI83" s="55">
        <v>247</v>
      </c>
      <c r="EJ83" s="56">
        <v>290</v>
      </c>
      <c r="EK83" s="55">
        <v>249</v>
      </c>
      <c r="EL83" s="56">
        <v>300</v>
      </c>
      <c r="EM83" s="55">
        <v>212</v>
      </c>
      <c r="EN83" s="56">
        <v>300</v>
      </c>
      <c r="EO83" s="55">
        <v>235</v>
      </c>
      <c r="EP83" s="56">
        <v>295</v>
      </c>
      <c r="EQ83" s="55">
        <v>250</v>
      </c>
      <c r="ER83" s="56">
        <v>310</v>
      </c>
      <c r="ES83" s="55">
        <v>258</v>
      </c>
      <c r="ET83" s="56">
        <v>310</v>
      </c>
      <c r="EU83" s="55">
        <v>258</v>
      </c>
      <c r="EV83" s="56">
        <v>315</v>
      </c>
      <c r="EW83" s="55">
        <v>240</v>
      </c>
      <c r="EX83" s="56">
        <v>320</v>
      </c>
      <c r="EY83" s="55">
        <v>261</v>
      </c>
      <c r="EZ83" s="56">
        <v>320</v>
      </c>
      <c r="FA83" s="55">
        <v>246</v>
      </c>
      <c r="FB83" s="56">
        <v>320</v>
      </c>
      <c r="FC83" s="55">
        <v>243</v>
      </c>
      <c r="FD83" s="56">
        <v>325</v>
      </c>
      <c r="FE83" s="55">
        <v>276</v>
      </c>
      <c r="FF83" s="56">
        <v>323</v>
      </c>
      <c r="FG83" s="55">
        <v>227</v>
      </c>
      <c r="FH83" s="56">
        <v>324</v>
      </c>
      <c r="FI83" s="55">
        <v>226</v>
      </c>
      <c r="FJ83" s="56">
        <v>330</v>
      </c>
      <c r="FK83" s="55">
        <v>248</v>
      </c>
      <c r="FL83" s="56">
        <v>330</v>
      </c>
      <c r="FM83" s="55">
        <v>235</v>
      </c>
      <c r="FN83" s="56">
        <v>330</v>
      </c>
      <c r="FO83" s="55">
        <v>210</v>
      </c>
      <c r="FP83" s="56">
        <v>330</v>
      </c>
      <c r="FQ83" s="55">
        <v>174</v>
      </c>
      <c r="FR83" s="56">
        <v>340</v>
      </c>
      <c r="FS83" s="55">
        <v>212</v>
      </c>
      <c r="FT83" s="56">
        <v>338</v>
      </c>
      <c r="FU83" s="55">
        <v>206</v>
      </c>
      <c r="FV83" s="56">
        <v>335</v>
      </c>
      <c r="FW83" s="55">
        <v>210</v>
      </c>
      <c r="FX83" s="56">
        <v>350</v>
      </c>
      <c r="FY83" s="55">
        <v>181</v>
      </c>
      <c r="FZ83" s="56">
        <v>360</v>
      </c>
      <c r="GA83" s="55">
        <v>170</v>
      </c>
      <c r="GB83" s="56">
        <v>360</v>
      </c>
      <c r="GC83" s="55">
        <v>176</v>
      </c>
      <c r="GD83" s="56">
        <v>370</v>
      </c>
      <c r="GE83" s="55">
        <v>178</v>
      </c>
      <c r="GF83" s="56">
        <v>370</v>
      </c>
      <c r="GG83" s="55">
        <v>182</v>
      </c>
      <c r="GH83" s="56">
        <v>380</v>
      </c>
      <c r="GI83" s="55">
        <v>181</v>
      </c>
      <c r="GJ83" s="56">
        <v>390</v>
      </c>
      <c r="GK83" s="55">
        <v>177</v>
      </c>
      <c r="GL83" s="56">
        <v>395</v>
      </c>
      <c r="GM83" s="55">
        <v>186</v>
      </c>
      <c r="GN83" s="56">
        <v>410</v>
      </c>
      <c r="GO83" s="55">
        <v>178</v>
      </c>
      <c r="GP83" s="56">
        <v>420</v>
      </c>
      <c r="GQ83" s="55">
        <v>164</v>
      </c>
      <c r="GR83" s="56">
        <v>440</v>
      </c>
      <c r="GS83" s="55">
        <v>177</v>
      </c>
      <c r="GT83" s="56">
        <v>450</v>
      </c>
      <c r="GU83" s="55">
        <v>159</v>
      </c>
      <c r="GV83" s="56">
        <v>450</v>
      </c>
      <c r="GW83" s="55">
        <v>179</v>
      </c>
      <c r="GX83" s="56">
        <v>465</v>
      </c>
      <c r="GY83" s="55">
        <v>163</v>
      </c>
      <c r="GZ83" s="56">
        <v>460</v>
      </c>
      <c r="HA83">
        <v>179</v>
      </c>
      <c r="HB83" s="56">
        <v>460</v>
      </c>
      <c r="HC83">
        <v>155</v>
      </c>
      <c r="HD83" s="56">
        <v>470</v>
      </c>
      <c r="HE83">
        <v>145</v>
      </c>
      <c r="HF83" s="56">
        <v>490</v>
      </c>
    </row>
    <row r="84" spans="1:214" x14ac:dyDescent="0.25">
      <c r="A84" s="53"/>
      <c r="B84" s="54" t="s">
        <v>821</v>
      </c>
      <c r="C84" s="55">
        <v>422</v>
      </c>
      <c r="D84" s="56">
        <v>170</v>
      </c>
      <c r="E84" s="55">
        <v>478</v>
      </c>
      <c r="F84" s="56">
        <v>175</v>
      </c>
      <c r="G84" s="55">
        <v>457</v>
      </c>
      <c r="H84" s="56">
        <v>175</v>
      </c>
      <c r="I84" s="55">
        <v>556</v>
      </c>
      <c r="J84" s="56">
        <v>180</v>
      </c>
      <c r="K84" s="55">
        <v>462</v>
      </c>
      <c r="L84" s="56">
        <v>185</v>
      </c>
      <c r="M84" s="55">
        <v>450</v>
      </c>
      <c r="N84" s="56">
        <v>185</v>
      </c>
      <c r="O84" s="55">
        <v>426</v>
      </c>
      <c r="P84" s="56">
        <v>187</v>
      </c>
      <c r="Q84" s="55">
        <v>584</v>
      </c>
      <c r="R84" s="56">
        <v>193</v>
      </c>
      <c r="S84" s="55">
        <v>409</v>
      </c>
      <c r="T84" s="56">
        <v>195</v>
      </c>
      <c r="U84" s="55">
        <v>445</v>
      </c>
      <c r="V84" s="56">
        <v>195</v>
      </c>
      <c r="W84" s="55">
        <v>458</v>
      </c>
      <c r="X84" s="56">
        <v>200</v>
      </c>
      <c r="Y84" s="55">
        <v>606</v>
      </c>
      <c r="Z84" s="56">
        <v>200</v>
      </c>
      <c r="AA84" s="55">
        <v>423</v>
      </c>
      <c r="AB84" s="56">
        <v>200</v>
      </c>
      <c r="AC84" s="55">
        <v>423</v>
      </c>
      <c r="AD84" s="56">
        <v>205</v>
      </c>
      <c r="AE84" s="55">
        <v>479</v>
      </c>
      <c r="AF84" s="56">
        <v>205</v>
      </c>
      <c r="AG84" s="55">
        <v>611</v>
      </c>
      <c r="AH84" s="56">
        <v>210</v>
      </c>
      <c r="AI84" s="55">
        <v>446</v>
      </c>
      <c r="AJ84" s="56">
        <v>220</v>
      </c>
      <c r="AK84" s="55">
        <v>462</v>
      </c>
      <c r="AL84" s="56">
        <v>215</v>
      </c>
      <c r="AM84" s="55">
        <v>423</v>
      </c>
      <c r="AN84" s="56">
        <v>210</v>
      </c>
      <c r="AO84" s="55">
        <v>678</v>
      </c>
      <c r="AP84" s="56">
        <v>220</v>
      </c>
      <c r="AQ84" s="55">
        <v>393</v>
      </c>
      <c r="AR84" s="56">
        <v>230</v>
      </c>
      <c r="AS84" s="55">
        <v>486</v>
      </c>
      <c r="AT84" s="56">
        <v>220</v>
      </c>
      <c r="AU84" s="55">
        <v>461</v>
      </c>
      <c r="AV84" s="56">
        <v>220</v>
      </c>
      <c r="AW84" s="55">
        <v>564</v>
      </c>
      <c r="AX84" s="56">
        <v>225</v>
      </c>
      <c r="AY84" s="55">
        <v>420</v>
      </c>
      <c r="AZ84" s="56">
        <v>240</v>
      </c>
      <c r="BA84" s="55">
        <v>463</v>
      </c>
      <c r="BB84" s="56">
        <v>225</v>
      </c>
      <c r="BC84" s="55">
        <v>415</v>
      </c>
      <c r="BD84" s="56">
        <v>229</v>
      </c>
      <c r="BE84" s="55">
        <v>524</v>
      </c>
      <c r="BF84" s="56">
        <v>235</v>
      </c>
      <c r="BG84" s="55">
        <v>446</v>
      </c>
      <c r="BH84" s="56">
        <v>240</v>
      </c>
      <c r="BI84" s="55">
        <v>467</v>
      </c>
      <c r="BJ84" s="56">
        <v>240</v>
      </c>
      <c r="BK84" s="55">
        <v>430</v>
      </c>
      <c r="BL84" s="56">
        <v>250</v>
      </c>
      <c r="BM84" s="55">
        <v>565</v>
      </c>
      <c r="BN84" s="56">
        <v>265</v>
      </c>
      <c r="BO84" s="55">
        <v>386</v>
      </c>
      <c r="BP84" s="56">
        <v>280</v>
      </c>
      <c r="BQ84" s="55">
        <v>478</v>
      </c>
      <c r="BR84" s="56">
        <v>300</v>
      </c>
      <c r="BS84" s="55">
        <v>433</v>
      </c>
      <c r="BT84" s="56">
        <v>295</v>
      </c>
      <c r="BU84" s="55">
        <v>553</v>
      </c>
      <c r="BV84" s="56">
        <v>300</v>
      </c>
      <c r="BW84" s="55">
        <v>503</v>
      </c>
      <c r="BX84" s="56">
        <v>320</v>
      </c>
      <c r="BY84" s="55">
        <v>451</v>
      </c>
      <c r="BZ84" s="56">
        <v>330</v>
      </c>
      <c r="CA84" s="55">
        <v>455</v>
      </c>
      <c r="CB84" s="56">
        <v>330</v>
      </c>
      <c r="CC84" s="55">
        <v>537</v>
      </c>
      <c r="CD84" s="56">
        <v>340</v>
      </c>
      <c r="CE84" s="55">
        <v>453</v>
      </c>
      <c r="CF84" s="56">
        <v>330</v>
      </c>
      <c r="CG84" s="55">
        <v>551</v>
      </c>
      <c r="CH84" s="56">
        <v>335</v>
      </c>
      <c r="CI84" s="55">
        <v>533</v>
      </c>
      <c r="CJ84" s="56">
        <v>340</v>
      </c>
      <c r="CK84" s="55">
        <v>644</v>
      </c>
      <c r="CL84" s="56">
        <v>350</v>
      </c>
      <c r="CM84" s="55">
        <v>510</v>
      </c>
      <c r="CN84" s="56">
        <v>350</v>
      </c>
      <c r="CO84" s="55">
        <v>588</v>
      </c>
      <c r="CP84" s="56">
        <v>350</v>
      </c>
      <c r="CQ84" s="55">
        <v>566</v>
      </c>
      <c r="CR84" s="56">
        <v>360</v>
      </c>
      <c r="CS84" s="55">
        <v>702</v>
      </c>
      <c r="CT84" s="56">
        <v>370</v>
      </c>
      <c r="CU84" s="55">
        <v>555</v>
      </c>
      <c r="CV84" s="56">
        <v>370</v>
      </c>
      <c r="CW84" s="55">
        <v>621</v>
      </c>
      <c r="CX84" s="56">
        <v>370</v>
      </c>
      <c r="CY84" s="55">
        <v>578</v>
      </c>
      <c r="CZ84" s="56">
        <v>370</v>
      </c>
      <c r="DA84" s="55">
        <v>716</v>
      </c>
      <c r="DB84" s="56">
        <v>379</v>
      </c>
      <c r="DC84" s="55">
        <v>610</v>
      </c>
      <c r="DD84" s="56">
        <v>372</v>
      </c>
      <c r="DE84" s="55">
        <v>670</v>
      </c>
      <c r="DF84" s="56">
        <v>360</v>
      </c>
      <c r="DG84" s="55">
        <v>699</v>
      </c>
      <c r="DH84" s="56">
        <v>369</v>
      </c>
      <c r="DI84" s="55">
        <v>792</v>
      </c>
      <c r="DJ84" s="56">
        <v>380</v>
      </c>
      <c r="DK84" s="55">
        <v>615</v>
      </c>
      <c r="DL84" s="56">
        <v>380</v>
      </c>
      <c r="DM84" s="55">
        <v>678</v>
      </c>
      <c r="DN84" s="56">
        <v>370</v>
      </c>
      <c r="DO84" s="55">
        <v>726</v>
      </c>
      <c r="DP84" s="56">
        <v>375</v>
      </c>
      <c r="DQ84" s="55">
        <v>843</v>
      </c>
      <c r="DR84" s="56">
        <v>380</v>
      </c>
      <c r="DS84" s="55">
        <v>670</v>
      </c>
      <c r="DT84" s="56">
        <v>380</v>
      </c>
      <c r="DU84" s="55">
        <v>765</v>
      </c>
      <c r="DV84" s="56">
        <v>385</v>
      </c>
      <c r="DW84" s="55">
        <v>783</v>
      </c>
      <c r="DX84" s="56">
        <v>380</v>
      </c>
      <c r="DY84" s="55">
        <v>833</v>
      </c>
      <c r="DZ84" s="56">
        <v>390</v>
      </c>
      <c r="EA84" s="55">
        <v>721</v>
      </c>
      <c r="EB84" s="56">
        <v>390</v>
      </c>
      <c r="EC84" s="55">
        <v>758</v>
      </c>
      <c r="ED84" s="56">
        <v>400</v>
      </c>
      <c r="EE84" s="55">
        <v>739</v>
      </c>
      <c r="EF84" s="56">
        <v>390</v>
      </c>
      <c r="EG84" s="55">
        <v>941</v>
      </c>
      <c r="EH84" s="56">
        <v>400</v>
      </c>
      <c r="EI84" s="55">
        <v>663</v>
      </c>
      <c r="EJ84" s="56">
        <v>400</v>
      </c>
      <c r="EK84" s="55">
        <v>827</v>
      </c>
      <c r="EL84" s="56">
        <v>410</v>
      </c>
      <c r="EM84" s="55">
        <v>891</v>
      </c>
      <c r="EN84" s="56">
        <v>420</v>
      </c>
      <c r="EO84" s="55">
        <v>986</v>
      </c>
      <c r="EP84" s="56">
        <v>430</v>
      </c>
      <c r="EQ84" s="55">
        <v>714</v>
      </c>
      <c r="ER84" s="56">
        <v>425</v>
      </c>
      <c r="ES84" s="55">
        <v>784</v>
      </c>
      <c r="ET84" s="56">
        <v>420</v>
      </c>
      <c r="EU84" s="55">
        <v>791</v>
      </c>
      <c r="EV84" s="56">
        <v>430</v>
      </c>
      <c r="EW84" s="55">
        <v>1043</v>
      </c>
      <c r="EX84" s="56">
        <v>450</v>
      </c>
      <c r="EY84" s="55">
        <v>735</v>
      </c>
      <c r="EZ84" s="56">
        <v>450</v>
      </c>
      <c r="FA84" s="55">
        <v>891</v>
      </c>
      <c r="FB84" s="56">
        <v>450</v>
      </c>
      <c r="FC84" s="55">
        <v>896</v>
      </c>
      <c r="FD84" s="56">
        <v>450</v>
      </c>
      <c r="FE84" s="55">
        <v>1054</v>
      </c>
      <c r="FF84" s="56">
        <v>450</v>
      </c>
      <c r="FG84" s="55">
        <v>723</v>
      </c>
      <c r="FH84" s="56">
        <v>445</v>
      </c>
      <c r="FI84" s="55">
        <v>788</v>
      </c>
      <c r="FJ84" s="56">
        <v>453</v>
      </c>
      <c r="FK84" s="55">
        <v>854</v>
      </c>
      <c r="FL84" s="56">
        <v>460</v>
      </c>
      <c r="FM84" s="55">
        <v>1143</v>
      </c>
      <c r="FN84" s="56">
        <v>470</v>
      </c>
      <c r="FO84" s="55">
        <v>671</v>
      </c>
      <c r="FP84" s="56">
        <v>450</v>
      </c>
      <c r="FQ84" s="55">
        <v>757</v>
      </c>
      <c r="FR84" s="56">
        <v>435</v>
      </c>
      <c r="FS84" s="55">
        <v>910</v>
      </c>
      <c r="FT84" s="56">
        <v>420</v>
      </c>
      <c r="FU84" s="55">
        <v>1261</v>
      </c>
      <c r="FV84" s="56">
        <v>400</v>
      </c>
      <c r="FW84" s="55">
        <v>1044</v>
      </c>
      <c r="FX84" s="56">
        <v>400</v>
      </c>
      <c r="FY84" s="55">
        <v>905</v>
      </c>
      <c r="FZ84" s="56">
        <v>399</v>
      </c>
      <c r="GA84" s="55">
        <v>940</v>
      </c>
      <c r="GB84" s="56">
        <v>410</v>
      </c>
      <c r="GC84" s="55">
        <v>1221</v>
      </c>
      <c r="GD84" s="56">
        <v>420</v>
      </c>
      <c r="GE84" s="55">
        <v>949</v>
      </c>
      <c r="GF84" s="56">
        <v>440</v>
      </c>
      <c r="GG84" s="55">
        <v>981</v>
      </c>
      <c r="GH84" s="56">
        <v>450</v>
      </c>
      <c r="GI84" s="55">
        <v>869</v>
      </c>
      <c r="GJ84" s="56">
        <v>475</v>
      </c>
      <c r="GK84" s="55">
        <v>965</v>
      </c>
      <c r="GL84" s="56">
        <v>520</v>
      </c>
      <c r="GM84" s="55">
        <v>663</v>
      </c>
      <c r="GN84" s="56">
        <v>525</v>
      </c>
      <c r="GO84" s="55">
        <v>777</v>
      </c>
      <c r="GP84" s="56">
        <v>550</v>
      </c>
      <c r="GQ84" s="55">
        <v>660</v>
      </c>
      <c r="GR84" s="56">
        <v>550</v>
      </c>
      <c r="GS84" s="55">
        <v>830</v>
      </c>
      <c r="GT84" s="56">
        <v>580</v>
      </c>
      <c r="GU84" s="55">
        <v>700</v>
      </c>
      <c r="GV84" s="56">
        <v>580</v>
      </c>
      <c r="GW84" s="55">
        <v>780</v>
      </c>
      <c r="GX84" s="56">
        <v>587</v>
      </c>
      <c r="GY84" s="55">
        <v>671</v>
      </c>
      <c r="GZ84" s="56">
        <v>580</v>
      </c>
      <c r="HA84">
        <v>873</v>
      </c>
      <c r="HB84" s="56">
        <v>600</v>
      </c>
      <c r="HC84">
        <v>675</v>
      </c>
      <c r="HD84" s="56">
        <v>600</v>
      </c>
      <c r="HE84">
        <v>760</v>
      </c>
      <c r="HF84" s="56">
        <v>600</v>
      </c>
    </row>
    <row r="85" spans="1:214" x14ac:dyDescent="0.25">
      <c r="A85" s="53"/>
      <c r="B85" s="54" t="s">
        <v>822</v>
      </c>
      <c r="C85" s="55">
        <v>471</v>
      </c>
      <c r="D85" s="56">
        <v>125</v>
      </c>
      <c r="E85" s="55">
        <v>449</v>
      </c>
      <c r="F85" s="56">
        <v>125</v>
      </c>
      <c r="G85" s="55">
        <v>487</v>
      </c>
      <c r="H85" s="56">
        <v>125</v>
      </c>
      <c r="I85" s="55">
        <v>500</v>
      </c>
      <c r="J85" s="56">
        <v>125</v>
      </c>
      <c r="K85" s="55">
        <v>430</v>
      </c>
      <c r="L85" s="56">
        <v>130</v>
      </c>
      <c r="M85" s="55">
        <v>423</v>
      </c>
      <c r="N85" s="56">
        <v>130</v>
      </c>
      <c r="O85" s="55">
        <v>431</v>
      </c>
      <c r="P85" s="56">
        <v>130</v>
      </c>
      <c r="Q85" s="55">
        <v>463</v>
      </c>
      <c r="R85" s="56">
        <v>130</v>
      </c>
      <c r="S85" s="55">
        <v>413</v>
      </c>
      <c r="T85" s="56">
        <v>135</v>
      </c>
      <c r="U85" s="55">
        <v>426</v>
      </c>
      <c r="V85" s="56">
        <v>135</v>
      </c>
      <c r="W85" s="55">
        <v>446</v>
      </c>
      <c r="X85" s="56">
        <v>135</v>
      </c>
      <c r="Y85" s="55">
        <v>444</v>
      </c>
      <c r="Z85" s="56">
        <v>135</v>
      </c>
      <c r="AA85" s="55">
        <v>393</v>
      </c>
      <c r="AB85" s="56">
        <v>135</v>
      </c>
      <c r="AC85" s="55">
        <v>444</v>
      </c>
      <c r="AD85" s="56">
        <v>140</v>
      </c>
      <c r="AE85" s="55">
        <v>395</v>
      </c>
      <c r="AF85" s="56">
        <v>140</v>
      </c>
      <c r="AG85" s="55">
        <v>457</v>
      </c>
      <c r="AH85" s="56">
        <v>140</v>
      </c>
      <c r="AI85" s="55">
        <v>395</v>
      </c>
      <c r="AJ85" s="56">
        <v>140</v>
      </c>
      <c r="AK85" s="55">
        <v>414</v>
      </c>
      <c r="AL85" s="56">
        <v>140</v>
      </c>
      <c r="AM85" s="55">
        <v>392</v>
      </c>
      <c r="AN85" s="56">
        <v>143</v>
      </c>
      <c r="AO85" s="55">
        <v>404</v>
      </c>
      <c r="AP85" s="56">
        <v>145</v>
      </c>
      <c r="AQ85" s="55">
        <v>310</v>
      </c>
      <c r="AR85" s="56">
        <v>145</v>
      </c>
      <c r="AS85" s="55">
        <v>366</v>
      </c>
      <c r="AT85" s="56">
        <v>145</v>
      </c>
      <c r="AU85" s="55">
        <v>365</v>
      </c>
      <c r="AV85" s="56">
        <v>150</v>
      </c>
      <c r="AW85" s="55">
        <v>401</v>
      </c>
      <c r="AX85" s="56">
        <v>150</v>
      </c>
      <c r="AY85" s="55">
        <v>374</v>
      </c>
      <c r="AZ85" s="56">
        <v>150</v>
      </c>
      <c r="BA85" s="55">
        <v>374</v>
      </c>
      <c r="BB85" s="56">
        <v>150</v>
      </c>
      <c r="BC85" s="55">
        <v>320</v>
      </c>
      <c r="BD85" s="56">
        <v>155</v>
      </c>
      <c r="BE85" s="55">
        <v>351</v>
      </c>
      <c r="BF85" s="56">
        <v>160</v>
      </c>
      <c r="BG85" s="55">
        <v>324</v>
      </c>
      <c r="BH85" s="56">
        <v>160</v>
      </c>
      <c r="BI85" s="55">
        <v>279</v>
      </c>
      <c r="BJ85" s="56">
        <v>160</v>
      </c>
      <c r="BK85" s="55">
        <v>282</v>
      </c>
      <c r="BL85" s="56">
        <v>165</v>
      </c>
      <c r="BM85" s="55">
        <v>334</v>
      </c>
      <c r="BN85" s="56">
        <v>170</v>
      </c>
      <c r="BO85" s="55">
        <v>335</v>
      </c>
      <c r="BP85" s="56">
        <v>180</v>
      </c>
      <c r="BQ85" s="55">
        <v>299</v>
      </c>
      <c r="BR85" s="56">
        <v>180</v>
      </c>
      <c r="BS85" s="55">
        <v>225</v>
      </c>
      <c r="BT85" s="56">
        <v>190</v>
      </c>
      <c r="BU85" s="55">
        <v>320</v>
      </c>
      <c r="BV85" s="56">
        <v>198</v>
      </c>
      <c r="BW85" s="55">
        <v>299</v>
      </c>
      <c r="BX85" s="56">
        <v>210</v>
      </c>
      <c r="BY85" s="55">
        <v>275</v>
      </c>
      <c r="BZ85" s="56">
        <v>220</v>
      </c>
      <c r="CA85" s="55">
        <v>313</v>
      </c>
      <c r="CB85" s="56">
        <v>220</v>
      </c>
      <c r="CC85" s="55">
        <v>325</v>
      </c>
      <c r="CD85" s="56">
        <v>230</v>
      </c>
      <c r="CE85" s="55">
        <v>315</v>
      </c>
      <c r="CF85" s="56">
        <v>230</v>
      </c>
      <c r="CG85" s="55">
        <v>349</v>
      </c>
      <c r="CH85" s="56">
        <v>240</v>
      </c>
      <c r="CI85" s="55">
        <v>358</v>
      </c>
      <c r="CJ85" s="56">
        <v>245</v>
      </c>
      <c r="CK85" s="55">
        <v>313</v>
      </c>
      <c r="CL85" s="56">
        <v>250</v>
      </c>
      <c r="CM85" s="55">
        <v>317</v>
      </c>
      <c r="CN85" s="56">
        <v>260</v>
      </c>
      <c r="CO85" s="55">
        <v>355</v>
      </c>
      <c r="CP85" s="56">
        <v>250</v>
      </c>
      <c r="CQ85" s="55">
        <v>324</v>
      </c>
      <c r="CR85" s="56">
        <v>260</v>
      </c>
      <c r="CS85" s="55">
        <v>386</v>
      </c>
      <c r="CT85" s="56">
        <v>260</v>
      </c>
      <c r="CU85" s="55">
        <v>374</v>
      </c>
      <c r="CV85" s="56">
        <v>260</v>
      </c>
      <c r="CW85" s="55">
        <v>389</v>
      </c>
      <c r="CX85" s="56">
        <v>260</v>
      </c>
      <c r="CY85" s="55">
        <v>335</v>
      </c>
      <c r="CZ85" s="56">
        <v>265</v>
      </c>
      <c r="DA85" s="55">
        <v>434</v>
      </c>
      <c r="DB85" s="56">
        <v>270</v>
      </c>
      <c r="DC85" s="55">
        <v>384</v>
      </c>
      <c r="DD85" s="56">
        <v>270</v>
      </c>
      <c r="DE85" s="55">
        <v>441</v>
      </c>
      <c r="DF85" s="56">
        <v>265</v>
      </c>
      <c r="DG85" s="55">
        <v>435</v>
      </c>
      <c r="DH85" s="56">
        <v>270</v>
      </c>
      <c r="DI85" s="55">
        <v>440</v>
      </c>
      <c r="DJ85" s="56">
        <v>270</v>
      </c>
      <c r="DK85" s="55">
        <v>428</v>
      </c>
      <c r="DL85" s="56">
        <v>270</v>
      </c>
      <c r="DM85" s="55">
        <v>478</v>
      </c>
      <c r="DN85" s="56">
        <v>270</v>
      </c>
      <c r="DO85" s="55">
        <v>417</v>
      </c>
      <c r="DP85" s="56">
        <v>280</v>
      </c>
      <c r="DQ85" s="55">
        <v>424</v>
      </c>
      <c r="DR85" s="56">
        <v>276</v>
      </c>
      <c r="DS85" s="55">
        <v>450</v>
      </c>
      <c r="DT85" s="56">
        <v>280</v>
      </c>
      <c r="DU85" s="55">
        <v>444</v>
      </c>
      <c r="DV85" s="56">
        <v>285</v>
      </c>
      <c r="DW85" s="55">
        <v>431</v>
      </c>
      <c r="DX85" s="56">
        <v>285</v>
      </c>
      <c r="DY85" s="55">
        <v>473</v>
      </c>
      <c r="DZ85" s="56">
        <v>290</v>
      </c>
      <c r="EA85" s="55">
        <v>539</v>
      </c>
      <c r="EB85" s="56">
        <v>284</v>
      </c>
      <c r="EC85" s="55">
        <v>487</v>
      </c>
      <c r="ED85" s="56">
        <v>290</v>
      </c>
      <c r="EE85" s="55">
        <v>497</v>
      </c>
      <c r="EF85" s="56">
        <v>300</v>
      </c>
      <c r="EG85" s="55">
        <v>491</v>
      </c>
      <c r="EH85" s="56">
        <v>300</v>
      </c>
      <c r="EI85" s="55">
        <v>515</v>
      </c>
      <c r="EJ85" s="56">
        <v>290</v>
      </c>
      <c r="EK85" s="55">
        <v>461</v>
      </c>
      <c r="EL85" s="56">
        <v>300</v>
      </c>
      <c r="EM85" s="55">
        <v>473</v>
      </c>
      <c r="EN85" s="56">
        <v>300</v>
      </c>
      <c r="EO85" s="55">
        <v>466</v>
      </c>
      <c r="EP85" s="56">
        <v>300</v>
      </c>
      <c r="EQ85" s="55">
        <v>469</v>
      </c>
      <c r="ER85" s="56">
        <v>300</v>
      </c>
      <c r="ES85" s="55">
        <v>460</v>
      </c>
      <c r="ET85" s="56">
        <v>310</v>
      </c>
      <c r="EU85" s="55">
        <v>448</v>
      </c>
      <c r="EV85" s="56">
        <v>320</v>
      </c>
      <c r="EW85" s="55">
        <v>469</v>
      </c>
      <c r="EX85" s="56">
        <v>320</v>
      </c>
      <c r="EY85" s="55">
        <v>427</v>
      </c>
      <c r="EZ85" s="56">
        <v>320</v>
      </c>
      <c r="FA85" s="55">
        <v>438</v>
      </c>
      <c r="FB85" s="56">
        <v>325</v>
      </c>
      <c r="FC85" s="55">
        <v>411</v>
      </c>
      <c r="FD85" s="56">
        <v>320</v>
      </c>
      <c r="FE85" s="55">
        <v>459</v>
      </c>
      <c r="FF85" s="56">
        <v>320</v>
      </c>
      <c r="FG85" s="55">
        <v>438</v>
      </c>
      <c r="FH85" s="56">
        <v>330</v>
      </c>
      <c r="FI85" s="55">
        <v>404</v>
      </c>
      <c r="FJ85" s="56">
        <v>323</v>
      </c>
      <c r="FK85" s="55">
        <v>481</v>
      </c>
      <c r="FL85" s="56">
        <v>326</v>
      </c>
      <c r="FM85" s="55">
        <v>507</v>
      </c>
      <c r="FN85" s="56">
        <v>330</v>
      </c>
      <c r="FO85" s="55">
        <v>371</v>
      </c>
      <c r="FP85" s="56">
        <v>330</v>
      </c>
      <c r="FQ85" s="55">
        <v>308</v>
      </c>
      <c r="FR85" s="56">
        <v>325</v>
      </c>
      <c r="FS85" s="55">
        <v>413</v>
      </c>
      <c r="FT85" s="56">
        <v>320</v>
      </c>
      <c r="FU85" s="55">
        <v>438</v>
      </c>
      <c r="FV85" s="56">
        <v>330</v>
      </c>
      <c r="FW85" s="55">
        <v>413</v>
      </c>
      <c r="FX85" s="56">
        <v>320</v>
      </c>
      <c r="FY85" s="55">
        <v>425</v>
      </c>
      <c r="FZ85" s="56">
        <v>322</v>
      </c>
      <c r="GA85" s="55">
        <v>443</v>
      </c>
      <c r="GB85" s="56">
        <v>330</v>
      </c>
      <c r="GC85" s="55">
        <v>455</v>
      </c>
      <c r="GD85" s="56">
        <v>340</v>
      </c>
      <c r="GE85" s="55">
        <v>387</v>
      </c>
      <c r="GF85" s="56">
        <v>340</v>
      </c>
      <c r="GG85" s="55">
        <v>425</v>
      </c>
      <c r="GH85" s="56">
        <v>350</v>
      </c>
      <c r="GI85" s="55">
        <v>374</v>
      </c>
      <c r="GJ85" s="56">
        <v>350</v>
      </c>
      <c r="GK85" s="55">
        <v>379</v>
      </c>
      <c r="GL85" s="56">
        <v>360</v>
      </c>
      <c r="GM85" s="55">
        <v>350</v>
      </c>
      <c r="GN85" s="56">
        <v>380</v>
      </c>
      <c r="GO85" s="55">
        <v>287</v>
      </c>
      <c r="GP85" s="56">
        <v>400</v>
      </c>
      <c r="GQ85" s="55">
        <v>292</v>
      </c>
      <c r="GR85" s="56">
        <v>420</v>
      </c>
      <c r="GS85" s="55">
        <v>319</v>
      </c>
      <c r="GT85" s="56">
        <v>450</v>
      </c>
      <c r="GU85" s="55">
        <v>286</v>
      </c>
      <c r="GV85" s="56">
        <v>450</v>
      </c>
      <c r="GW85" s="55">
        <v>323</v>
      </c>
      <c r="GX85" s="56">
        <v>460</v>
      </c>
      <c r="GY85" s="55">
        <v>313</v>
      </c>
      <c r="GZ85" s="56">
        <v>460</v>
      </c>
      <c r="HA85">
        <v>325</v>
      </c>
      <c r="HB85" s="56">
        <v>460</v>
      </c>
      <c r="HC85">
        <v>334</v>
      </c>
      <c r="HD85" s="56">
        <v>470</v>
      </c>
      <c r="HE85">
        <v>297</v>
      </c>
      <c r="HF85" s="56">
        <v>470</v>
      </c>
    </row>
    <row r="86" spans="1:214" x14ac:dyDescent="0.25">
      <c r="A86" s="53"/>
      <c r="B86" s="54" t="s">
        <v>823</v>
      </c>
      <c r="C86" s="55">
        <v>397</v>
      </c>
      <c r="D86" s="56">
        <v>145</v>
      </c>
      <c r="E86" s="55">
        <v>439</v>
      </c>
      <c r="F86" s="56">
        <v>150</v>
      </c>
      <c r="G86" s="55">
        <v>403</v>
      </c>
      <c r="H86" s="56">
        <v>150</v>
      </c>
      <c r="I86" s="55">
        <v>413</v>
      </c>
      <c r="J86" s="56">
        <v>150</v>
      </c>
      <c r="K86" s="55">
        <v>379</v>
      </c>
      <c r="L86" s="56">
        <v>160</v>
      </c>
      <c r="M86" s="55">
        <v>430</v>
      </c>
      <c r="N86" s="56">
        <v>155</v>
      </c>
      <c r="O86" s="55">
        <v>417</v>
      </c>
      <c r="P86" s="56">
        <v>165</v>
      </c>
      <c r="Q86" s="55">
        <v>424</v>
      </c>
      <c r="R86" s="56">
        <v>165</v>
      </c>
      <c r="S86" s="55">
        <v>375</v>
      </c>
      <c r="T86" s="56">
        <v>165</v>
      </c>
      <c r="U86" s="55">
        <v>425</v>
      </c>
      <c r="V86" s="56">
        <v>165</v>
      </c>
      <c r="W86" s="55">
        <v>390</v>
      </c>
      <c r="X86" s="56">
        <v>170</v>
      </c>
      <c r="Y86" s="55">
        <v>445</v>
      </c>
      <c r="Z86" s="56">
        <v>170</v>
      </c>
      <c r="AA86" s="55">
        <v>408</v>
      </c>
      <c r="AB86" s="56">
        <v>173</v>
      </c>
      <c r="AC86" s="55">
        <v>424</v>
      </c>
      <c r="AD86" s="56">
        <v>170</v>
      </c>
      <c r="AE86" s="55">
        <v>392</v>
      </c>
      <c r="AF86" s="56">
        <v>175</v>
      </c>
      <c r="AG86" s="55">
        <v>450</v>
      </c>
      <c r="AH86" s="56">
        <v>180</v>
      </c>
      <c r="AI86" s="55">
        <v>386</v>
      </c>
      <c r="AJ86" s="56">
        <v>180</v>
      </c>
      <c r="AK86" s="55">
        <v>430</v>
      </c>
      <c r="AL86" s="56">
        <v>180</v>
      </c>
      <c r="AM86" s="55">
        <v>449</v>
      </c>
      <c r="AN86" s="56">
        <v>180</v>
      </c>
      <c r="AO86" s="55">
        <v>417</v>
      </c>
      <c r="AP86" s="56">
        <v>185</v>
      </c>
      <c r="AQ86" s="55">
        <v>364</v>
      </c>
      <c r="AR86" s="56">
        <v>185</v>
      </c>
      <c r="AS86" s="55">
        <v>397</v>
      </c>
      <c r="AT86" s="56">
        <v>185</v>
      </c>
      <c r="AU86" s="55">
        <v>379</v>
      </c>
      <c r="AV86" s="56">
        <v>190</v>
      </c>
      <c r="AW86" s="55">
        <v>403</v>
      </c>
      <c r="AX86" s="56">
        <v>190</v>
      </c>
      <c r="AY86" s="55">
        <v>393</v>
      </c>
      <c r="AZ86" s="56">
        <v>195</v>
      </c>
      <c r="BA86" s="55">
        <v>429</v>
      </c>
      <c r="BB86" s="56">
        <v>200</v>
      </c>
      <c r="BC86" s="55">
        <v>376</v>
      </c>
      <c r="BD86" s="56">
        <v>200</v>
      </c>
      <c r="BE86" s="55">
        <v>358</v>
      </c>
      <c r="BF86" s="56">
        <v>200</v>
      </c>
      <c r="BG86" s="55">
        <v>327</v>
      </c>
      <c r="BH86" s="56">
        <v>205</v>
      </c>
      <c r="BI86" s="55">
        <v>348</v>
      </c>
      <c r="BJ86" s="56">
        <v>205</v>
      </c>
      <c r="BK86" s="55">
        <v>317</v>
      </c>
      <c r="BL86" s="56">
        <v>215</v>
      </c>
      <c r="BM86" s="55">
        <v>336</v>
      </c>
      <c r="BN86" s="56">
        <v>215</v>
      </c>
      <c r="BO86" s="55">
        <v>321</v>
      </c>
      <c r="BP86" s="56">
        <v>230</v>
      </c>
      <c r="BQ86" s="55">
        <v>367</v>
      </c>
      <c r="BR86" s="56">
        <v>240</v>
      </c>
      <c r="BS86" s="55">
        <v>318</v>
      </c>
      <c r="BT86" s="56">
        <v>250</v>
      </c>
      <c r="BU86" s="55">
        <v>340</v>
      </c>
      <c r="BV86" s="56">
        <v>250</v>
      </c>
      <c r="BW86" s="55">
        <v>315</v>
      </c>
      <c r="BX86" s="56">
        <v>260</v>
      </c>
      <c r="BY86" s="55">
        <v>354</v>
      </c>
      <c r="BZ86" s="56">
        <v>265</v>
      </c>
      <c r="CA86" s="55">
        <v>305</v>
      </c>
      <c r="CB86" s="56">
        <v>275</v>
      </c>
      <c r="CC86" s="55">
        <v>335</v>
      </c>
      <c r="CD86" s="56">
        <v>270</v>
      </c>
      <c r="CE86" s="55">
        <v>352</v>
      </c>
      <c r="CF86" s="56">
        <v>280</v>
      </c>
      <c r="CG86" s="55">
        <v>366</v>
      </c>
      <c r="CH86" s="56">
        <v>280</v>
      </c>
      <c r="CI86" s="55">
        <v>324</v>
      </c>
      <c r="CJ86" s="56">
        <v>290</v>
      </c>
      <c r="CK86" s="55">
        <v>349</v>
      </c>
      <c r="CL86" s="56">
        <v>290</v>
      </c>
      <c r="CM86" s="55">
        <v>350</v>
      </c>
      <c r="CN86" s="56">
        <v>295</v>
      </c>
      <c r="CO86" s="55">
        <v>363</v>
      </c>
      <c r="CP86" s="56">
        <v>300</v>
      </c>
      <c r="CQ86" s="55">
        <v>370</v>
      </c>
      <c r="CR86" s="56">
        <v>300</v>
      </c>
      <c r="CS86" s="55">
        <v>361</v>
      </c>
      <c r="CT86" s="56">
        <v>310</v>
      </c>
      <c r="CU86" s="55">
        <v>380</v>
      </c>
      <c r="CV86" s="56">
        <v>310</v>
      </c>
      <c r="CW86" s="55">
        <v>468</v>
      </c>
      <c r="CX86" s="56">
        <v>320</v>
      </c>
      <c r="CY86" s="55">
        <v>404</v>
      </c>
      <c r="CZ86" s="56">
        <v>315</v>
      </c>
      <c r="DA86" s="55">
        <v>464</v>
      </c>
      <c r="DB86" s="56">
        <v>320</v>
      </c>
      <c r="DC86" s="55">
        <v>450</v>
      </c>
      <c r="DD86" s="56">
        <v>325</v>
      </c>
      <c r="DE86" s="55">
        <v>515</v>
      </c>
      <c r="DF86" s="56">
        <v>325</v>
      </c>
      <c r="DG86" s="55">
        <v>444</v>
      </c>
      <c r="DH86" s="56">
        <v>330</v>
      </c>
      <c r="DI86" s="55">
        <v>485</v>
      </c>
      <c r="DJ86" s="56">
        <v>325</v>
      </c>
      <c r="DK86" s="55">
        <v>458</v>
      </c>
      <c r="DL86" s="56">
        <v>330</v>
      </c>
      <c r="DM86" s="55">
        <v>446</v>
      </c>
      <c r="DN86" s="56">
        <v>330</v>
      </c>
      <c r="DO86" s="55">
        <v>449</v>
      </c>
      <c r="DP86" s="56">
        <v>330</v>
      </c>
      <c r="DQ86" s="55">
        <v>501</v>
      </c>
      <c r="DR86" s="56">
        <v>340</v>
      </c>
      <c r="DS86" s="55">
        <v>449</v>
      </c>
      <c r="DT86" s="56">
        <v>340</v>
      </c>
      <c r="DU86" s="55">
        <v>476</v>
      </c>
      <c r="DV86" s="56">
        <v>340</v>
      </c>
      <c r="DW86" s="55">
        <v>460</v>
      </c>
      <c r="DX86" s="56">
        <v>340</v>
      </c>
      <c r="DY86" s="55">
        <v>489</v>
      </c>
      <c r="DZ86" s="56">
        <v>350</v>
      </c>
      <c r="EA86" s="55">
        <v>489</v>
      </c>
      <c r="EB86" s="56">
        <v>345</v>
      </c>
      <c r="EC86" s="55">
        <v>503</v>
      </c>
      <c r="ED86" s="56">
        <v>350</v>
      </c>
      <c r="EE86" s="55">
        <v>444</v>
      </c>
      <c r="EF86" s="56">
        <v>360</v>
      </c>
      <c r="EG86" s="55">
        <v>508</v>
      </c>
      <c r="EH86" s="56">
        <v>360</v>
      </c>
      <c r="EI86" s="55">
        <v>443</v>
      </c>
      <c r="EJ86" s="56">
        <v>355</v>
      </c>
      <c r="EK86" s="55">
        <v>518</v>
      </c>
      <c r="EL86" s="56">
        <v>365</v>
      </c>
      <c r="EM86" s="55">
        <v>488</v>
      </c>
      <c r="EN86" s="56">
        <v>365</v>
      </c>
      <c r="EO86" s="55">
        <v>492</v>
      </c>
      <c r="EP86" s="56">
        <v>370</v>
      </c>
      <c r="EQ86" s="55">
        <v>454</v>
      </c>
      <c r="ER86" s="56">
        <v>375</v>
      </c>
      <c r="ES86" s="55">
        <v>512</v>
      </c>
      <c r="ET86" s="56">
        <v>380</v>
      </c>
      <c r="EU86" s="55">
        <v>470</v>
      </c>
      <c r="EV86" s="56">
        <v>390</v>
      </c>
      <c r="EW86" s="55">
        <v>504</v>
      </c>
      <c r="EX86" s="56">
        <v>390</v>
      </c>
      <c r="EY86" s="55">
        <v>432</v>
      </c>
      <c r="EZ86" s="56">
        <v>385</v>
      </c>
      <c r="FA86" s="55">
        <v>524</v>
      </c>
      <c r="FB86" s="56">
        <v>395</v>
      </c>
      <c r="FC86" s="55">
        <v>486</v>
      </c>
      <c r="FD86" s="56">
        <v>395</v>
      </c>
      <c r="FE86" s="55">
        <v>540</v>
      </c>
      <c r="FF86" s="56">
        <v>400</v>
      </c>
      <c r="FG86" s="55">
        <v>488</v>
      </c>
      <c r="FH86" s="56">
        <v>400</v>
      </c>
      <c r="FI86" s="55">
        <v>521</v>
      </c>
      <c r="FJ86" s="56">
        <v>395</v>
      </c>
      <c r="FK86" s="55">
        <v>485</v>
      </c>
      <c r="FL86" s="56">
        <v>390</v>
      </c>
      <c r="FM86" s="55">
        <v>536</v>
      </c>
      <c r="FN86" s="56">
        <v>403</v>
      </c>
      <c r="FO86" s="55">
        <v>413</v>
      </c>
      <c r="FP86" s="56">
        <v>400</v>
      </c>
      <c r="FQ86" s="55">
        <v>378</v>
      </c>
      <c r="FR86" s="56">
        <v>395</v>
      </c>
      <c r="FS86" s="55">
        <v>475</v>
      </c>
      <c r="FT86" s="56">
        <v>400</v>
      </c>
      <c r="FU86" s="55">
        <v>592</v>
      </c>
      <c r="FV86" s="56">
        <v>390</v>
      </c>
      <c r="FW86" s="55">
        <v>476</v>
      </c>
      <c r="FX86" s="56">
        <v>395</v>
      </c>
      <c r="FY86" s="55">
        <v>430</v>
      </c>
      <c r="FZ86" s="56">
        <v>400</v>
      </c>
      <c r="GA86" s="55">
        <v>525</v>
      </c>
      <c r="GB86" s="56">
        <v>395</v>
      </c>
      <c r="GC86" s="55">
        <v>586</v>
      </c>
      <c r="GD86" s="56">
        <v>400</v>
      </c>
      <c r="GE86" s="55">
        <v>444</v>
      </c>
      <c r="GF86" s="56">
        <v>418</v>
      </c>
      <c r="GG86" s="55">
        <v>451</v>
      </c>
      <c r="GH86" s="56">
        <v>420</v>
      </c>
      <c r="GI86" s="55">
        <v>503</v>
      </c>
      <c r="GJ86" s="56">
        <v>440</v>
      </c>
      <c r="GK86" s="55">
        <v>498</v>
      </c>
      <c r="GL86" s="56">
        <v>440</v>
      </c>
      <c r="GM86" s="55">
        <v>426</v>
      </c>
      <c r="GN86" s="56">
        <v>470</v>
      </c>
      <c r="GO86" s="55">
        <v>385</v>
      </c>
      <c r="GP86" s="56">
        <v>480</v>
      </c>
      <c r="GQ86" s="55">
        <v>346</v>
      </c>
      <c r="GR86" s="56">
        <v>500</v>
      </c>
      <c r="GS86" s="55">
        <v>376</v>
      </c>
      <c r="GT86" s="56">
        <v>504</v>
      </c>
      <c r="GU86" s="55">
        <v>368</v>
      </c>
      <c r="GV86" s="56">
        <v>520</v>
      </c>
      <c r="GW86" s="55">
        <v>399</v>
      </c>
      <c r="GX86" s="56">
        <v>520</v>
      </c>
      <c r="GY86" s="55">
        <v>387</v>
      </c>
      <c r="GZ86" s="56">
        <v>530</v>
      </c>
      <c r="HA86">
        <v>396</v>
      </c>
      <c r="HB86" s="56">
        <v>550</v>
      </c>
      <c r="HC86">
        <v>378</v>
      </c>
      <c r="HD86" s="56">
        <v>550</v>
      </c>
      <c r="HE86">
        <v>340</v>
      </c>
      <c r="HF86" s="56">
        <v>550</v>
      </c>
    </row>
    <row r="87" spans="1:214" x14ac:dyDescent="0.25">
      <c r="A87" s="53"/>
      <c r="B87" s="54" t="s">
        <v>824</v>
      </c>
      <c r="C87" s="55">
        <v>199</v>
      </c>
      <c r="D87" s="56">
        <v>120</v>
      </c>
      <c r="E87" s="55">
        <v>165</v>
      </c>
      <c r="F87" s="56">
        <v>125</v>
      </c>
      <c r="G87" s="55">
        <v>171</v>
      </c>
      <c r="H87" s="56">
        <v>130</v>
      </c>
      <c r="I87" s="55">
        <v>192</v>
      </c>
      <c r="J87" s="56">
        <v>125</v>
      </c>
      <c r="K87" s="55">
        <v>157</v>
      </c>
      <c r="L87" s="56">
        <v>130</v>
      </c>
      <c r="M87" s="55">
        <v>190</v>
      </c>
      <c r="N87" s="56">
        <v>128</v>
      </c>
      <c r="O87" s="55">
        <v>148</v>
      </c>
      <c r="P87" s="56">
        <v>135</v>
      </c>
      <c r="Q87" s="55">
        <v>166</v>
      </c>
      <c r="R87" s="56">
        <v>135</v>
      </c>
      <c r="S87" s="55">
        <v>173</v>
      </c>
      <c r="T87" s="56">
        <v>135</v>
      </c>
      <c r="U87" s="55">
        <v>154</v>
      </c>
      <c r="V87" s="56">
        <v>130</v>
      </c>
      <c r="W87" s="55">
        <v>162</v>
      </c>
      <c r="X87" s="56">
        <v>140</v>
      </c>
      <c r="Y87" s="55">
        <v>154</v>
      </c>
      <c r="Z87" s="56">
        <v>145</v>
      </c>
      <c r="AA87" s="55">
        <v>140</v>
      </c>
      <c r="AB87" s="56">
        <v>145</v>
      </c>
      <c r="AC87" s="55">
        <v>168</v>
      </c>
      <c r="AD87" s="56">
        <v>145</v>
      </c>
      <c r="AE87" s="55">
        <v>158</v>
      </c>
      <c r="AF87" s="56">
        <v>150</v>
      </c>
      <c r="AG87" s="55">
        <v>149</v>
      </c>
      <c r="AH87" s="56">
        <v>150</v>
      </c>
      <c r="AI87" s="55">
        <v>144</v>
      </c>
      <c r="AJ87" s="56">
        <v>150</v>
      </c>
      <c r="AK87" s="55">
        <v>152</v>
      </c>
      <c r="AL87" s="56">
        <v>155</v>
      </c>
      <c r="AM87" s="55">
        <v>160</v>
      </c>
      <c r="AN87" s="56">
        <v>160</v>
      </c>
      <c r="AO87" s="55">
        <v>154</v>
      </c>
      <c r="AP87" s="56">
        <v>155</v>
      </c>
      <c r="AQ87" s="55">
        <v>138</v>
      </c>
      <c r="AR87" s="56">
        <v>155</v>
      </c>
      <c r="AS87" s="55">
        <v>165</v>
      </c>
      <c r="AT87" s="56">
        <v>160</v>
      </c>
      <c r="AU87" s="55">
        <v>155</v>
      </c>
      <c r="AV87" s="56">
        <v>155</v>
      </c>
      <c r="AW87" s="55">
        <v>147</v>
      </c>
      <c r="AX87" s="56">
        <v>160</v>
      </c>
      <c r="AY87" s="55">
        <v>134</v>
      </c>
      <c r="AZ87" s="56">
        <v>160</v>
      </c>
      <c r="BA87" s="55">
        <v>157</v>
      </c>
      <c r="BB87" s="56">
        <v>170</v>
      </c>
      <c r="BC87" s="55">
        <v>154</v>
      </c>
      <c r="BD87" s="56">
        <v>160</v>
      </c>
      <c r="BE87" s="55">
        <v>123</v>
      </c>
      <c r="BF87" s="56">
        <v>165</v>
      </c>
      <c r="BG87" s="55">
        <v>137</v>
      </c>
      <c r="BH87" s="56">
        <v>170</v>
      </c>
      <c r="BI87" s="55">
        <v>146</v>
      </c>
      <c r="BJ87" s="56">
        <v>178</v>
      </c>
      <c r="BK87" s="55">
        <v>145</v>
      </c>
      <c r="BL87" s="56">
        <v>175</v>
      </c>
      <c r="BM87" s="55">
        <v>168</v>
      </c>
      <c r="BN87" s="56">
        <v>180</v>
      </c>
      <c r="BO87" s="55">
        <v>130</v>
      </c>
      <c r="BP87" s="56">
        <v>178</v>
      </c>
      <c r="BQ87" s="55">
        <v>154</v>
      </c>
      <c r="BR87" s="56">
        <v>185</v>
      </c>
      <c r="BS87" s="55">
        <v>128</v>
      </c>
      <c r="BT87" s="56">
        <v>190</v>
      </c>
      <c r="BU87" s="55">
        <v>124</v>
      </c>
      <c r="BV87" s="56">
        <v>210</v>
      </c>
      <c r="BW87" s="55">
        <v>143</v>
      </c>
      <c r="BX87" s="56">
        <v>220</v>
      </c>
      <c r="BY87" s="55">
        <v>157</v>
      </c>
      <c r="BZ87" s="56">
        <v>210</v>
      </c>
      <c r="CA87" s="55">
        <v>140</v>
      </c>
      <c r="CB87" s="56">
        <v>230</v>
      </c>
      <c r="CC87" s="55">
        <v>130</v>
      </c>
      <c r="CD87" s="56">
        <v>230</v>
      </c>
      <c r="CE87" s="55">
        <v>152</v>
      </c>
      <c r="CF87" s="56">
        <v>240</v>
      </c>
      <c r="CG87" s="55">
        <v>174</v>
      </c>
      <c r="CH87" s="56">
        <v>240</v>
      </c>
      <c r="CI87" s="55">
        <v>139</v>
      </c>
      <c r="CJ87" s="56">
        <v>240</v>
      </c>
      <c r="CK87" s="55">
        <v>148</v>
      </c>
      <c r="CL87" s="56">
        <v>250</v>
      </c>
      <c r="CM87" s="55">
        <v>145</v>
      </c>
      <c r="CN87" s="56">
        <v>245</v>
      </c>
      <c r="CO87" s="55">
        <v>159</v>
      </c>
      <c r="CP87" s="56">
        <v>250</v>
      </c>
      <c r="CQ87" s="55">
        <v>148</v>
      </c>
      <c r="CR87" s="56">
        <v>260</v>
      </c>
      <c r="CS87" s="55">
        <v>126</v>
      </c>
      <c r="CT87" s="56">
        <v>270</v>
      </c>
      <c r="CU87" s="55">
        <v>158</v>
      </c>
      <c r="CV87" s="56">
        <v>270</v>
      </c>
      <c r="CW87" s="55">
        <v>163</v>
      </c>
      <c r="CX87" s="56">
        <v>270</v>
      </c>
      <c r="CY87" s="55">
        <v>163</v>
      </c>
      <c r="CZ87" s="56">
        <v>265</v>
      </c>
      <c r="DA87" s="55">
        <v>157</v>
      </c>
      <c r="DB87" s="56">
        <v>280</v>
      </c>
      <c r="DC87" s="55">
        <v>164</v>
      </c>
      <c r="DD87" s="56">
        <v>280</v>
      </c>
      <c r="DE87" s="55">
        <v>173</v>
      </c>
      <c r="DF87" s="56">
        <v>270</v>
      </c>
      <c r="DG87" s="55">
        <v>185</v>
      </c>
      <c r="DH87" s="56">
        <v>270</v>
      </c>
      <c r="DI87" s="55">
        <v>182</v>
      </c>
      <c r="DJ87" s="56">
        <v>275</v>
      </c>
      <c r="DK87" s="55">
        <v>186</v>
      </c>
      <c r="DL87" s="56">
        <v>268</v>
      </c>
      <c r="DM87" s="55">
        <v>173</v>
      </c>
      <c r="DN87" s="56">
        <v>270</v>
      </c>
      <c r="DO87" s="55">
        <v>192</v>
      </c>
      <c r="DP87" s="56">
        <v>275</v>
      </c>
      <c r="DQ87" s="55">
        <v>148</v>
      </c>
      <c r="DR87" s="56">
        <v>290</v>
      </c>
      <c r="DS87" s="55">
        <v>159</v>
      </c>
      <c r="DT87" s="56">
        <v>290</v>
      </c>
      <c r="DU87" s="55">
        <v>167</v>
      </c>
      <c r="DV87" s="56">
        <v>280</v>
      </c>
      <c r="DW87" s="55">
        <v>172</v>
      </c>
      <c r="DX87" s="56">
        <v>280</v>
      </c>
      <c r="DY87" s="55">
        <v>151</v>
      </c>
      <c r="DZ87" s="56">
        <v>285</v>
      </c>
      <c r="EA87" s="55">
        <v>159</v>
      </c>
      <c r="EB87" s="56">
        <v>290</v>
      </c>
      <c r="EC87" s="55">
        <v>163</v>
      </c>
      <c r="ED87" s="56">
        <v>290</v>
      </c>
      <c r="EE87" s="55">
        <v>152</v>
      </c>
      <c r="EF87" s="56">
        <v>285</v>
      </c>
      <c r="EG87" s="55">
        <v>143</v>
      </c>
      <c r="EH87" s="56">
        <v>300</v>
      </c>
      <c r="EI87" s="55">
        <v>167</v>
      </c>
      <c r="EJ87" s="56">
        <v>310</v>
      </c>
      <c r="EK87" s="55">
        <v>179</v>
      </c>
      <c r="EL87" s="56">
        <v>320</v>
      </c>
      <c r="EM87" s="55">
        <v>176</v>
      </c>
      <c r="EN87" s="56">
        <v>300</v>
      </c>
      <c r="EO87" s="55">
        <v>156</v>
      </c>
      <c r="EP87" s="56">
        <v>318</v>
      </c>
      <c r="EQ87" s="55">
        <v>168</v>
      </c>
      <c r="ER87" s="56">
        <v>320</v>
      </c>
      <c r="ES87" s="55">
        <v>163</v>
      </c>
      <c r="ET87" s="56">
        <v>325</v>
      </c>
      <c r="EU87" s="55">
        <v>151</v>
      </c>
      <c r="EV87" s="56">
        <v>330</v>
      </c>
      <c r="EW87" s="55">
        <v>134</v>
      </c>
      <c r="EX87" s="56">
        <v>340</v>
      </c>
      <c r="EY87" s="55">
        <v>153</v>
      </c>
      <c r="EZ87" s="56">
        <v>330</v>
      </c>
      <c r="FA87" s="55">
        <v>182</v>
      </c>
      <c r="FB87" s="56">
        <v>330</v>
      </c>
      <c r="FC87" s="55">
        <v>145</v>
      </c>
      <c r="FD87" s="56">
        <v>350</v>
      </c>
      <c r="FE87" s="55">
        <v>138</v>
      </c>
      <c r="FF87" s="56">
        <v>350</v>
      </c>
      <c r="FG87" s="55">
        <v>145</v>
      </c>
      <c r="FH87" s="56">
        <v>340</v>
      </c>
      <c r="FI87" s="55">
        <v>168</v>
      </c>
      <c r="FJ87" s="56">
        <v>350</v>
      </c>
      <c r="FK87" s="55">
        <v>157</v>
      </c>
      <c r="FL87" s="56">
        <v>360</v>
      </c>
      <c r="FM87" s="55">
        <v>137</v>
      </c>
      <c r="FN87" s="56">
        <v>345</v>
      </c>
      <c r="FO87" s="55">
        <v>140</v>
      </c>
      <c r="FP87" s="56">
        <v>350</v>
      </c>
      <c r="FQ87" s="55">
        <v>104</v>
      </c>
      <c r="FR87" s="56">
        <v>350</v>
      </c>
      <c r="FS87" s="55">
        <v>107</v>
      </c>
      <c r="FT87" s="56">
        <v>360</v>
      </c>
      <c r="FU87" s="55">
        <v>114</v>
      </c>
      <c r="FV87" s="56">
        <v>365</v>
      </c>
      <c r="FW87" s="55">
        <v>112</v>
      </c>
      <c r="FX87" s="56">
        <v>400</v>
      </c>
      <c r="FY87" s="55">
        <v>126</v>
      </c>
      <c r="FZ87" s="56">
        <v>395</v>
      </c>
      <c r="GA87" s="55">
        <v>84</v>
      </c>
      <c r="GB87" s="56">
        <v>400</v>
      </c>
      <c r="GC87" s="55">
        <v>114</v>
      </c>
      <c r="GD87" s="56">
        <v>430</v>
      </c>
      <c r="GE87" s="55">
        <v>140</v>
      </c>
      <c r="GF87" s="56">
        <v>420</v>
      </c>
      <c r="GG87" s="55">
        <v>114</v>
      </c>
      <c r="GH87" s="56">
        <v>420</v>
      </c>
      <c r="GI87" s="55">
        <v>134</v>
      </c>
      <c r="GJ87" s="56">
        <v>443</v>
      </c>
      <c r="GK87" s="55">
        <v>107</v>
      </c>
      <c r="GL87" s="56">
        <v>450</v>
      </c>
      <c r="GM87" s="55">
        <v>155</v>
      </c>
      <c r="GN87" s="56">
        <v>440</v>
      </c>
      <c r="GO87" s="55">
        <v>142</v>
      </c>
      <c r="GP87" s="56">
        <v>450</v>
      </c>
      <c r="GQ87" s="55">
        <v>118</v>
      </c>
      <c r="GR87" s="56">
        <v>463</v>
      </c>
      <c r="GS87" s="55">
        <v>111</v>
      </c>
      <c r="GT87" s="56">
        <v>470</v>
      </c>
      <c r="GU87" s="55">
        <v>130</v>
      </c>
      <c r="GV87" s="56">
        <v>478</v>
      </c>
      <c r="GW87" s="55">
        <v>118</v>
      </c>
      <c r="GX87" s="56">
        <v>500</v>
      </c>
      <c r="GY87" s="55">
        <v>103</v>
      </c>
      <c r="GZ87" s="56">
        <v>490</v>
      </c>
      <c r="HA87">
        <v>110</v>
      </c>
      <c r="HB87" s="56">
        <v>500</v>
      </c>
      <c r="HC87">
        <v>108</v>
      </c>
      <c r="HD87" s="56">
        <v>500</v>
      </c>
      <c r="HE87">
        <v>103</v>
      </c>
      <c r="HF87" s="56">
        <v>515</v>
      </c>
    </row>
    <row r="88" spans="1:214" x14ac:dyDescent="0.25">
      <c r="A88" s="53"/>
      <c r="B88" s="54" t="s">
        <v>825</v>
      </c>
      <c r="C88" s="55">
        <v>796</v>
      </c>
      <c r="D88" s="56">
        <v>220</v>
      </c>
      <c r="E88" s="55">
        <v>836</v>
      </c>
      <c r="F88" s="56">
        <v>225</v>
      </c>
      <c r="G88" s="55">
        <v>835</v>
      </c>
      <c r="H88" s="56">
        <v>230</v>
      </c>
      <c r="I88" s="55">
        <v>998</v>
      </c>
      <c r="J88" s="56">
        <v>230</v>
      </c>
      <c r="K88" s="55">
        <v>807</v>
      </c>
      <c r="L88" s="56">
        <v>240</v>
      </c>
      <c r="M88" s="55">
        <v>899</v>
      </c>
      <c r="N88" s="56">
        <v>235</v>
      </c>
      <c r="O88" s="55">
        <v>897</v>
      </c>
      <c r="P88" s="56">
        <v>250</v>
      </c>
      <c r="Q88" s="55">
        <v>1039</v>
      </c>
      <c r="R88" s="56">
        <v>250</v>
      </c>
      <c r="S88" s="55">
        <v>832</v>
      </c>
      <c r="T88" s="56">
        <v>252</v>
      </c>
      <c r="U88" s="55">
        <v>947</v>
      </c>
      <c r="V88" s="56">
        <v>250</v>
      </c>
      <c r="W88" s="55">
        <v>881</v>
      </c>
      <c r="X88" s="56">
        <v>255</v>
      </c>
      <c r="Y88" s="55">
        <v>1063</v>
      </c>
      <c r="Z88" s="56">
        <v>255</v>
      </c>
      <c r="AA88" s="55">
        <v>904</v>
      </c>
      <c r="AB88" s="56">
        <v>260</v>
      </c>
      <c r="AC88" s="55">
        <v>974</v>
      </c>
      <c r="AD88" s="56">
        <v>268</v>
      </c>
      <c r="AE88" s="55">
        <v>920</v>
      </c>
      <c r="AF88" s="56">
        <v>270</v>
      </c>
      <c r="AG88" s="55">
        <v>1125</v>
      </c>
      <c r="AH88" s="56">
        <v>260</v>
      </c>
      <c r="AI88" s="55">
        <v>869</v>
      </c>
      <c r="AJ88" s="56">
        <v>275</v>
      </c>
      <c r="AK88" s="55">
        <v>962</v>
      </c>
      <c r="AL88" s="56">
        <v>273</v>
      </c>
      <c r="AM88" s="55">
        <v>898</v>
      </c>
      <c r="AN88" s="56">
        <v>280</v>
      </c>
      <c r="AO88" s="55">
        <v>1155</v>
      </c>
      <c r="AP88" s="56">
        <v>275</v>
      </c>
      <c r="AQ88" s="55">
        <v>823</v>
      </c>
      <c r="AR88" s="56">
        <v>285</v>
      </c>
      <c r="AS88" s="55">
        <v>1057</v>
      </c>
      <c r="AT88" s="56">
        <v>280</v>
      </c>
      <c r="AU88" s="55">
        <v>1007</v>
      </c>
      <c r="AV88" s="56">
        <v>299</v>
      </c>
      <c r="AW88" s="55">
        <v>1054</v>
      </c>
      <c r="AX88" s="56">
        <v>285</v>
      </c>
      <c r="AY88" s="55">
        <v>897</v>
      </c>
      <c r="AZ88" s="56">
        <v>291</v>
      </c>
      <c r="BA88" s="55">
        <v>1022</v>
      </c>
      <c r="BB88" s="56">
        <v>290</v>
      </c>
      <c r="BC88" s="55">
        <v>860</v>
      </c>
      <c r="BD88" s="56">
        <v>295</v>
      </c>
      <c r="BE88" s="55">
        <v>933</v>
      </c>
      <c r="BF88" s="56">
        <v>295</v>
      </c>
      <c r="BG88" s="55">
        <v>699</v>
      </c>
      <c r="BH88" s="56">
        <v>320</v>
      </c>
      <c r="BI88" s="55">
        <v>981</v>
      </c>
      <c r="BJ88" s="56">
        <v>320</v>
      </c>
      <c r="BK88" s="55">
        <v>774</v>
      </c>
      <c r="BL88" s="56">
        <v>330</v>
      </c>
      <c r="BM88" s="55">
        <v>944</v>
      </c>
      <c r="BN88" s="56">
        <v>345</v>
      </c>
      <c r="BO88" s="55">
        <v>780</v>
      </c>
      <c r="BP88" s="56">
        <v>350</v>
      </c>
      <c r="BQ88" s="55">
        <v>792</v>
      </c>
      <c r="BR88" s="56">
        <v>350</v>
      </c>
      <c r="BS88" s="55">
        <v>763</v>
      </c>
      <c r="BT88" s="56">
        <v>365</v>
      </c>
      <c r="BU88" s="55">
        <v>946</v>
      </c>
      <c r="BV88" s="56">
        <v>370</v>
      </c>
      <c r="BW88" s="55">
        <v>730</v>
      </c>
      <c r="BX88" s="56">
        <v>380</v>
      </c>
      <c r="BY88" s="55">
        <v>936</v>
      </c>
      <c r="BZ88" s="56">
        <v>383</v>
      </c>
      <c r="CA88" s="55">
        <v>774</v>
      </c>
      <c r="CB88" s="56">
        <v>390</v>
      </c>
      <c r="CC88" s="55">
        <v>794</v>
      </c>
      <c r="CD88" s="56">
        <v>390</v>
      </c>
      <c r="CE88" s="55">
        <v>667</v>
      </c>
      <c r="CF88" s="56">
        <v>400</v>
      </c>
      <c r="CG88" s="55">
        <v>775</v>
      </c>
      <c r="CH88" s="56">
        <v>400</v>
      </c>
      <c r="CI88" s="55">
        <v>664</v>
      </c>
      <c r="CJ88" s="56">
        <v>396</v>
      </c>
      <c r="CK88" s="55">
        <v>802</v>
      </c>
      <c r="CL88" s="56">
        <v>400</v>
      </c>
      <c r="CM88" s="55">
        <v>784</v>
      </c>
      <c r="CN88" s="56">
        <v>421</v>
      </c>
      <c r="CO88" s="55">
        <v>852</v>
      </c>
      <c r="CP88" s="56">
        <v>415</v>
      </c>
      <c r="CQ88" s="55">
        <v>733</v>
      </c>
      <c r="CR88" s="56">
        <v>415</v>
      </c>
      <c r="CS88" s="55">
        <v>782</v>
      </c>
      <c r="CT88" s="56">
        <v>445</v>
      </c>
      <c r="CU88" s="55">
        <v>707</v>
      </c>
      <c r="CV88" s="56">
        <v>430</v>
      </c>
      <c r="CW88" s="55">
        <v>884</v>
      </c>
      <c r="CX88" s="56">
        <v>430</v>
      </c>
      <c r="CY88" s="55">
        <v>733</v>
      </c>
      <c r="CZ88" s="56">
        <v>425</v>
      </c>
      <c r="DA88" s="55">
        <v>895</v>
      </c>
      <c r="DB88" s="56">
        <v>450</v>
      </c>
      <c r="DC88" s="55">
        <v>757</v>
      </c>
      <c r="DD88" s="56">
        <v>450</v>
      </c>
      <c r="DE88" s="55">
        <v>940</v>
      </c>
      <c r="DF88" s="56">
        <v>448</v>
      </c>
      <c r="DG88" s="55">
        <v>868</v>
      </c>
      <c r="DH88" s="56">
        <v>450</v>
      </c>
      <c r="DI88" s="55">
        <v>1016</v>
      </c>
      <c r="DJ88" s="56">
        <v>450</v>
      </c>
      <c r="DK88" s="55">
        <v>869</v>
      </c>
      <c r="DL88" s="56">
        <v>450</v>
      </c>
      <c r="DM88" s="55">
        <v>1076</v>
      </c>
      <c r="DN88" s="56">
        <v>450</v>
      </c>
      <c r="DO88" s="55">
        <v>984</v>
      </c>
      <c r="DP88" s="56">
        <v>450</v>
      </c>
      <c r="DQ88" s="55">
        <v>1063</v>
      </c>
      <c r="DR88" s="56">
        <v>450</v>
      </c>
      <c r="DS88" s="55">
        <v>861</v>
      </c>
      <c r="DT88" s="56">
        <v>450</v>
      </c>
      <c r="DU88" s="55">
        <v>997</v>
      </c>
      <c r="DV88" s="56">
        <v>450</v>
      </c>
      <c r="DW88" s="55">
        <v>1036</v>
      </c>
      <c r="DX88" s="56">
        <v>450</v>
      </c>
      <c r="DY88" s="55">
        <v>940</v>
      </c>
      <c r="DZ88" s="56">
        <v>470</v>
      </c>
      <c r="EA88" s="55">
        <v>1003</v>
      </c>
      <c r="EB88" s="56">
        <v>450</v>
      </c>
      <c r="EC88" s="55">
        <v>963</v>
      </c>
      <c r="ED88" s="56">
        <v>465</v>
      </c>
      <c r="EE88" s="55">
        <v>833</v>
      </c>
      <c r="EF88" s="56">
        <v>465</v>
      </c>
      <c r="EG88" s="55">
        <v>1068</v>
      </c>
      <c r="EH88" s="56">
        <v>480</v>
      </c>
      <c r="EI88" s="55">
        <v>891</v>
      </c>
      <c r="EJ88" s="56">
        <v>480</v>
      </c>
      <c r="EK88" s="55">
        <v>996</v>
      </c>
      <c r="EL88" s="56">
        <v>470</v>
      </c>
      <c r="EM88" s="55">
        <v>846</v>
      </c>
      <c r="EN88" s="56">
        <v>480</v>
      </c>
      <c r="EO88" s="55">
        <v>1044</v>
      </c>
      <c r="EP88" s="56">
        <v>490</v>
      </c>
      <c r="EQ88" s="55">
        <v>837</v>
      </c>
      <c r="ER88" s="56">
        <v>490</v>
      </c>
      <c r="ES88" s="55">
        <v>904</v>
      </c>
      <c r="ET88" s="56">
        <v>480</v>
      </c>
      <c r="EU88" s="55">
        <v>869</v>
      </c>
      <c r="EV88" s="56">
        <v>500</v>
      </c>
      <c r="EW88" s="55">
        <v>951</v>
      </c>
      <c r="EX88" s="56">
        <v>500</v>
      </c>
      <c r="EY88" s="55">
        <v>808</v>
      </c>
      <c r="EZ88" s="56">
        <v>500</v>
      </c>
      <c r="FA88" s="55">
        <v>958</v>
      </c>
      <c r="FB88" s="56">
        <v>500</v>
      </c>
      <c r="FC88" s="55">
        <v>763</v>
      </c>
      <c r="FD88" s="56">
        <v>510</v>
      </c>
      <c r="FE88" s="55">
        <v>882</v>
      </c>
      <c r="FF88" s="56">
        <v>510</v>
      </c>
      <c r="FG88" s="55">
        <v>851</v>
      </c>
      <c r="FH88" s="56">
        <v>510</v>
      </c>
      <c r="FI88" s="55">
        <v>874</v>
      </c>
      <c r="FJ88" s="56">
        <v>500</v>
      </c>
      <c r="FK88" s="55">
        <v>779</v>
      </c>
      <c r="FL88" s="56">
        <v>515</v>
      </c>
      <c r="FM88" s="55">
        <v>900</v>
      </c>
      <c r="FN88" s="56">
        <v>525</v>
      </c>
      <c r="FO88" s="55">
        <v>820</v>
      </c>
      <c r="FP88" s="56">
        <v>490</v>
      </c>
      <c r="FQ88" s="55">
        <v>849</v>
      </c>
      <c r="FR88" s="56">
        <v>460</v>
      </c>
      <c r="FS88" s="55">
        <v>1036</v>
      </c>
      <c r="FT88" s="56">
        <v>450</v>
      </c>
      <c r="FU88" s="55">
        <v>1149</v>
      </c>
      <c r="FV88" s="56">
        <v>450</v>
      </c>
      <c r="FW88" s="55">
        <v>970</v>
      </c>
      <c r="FX88" s="56">
        <v>450</v>
      </c>
      <c r="FY88" s="55">
        <v>840</v>
      </c>
      <c r="FZ88" s="56">
        <v>450</v>
      </c>
      <c r="GA88" s="55">
        <v>966</v>
      </c>
      <c r="GB88" s="56">
        <v>450</v>
      </c>
      <c r="GC88" s="55">
        <v>1044</v>
      </c>
      <c r="GD88" s="56">
        <v>465</v>
      </c>
      <c r="GE88" s="55">
        <v>913</v>
      </c>
      <c r="GF88" s="56">
        <v>480</v>
      </c>
      <c r="GG88" s="55">
        <v>1027</v>
      </c>
      <c r="GH88" s="56">
        <v>500</v>
      </c>
      <c r="GI88" s="55">
        <v>723</v>
      </c>
      <c r="GJ88" s="56">
        <v>525</v>
      </c>
      <c r="GK88" s="55">
        <v>753</v>
      </c>
      <c r="GL88" s="56">
        <v>560</v>
      </c>
      <c r="GM88" s="55">
        <v>722</v>
      </c>
      <c r="GN88" s="56">
        <v>575</v>
      </c>
      <c r="GO88" s="55">
        <v>742</v>
      </c>
      <c r="GP88" s="56">
        <v>600</v>
      </c>
      <c r="GQ88" s="55">
        <v>686</v>
      </c>
      <c r="GR88" s="56">
        <v>600</v>
      </c>
      <c r="GS88" s="55">
        <v>721</v>
      </c>
      <c r="GT88" s="56">
        <v>645</v>
      </c>
      <c r="GU88" s="55">
        <v>685</v>
      </c>
      <c r="GV88" s="56">
        <v>630</v>
      </c>
      <c r="GW88" s="55">
        <v>816</v>
      </c>
      <c r="GX88" s="56">
        <v>627</v>
      </c>
      <c r="GY88" s="55">
        <v>704</v>
      </c>
      <c r="GZ88" s="56">
        <v>640</v>
      </c>
      <c r="HA88">
        <v>818</v>
      </c>
      <c r="HB88" s="56">
        <v>650</v>
      </c>
      <c r="HC88">
        <v>640</v>
      </c>
      <c r="HD88" s="56">
        <v>650</v>
      </c>
      <c r="HE88">
        <v>742</v>
      </c>
      <c r="HF88" s="56">
        <v>650</v>
      </c>
    </row>
    <row r="89" spans="1:214" x14ac:dyDescent="0.25">
      <c r="A89" s="53"/>
      <c r="B89" s="54" t="s">
        <v>826</v>
      </c>
      <c r="C89" s="55">
        <v>540</v>
      </c>
      <c r="D89" s="56">
        <v>210</v>
      </c>
      <c r="E89" s="55">
        <v>562</v>
      </c>
      <c r="F89" s="56">
        <v>210</v>
      </c>
      <c r="G89" s="55">
        <v>561</v>
      </c>
      <c r="H89" s="56">
        <v>220</v>
      </c>
      <c r="I89" s="55">
        <v>822</v>
      </c>
      <c r="J89" s="56">
        <v>220</v>
      </c>
      <c r="K89" s="55">
        <v>543</v>
      </c>
      <c r="L89" s="56">
        <v>235</v>
      </c>
      <c r="M89" s="55">
        <v>654</v>
      </c>
      <c r="N89" s="56">
        <v>230</v>
      </c>
      <c r="O89" s="55">
        <v>569</v>
      </c>
      <c r="P89" s="56">
        <v>230</v>
      </c>
      <c r="Q89" s="55">
        <v>807</v>
      </c>
      <c r="R89" s="56">
        <v>240</v>
      </c>
      <c r="S89" s="55">
        <v>599</v>
      </c>
      <c r="T89" s="56">
        <v>250</v>
      </c>
      <c r="U89" s="55">
        <v>597</v>
      </c>
      <c r="V89" s="56">
        <v>240</v>
      </c>
      <c r="W89" s="55">
        <v>616</v>
      </c>
      <c r="X89" s="56">
        <v>240</v>
      </c>
      <c r="Y89" s="55">
        <v>871</v>
      </c>
      <c r="Z89" s="56">
        <v>250</v>
      </c>
      <c r="AA89" s="55">
        <v>560</v>
      </c>
      <c r="AB89" s="56">
        <v>255</v>
      </c>
      <c r="AC89" s="55">
        <v>687</v>
      </c>
      <c r="AD89" s="56">
        <v>250</v>
      </c>
      <c r="AE89" s="55">
        <v>548</v>
      </c>
      <c r="AF89" s="56">
        <v>250</v>
      </c>
      <c r="AG89" s="55">
        <v>899</v>
      </c>
      <c r="AH89" s="56">
        <v>250</v>
      </c>
      <c r="AI89" s="55">
        <v>558</v>
      </c>
      <c r="AJ89" s="56">
        <v>256</v>
      </c>
      <c r="AK89" s="55">
        <v>681</v>
      </c>
      <c r="AL89" s="56">
        <v>250</v>
      </c>
      <c r="AM89" s="55">
        <v>586</v>
      </c>
      <c r="AN89" s="56">
        <v>260</v>
      </c>
      <c r="AO89" s="55">
        <v>853</v>
      </c>
      <c r="AP89" s="56">
        <v>255</v>
      </c>
      <c r="AQ89" s="55">
        <v>473</v>
      </c>
      <c r="AR89" s="56">
        <v>255</v>
      </c>
      <c r="AS89" s="55">
        <v>657</v>
      </c>
      <c r="AT89" s="56">
        <v>250</v>
      </c>
      <c r="AU89" s="55">
        <v>575</v>
      </c>
      <c r="AV89" s="56">
        <v>260</v>
      </c>
      <c r="AW89" s="55">
        <v>794</v>
      </c>
      <c r="AX89" s="56">
        <v>260</v>
      </c>
      <c r="AY89" s="55">
        <v>544</v>
      </c>
      <c r="AZ89" s="56">
        <v>265</v>
      </c>
      <c r="BA89" s="55">
        <v>630</v>
      </c>
      <c r="BB89" s="56">
        <v>260</v>
      </c>
      <c r="BC89" s="55">
        <v>522</v>
      </c>
      <c r="BD89" s="56">
        <v>270</v>
      </c>
      <c r="BE89" s="55">
        <v>720</v>
      </c>
      <c r="BF89" s="56">
        <v>270</v>
      </c>
      <c r="BG89" s="55">
        <v>380</v>
      </c>
      <c r="BH89" s="56">
        <v>290</v>
      </c>
      <c r="BI89" s="55">
        <v>563</v>
      </c>
      <c r="BJ89" s="56">
        <v>281</v>
      </c>
      <c r="BK89" s="55">
        <v>509</v>
      </c>
      <c r="BL89" s="56">
        <v>295</v>
      </c>
      <c r="BM89" s="55">
        <v>634</v>
      </c>
      <c r="BN89" s="56">
        <v>300</v>
      </c>
      <c r="BO89" s="55">
        <v>501</v>
      </c>
      <c r="BP89" s="56">
        <v>320</v>
      </c>
      <c r="BQ89" s="55">
        <v>527</v>
      </c>
      <c r="BR89" s="56">
        <v>320</v>
      </c>
      <c r="BS89" s="55">
        <v>543</v>
      </c>
      <c r="BT89" s="56">
        <v>330</v>
      </c>
      <c r="BU89" s="55">
        <v>717</v>
      </c>
      <c r="BV89" s="56">
        <v>350</v>
      </c>
      <c r="BW89" s="55">
        <v>549</v>
      </c>
      <c r="BX89" s="56">
        <v>370</v>
      </c>
      <c r="BY89" s="55">
        <v>530</v>
      </c>
      <c r="BZ89" s="56">
        <v>370</v>
      </c>
      <c r="CA89" s="55">
        <v>551</v>
      </c>
      <c r="CB89" s="56">
        <v>365</v>
      </c>
      <c r="CC89" s="55">
        <v>603</v>
      </c>
      <c r="CD89" s="56">
        <v>380</v>
      </c>
      <c r="CE89" s="55">
        <v>453</v>
      </c>
      <c r="CF89" s="56">
        <v>385</v>
      </c>
      <c r="CG89" s="55">
        <v>597</v>
      </c>
      <c r="CH89" s="56">
        <v>390</v>
      </c>
      <c r="CI89" s="55">
        <v>556</v>
      </c>
      <c r="CJ89" s="56">
        <v>385</v>
      </c>
      <c r="CK89" s="55">
        <v>674</v>
      </c>
      <c r="CL89" s="56">
        <v>395</v>
      </c>
      <c r="CM89" s="55">
        <v>572</v>
      </c>
      <c r="CN89" s="56">
        <v>400</v>
      </c>
      <c r="CO89" s="55">
        <v>679</v>
      </c>
      <c r="CP89" s="56">
        <v>400</v>
      </c>
      <c r="CQ89" s="55">
        <v>622</v>
      </c>
      <c r="CR89" s="56">
        <v>400</v>
      </c>
      <c r="CS89" s="55">
        <v>714</v>
      </c>
      <c r="CT89" s="56">
        <v>420</v>
      </c>
      <c r="CU89" s="55">
        <v>573</v>
      </c>
      <c r="CV89" s="56">
        <v>420</v>
      </c>
      <c r="CW89" s="55">
        <v>637</v>
      </c>
      <c r="CX89" s="56">
        <v>430</v>
      </c>
      <c r="CY89" s="55">
        <v>635</v>
      </c>
      <c r="CZ89" s="56">
        <v>430</v>
      </c>
      <c r="DA89" s="55">
        <v>794</v>
      </c>
      <c r="DB89" s="56">
        <v>430</v>
      </c>
      <c r="DC89" s="55">
        <v>740</v>
      </c>
      <c r="DD89" s="56">
        <v>460</v>
      </c>
      <c r="DE89" s="55">
        <v>765</v>
      </c>
      <c r="DF89" s="56">
        <v>450</v>
      </c>
      <c r="DG89" s="55">
        <v>674</v>
      </c>
      <c r="DH89" s="56">
        <v>440</v>
      </c>
      <c r="DI89" s="55">
        <v>956</v>
      </c>
      <c r="DJ89" s="56">
        <v>440</v>
      </c>
      <c r="DK89" s="55">
        <v>777</v>
      </c>
      <c r="DL89" s="56">
        <v>440</v>
      </c>
      <c r="DM89" s="55">
        <v>835</v>
      </c>
      <c r="DN89" s="56">
        <v>450</v>
      </c>
      <c r="DO89" s="55">
        <v>825</v>
      </c>
      <c r="DP89" s="56">
        <v>445</v>
      </c>
      <c r="DQ89" s="55">
        <v>1047</v>
      </c>
      <c r="DR89" s="56">
        <v>440</v>
      </c>
      <c r="DS89" s="55">
        <v>804</v>
      </c>
      <c r="DT89" s="56">
        <v>450</v>
      </c>
      <c r="DU89" s="55">
        <v>790</v>
      </c>
      <c r="DV89" s="56">
        <v>450</v>
      </c>
      <c r="DW89" s="55">
        <v>870</v>
      </c>
      <c r="DX89" s="56">
        <v>450</v>
      </c>
      <c r="DY89" s="55">
        <v>966</v>
      </c>
      <c r="DZ89" s="56">
        <v>456</v>
      </c>
      <c r="EA89" s="55">
        <v>799</v>
      </c>
      <c r="EB89" s="56">
        <v>455</v>
      </c>
      <c r="EC89" s="55">
        <v>951</v>
      </c>
      <c r="ED89" s="56">
        <v>480</v>
      </c>
      <c r="EE89" s="55">
        <v>867</v>
      </c>
      <c r="EF89" s="56">
        <v>465</v>
      </c>
      <c r="EG89" s="55">
        <v>1150</v>
      </c>
      <c r="EH89" s="56">
        <v>470</v>
      </c>
      <c r="EI89" s="55">
        <v>824</v>
      </c>
      <c r="EJ89" s="56">
        <v>470</v>
      </c>
      <c r="EK89" s="55">
        <v>874</v>
      </c>
      <c r="EL89" s="56">
        <v>490</v>
      </c>
      <c r="EM89" s="55">
        <v>846</v>
      </c>
      <c r="EN89" s="56">
        <v>485</v>
      </c>
      <c r="EO89" s="55">
        <v>1080</v>
      </c>
      <c r="EP89" s="56">
        <v>495</v>
      </c>
      <c r="EQ89" s="55">
        <v>811</v>
      </c>
      <c r="ER89" s="56">
        <v>500</v>
      </c>
      <c r="ES89" s="55">
        <v>909</v>
      </c>
      <c r="ET89" s="56">
        <v>515</v>
      </c>
      <c r="EU89" s="55">
        <v>850</v>
      </c>
      <c r="EV89" s="56">
        <v>510</v>
      </c>
      <c r="EW89" s="55">
        <v>980</v>
      </c>
      <c r="EX89" s="56">
        <v>520</v>
      </c>
      <c r="EY89" s="55">
        <v>771</v>
      </c>
      <c r="EZ89" s="56">
        <v>520</v>
      </c>
      <c r="FA89" s="55">
        <v>860</v>
      </c>
      <c r="FB89" s="56">
        <v>520</v>
      </c>
      <c r="FC89" s="55">
        <v>782</v>
      </c>
      <c r="FD89" s="56">
        <v>520</v>
      </c>
      <c r="FE89" s="55">
        <v>1075</v>
      </c>
      <c r="FF89" s="56">
        <v>525</v>
      </c>
      <c r="FG89" s="55">
        <v>759</v>
      </c>
      <c r="FH89" s="56">
        <v>520</v>
      </c>
      <c r="FI89" s="55">
        <v>937</v>
      </c>
      <c r="FJ89" s="56">
        <v>530</v>
      </c>
      <c r="FK89" s="55">
        <v>865</v>
      </c>
      <c r="FL89" s="56">
        <v>530</v>
      </c>
      <c r="FM89" s="55">
        <v>1003</v>
      </c>
      <c r="FN89" s="56">
        <v>535</v>
      </c>
      <c r="FO89" s="55">
        <v>737</v>
      </c>
      <c r="FP89" s="56">
        <v>500</v>
      </c>
      <c r="FQ89" s="55">
        <v>788</v>
      </c>
      <c r="FR89" s="56">
        <v>475</v>
      </c>
      <c r="FS89" s="55">
        <v>1000</v>
      </c>
      <c r="FT89" s="56">
        <v>450</v>
      </c>
      <c r="FU89" s="55">
        <v>1512</v>
      </c>
      <c r="FV89" s="56">
        <v>450</v>
      </c>
      <c r="FW89" s="55">
        <v>1074</v>
      </c>
      <c r="FX89" s="56">
        <v>440</v>
      </c>
      <c r="FY89" s="55">
        <v>881</v>
      </c>
      <c r="FZ89" s="56">
        <v>450</v>
      </c>
      <c r="GA89" s="55">
        <v>968</v>
      </c>
      <c r="GB89" s="56">
        <v>450</v>
      </c>
      <c r="GC89" s="55">
        <v>1261</v>
      </c>
      <c r="GD89" s="56">
        <v>475</v>
      </c>
      <c r="GE89" s="55">
        <v>988</v>
      </c>
      <c r="GF89" s="56">
        <v>500</v>
      </c>
      <c r="GG89" s="55">
        <v>1040</v>
      </c>
      <c r="GH89" s="56">
        <v>500</v>
      </c>
      <c r="GI89" s="55">
        <v>819</v>
      </c>
      <c r="GJ89" s="56">
        <v>520</v>
      </c>
      <c r="GK89" s="55">
        <v>832</v>
      </c>
      <c r="GL89" s="56">
        <v>580</v>
      </c>
      <c r="GM89" s="55">
        <v>749</v>
      </c>
      <c r="GN89" s="56">
        <v>600</v>
      </c>
      <c r="GO89" s="55">
        <v>815</v>
      </c>
      <c r="GP89" s="56">
        <v>600</v>
      </c>
      <c r="GQ89" s="55">
        <v>741</v>
      </c>
      <c r="GR89" s="56">
        <v>610</v>
      </c>
      <c r="GS89" s="55">
        <v>829</v>
      </c>
      <c r="GT89" s="56">
        <v>630</v>
      </c>
      <c r="GU89" s="55">
        <v>720</v>
      </c>
      <c r="GV89" s="56">
        <v>650</v>
      </c>
      <c r="GW89" s="55">
        <v>862</v>
      </c>
      <c r="GX89" s="56">
        <v>645</v>
      </c>
      <c r="GY89" s="55">
        <v>728</v>
      </c>
      <c r="GZ89" s="56">
        <v>650</v>
      </c>
      <c r="HA89">
        <v>866</v>
      </c>
      <c r="HB89" s="56">
        <v>670</v>
      </c>
      <c r="HC89">
        <v>664</v>
      </c>
      <c r="HD89" s="56">
        <v>660</v>
      </c>
      <c r="HE89">
        <v>751</v>
      </c>
      <c r="HF89" s="56">
        <v>675</v>
      </c>
    </row>
    <row r="90" spans="1:214" s="10" customFormat="1" x14ac:dyDescent="0.25">
      <c r="A90" s="57"/>
      <c r="B90" s="57" t="s">
        <v>752</v>
      </c>
      <c r="C90" s="58">
        <v>3372</v>
      </c>
      <c r="D90" s="59">
        <v>165</v>
      </c>
      <c r="E90" s="58">
        <v>3530</v>
      </c>
      <c r="F90" s="59">
        <v>170</v>
      </c>
      <c r="G90" s="58">
        <v>3517</v>
      </c>
      <c r="H90" s="59">
        <v>170</v>
      </c>
      <c r="I90" s="58">
        <v>4089</v>
      </c>
      <c r="J90" s="59">
        <v>175</v>
      </c>
      <c r="K90" s="58">
        <v>3377</v>
      </c>
      <c r="L90" s="59">
        <v>175</v>
      </c>
      <c r="M90" s="58">
        <v>3715</v>
      </c>
      <c r="N90" s="59">
        <v>180</v>
      </c>
      <c r="O90" s="58">
        <v>3464</v>
      </c>
      <c r="P90" s="59">
        <v>185</v>
      </c>
      <c r="Q90" s="58">
        <v>4105</v>
      </c>
      <c r="R90" s="59">
        <v>190</v>
      </c>
      <c r="S90" s="58">
        <v>3409</v>
      </c>
      <c r="T90" s="59">
        <v>190</v>
      </c>
      <c r="U90" s="58">
        <v>3627</v>
      </c>
      <c r="V90" s="59">
        <v>190</v>
      </c>
      <c r="W90" s="58">
        <v>3530</v>
      </c>
      <c r="X90" s="59">
        <v>190</v>
      </c>
      <c r="Y90" s="58">
        <v>4207</v>
      </c>
      <c r="Z90" s="59">
        <v>200</v>
      </c>
      <c r="AA90" s="58">
        <v>3444</v>
      </c>
      <c r="AB90" s="59">
        <v>200</v>
      </c>
      <c r="AC90" s="58">
        <v>3729</v>
      </c>
      <c r="AD90" s="59">
        <v>200</v>
      </c>
      <c r="AE90" s="58">
        <v>3475</v>
      </c>
      <c r="AF90" s="59">
        <v>200</v>
      </c>
      <c r="AG90" s="58">
        <v>4340</v>
      </c>
      <c r="AH90" s="59">
        <v>210</v>
      </c>
      <c r="AI90" s="58">
        <v>3402</v>
      </c>
      <c r="AJ90" s="59">
        <v>205</v>
      </c>
      <c r="AK90" s="58">
        <v>3775</v>
      </c>
      <c r="AL90" s="59">
        <v>210</v>
      </c>
      <c r="AM90" s="58">
        <v>3445</v>
      </c>
      <c r="AN90" s="59">
        <v>210</v>
      </c>
      <c r="AO90" s="58">
        <v>4271</v>
      </c>
      <c r="AP90" s="59">
        <v>220</v>
      </c>
      <c r="AQ90" s="58">
        <v>3006</v>
      </c>
      <c r="AR90" s="59">
        <v>215</v>
      </c>
      <c r="AS90" s="58">
        <v>3725</v>
      </c>
      <c r="AT90" s="59">
        <v>220</v>
      </c>
      <c r="AU90" s="58">
        <v>3510</v>
      </c>
      <c r="AV90" s="59">
        <v>220</v>
      </c>
      <c r="AW90" s="58">
        <v>3978</v>
      </c>
      <c r="AX90" s="59">
        <v>230</v>
      </c>
      <c r="AY90" s="58">
        <v>3318</v>
      </c>
      <c r="AZ90" s="59">
        <v>220</v>
      </c>
      <c r="BA90" s="58">
        <v>3629</v>
      </c>
      <c r="BB90" s="59">
        <v>230</v>
      </c>
      <c r="BC90" s="58">
        <v>3219</v>
      </c>
      <c r="BD90" s="59">
        <v>225</v>
      </c>
      <c r="BE90" s="58">
        <v>3576</v>
      </c>
      <c r="BF90" s="59">
        <v>235</v>
      </c>
      <c r="BG90" s="58">
        <v>2818</v>
      </c>
      <c r="BH90" s="59">
        <v>235</v>
      </c>
      <c r="BI90" s="58">
        <v>3305</v>
      </c>
      <c r="BJ90" s="59">
        <v>250</v>
      </c>
      <c r="BK90" s="58">
        <v>2924</v>
      </c>
      <c r="BL90" s="59">
        <v>250</v>
      </c>
      <c r="BM90" s="58">
        <v>3558</v>
      </c>
      <c r="BN90" s="59">
        <v>260</v>
      </c>
      <c r="BO90" s="58">
        <v>2986</v>
      </c>
      <c r="BP90" s="59">
        <v>270</v>
      </c>
      <c r="BQ90" s="58">
        <v>3137</v>
      </c>
      <c r="BR90" s="59">
        <v>280</v>
      </c>
      <c r="BS90" s="58">
        <v>2900</v>
      </c>
      <c r="BT90" s="59">
        <v>290</v>
      </c>
      <c r="BU90" s="58">
        <v>3581</v>
      </c>
      <c r="BV90" s="59">
        <v>300</v>
      </c>
      <c r="BW90" s="58">
        <v>3094</v>
      </c>
      <c r="BX90" s="59">
        <v>300</v>
      </c>
      <c r="BY90" s="58">
        <v>3205</v>
      </c>
      <c r="BZ90" s="59">
        <v>320</v>
      </c>
      <c r="CA90" s="58">
        <v>3075</v>
      </c>
      <c r="CB90" s="59">
        <v>320</v>
      </c>
      <c r="CC90" s="58">
        <v>3226</v>
      </c>
      <c r="CD90" s="59">
        <v>330</v>
      </c>
      <c r="CE90" s="58">
        <v>2894</v>
      </c>
      <c r="CF90" s="59">
        <v>320</v>
      </c>
      <c r="CG90" s="58">
        <v>3388</v>
      </c>
      <c r="CH90" s="59">
        <v>325</v>
      </c>
      <c r="CI90" s="58">
        <v>3106</v>
      </c>
      <c r="CJ90" s="59">
        <v>330</v>
      </c>
      <c r="CK90" s="58">
        <v>3487</v>
      </c>
      <c r="CL90" s="59">
        <v>340</v>
      </c>
      <c r="CM90" s="58">
        <v>3207</v>
      </c>
      <c r="CN90" s="59">
        <v>350</v>
      </c>
      <c r="CO90" s="58">
        <v>3584</v>
      </c>
      <c r="CP90" s="59">
        <v>350</v>
      </c>
      <c r="CQ90" s="58">
        <v>3338</v>
      </c>
      <c r="CR90" s="59">
        <v>350</v>
      </c>
      <c r="CS90" s="58">
        <v>3638</v>
      </c>
      <c r="CT90" s="59">
        <v>360</v>
      </c>
      <c r="CU90" s="58">
        <v>3289</v>
      </c>
      <c r="CV90" s="59">
        <v>350</v>
      </c>
      <c r="CW90" s="58">
        <v>3837</v>
      </c>
      <c r="CX90" s="59">
        <v>355</v>
      </c>
      <c r="CY90" s="58">
        <v>3465</v>
      </c>
      <c r="CZ90" s="59">
        <v>350</v>
      </c>
      <c r="DA90" s="58">
        <v>4145</v>
      </c>
      <c r="DB90" s="59">
        <v>360</v>
      </c>
      <c r="DC90" s="58">
        <v>3687</v>
      </c>
      <c r="DD90" s="59">
        <v>365</v>
      </c>
      <c r="DE90" s="58">
        <v>4193</v>
      </c>
      <c r="DF90" s="59">
        <v>360</v>
      </c>
      <c r="DG90" s="58">
        <v>3997</v>
      </c>
      <c r="DH90" s="59">
        <v>360</v>
      </c>
      <c r="DI90" s="58">
        <v>4615</v>
      </c>
      <c r="DJ90" s="59">
        <v>370</v>
      </c>
      <c r="DK90" s="58">
        <v>4018</v>
      </c>
      <c r="DL90" s="59">
        <v>360</v>
      </c>
      <c r="DM90" s="58">
        <v>4399</v>
      </c>
      <c r="DN90" s="59">
        <v>368</v>
      </c>
      <c r="DO90" s="58">
        <v>4321</v>
      </c>
      <c r="DP90" s="59">
        <v>370</v>
      </c>
      <c r="DQ90" s="58">
        <v>4807</v>
      </c>
      <c r="DR90" s="59">
        <v>380</v>
      </c>
      <c r="DS90" s="58">
        <v>4131</v>
      </c>
      <c r="DT90" s="59">
        <v>365</v>
      </c>
      <c r="DU90" s="58">
        <v>4396</v>
      </c>
      <c r="DV90" s="59">
        <v>370</v>
      </c>
      <c r="DW90" s="58">
        <v>4483</v>
      </c>
      <c r="DX90" s="59">
        <v>375</v>
      </c>
      <c r="DY90" s="58">
        <v>4607</v>
      </c>
      <c r="DZ90" s="59">
        <v>380</v>
      </c>
      <c r="EA90" s="58">
        <v>4456</v>
      </c>
      <c r="EB90" s="59">
        <v>380</v>
      </c>
      <c r="EC90" s="58">
        <v>4511</v>
      </c>
      <c r="ED90" s="59">
        <v>390</v>
      </c>
      <c r="EE90" s="58">
        <v>4202</v>
      </c>
      <c r="EF90" s="59">
        <v>385</v>
      </c>
      <c r="EG90" s="58">
        <v>5010</v>
      </c>
      <c r="EH90" s="59">
        <v>400</v>
      </c>
      <c r="EI90" s="58">
        <v>4194</v>
      </c>
      <c r="EJ90" s="59">
        <v>393</v>
      </c>
      <c r="EK90" s="58">
        <v>4616</v>
      </c>
      <c r="EL90" s="59">
        <v>400</v>
      </c>
      <c r="EM90" s="58">
        <v>4398</v>
      </c>
      <c r="EN90" s="59">
        <v>400</v>
      </c>
      <c r="EO90" s="58">
        <v>4936</v>
      </c>
      <c r="EP90" s="59">
        <v>420</v>
      </c>
      <c r="EQ90" s="58">
        <v>4165</v>
      </c>
      <c r="ER90" s="59">
        <v>410</v>
      </c>
      <c r="ES90" s="58">
        <v>4467</v>
      </c>
      <c r="ET90" s="59">
        <v>415</v>
      </c>
      <c r="EU90" s="58">
        <v>4309</v>
      </c>
      <c r="EV90" s="59">
        <v>420</v>
      </c>
      <c r="EW90" s="58">
        <v>4768</v>
      </c>
      <c r="EX90" s="59">
        <v>430</v>
      </c>
      <c r="EY90" s="58">
        <v>4101</v>
      </c>
      <c r="EZ90" s="59">
        <v>425</v>
      </c>
      <c r="FA90" s="58">
        <v>4569</v>
      </c>
      <c r="FB90" s="59">
        <v>430</v>
      </c>
      <c r="FC90" s="58">
        <v>4206</v>
      </c>
      <c r="FD90" s="59">
        <v>430</v>
      </c>
      <c r="FE90" s="58">
        <v>4895</v>
      </c>
      <c r="FF90" s="59">
        <v>445</v>
      </c>
      <c r="FG90" s="58">
        <v>4071</v>
      </c>
      <c r="FH90" s="59">
        <v>430</v>
      </c>
      <c r="FI90" s="58">
        <v>4378</v>
      </c>
      <c r="FJ90" s="59">
        <v>440</v>
      </c>
      <c r="FK90" s="58">
        <v>4322</v>
      </c>
      <c r="FL90" s="59">
        <v>435</v>
      </c>
      <c r="FM90" s="58">
        <v>4968</v>
      </c>
      <c r="FN90" s="59">
        <v>450</v>
      </c>
      <c r="FO90" s="58">
        <v>3771</v>
      </c>
      <c r="FP90" s="59">
        <v>425</v>
      </c>
      <c r="FQ90" s="58">
        <v>3682</v>
      </c>
      <c r="FR90" s="59">
        <v>425</v>
      </c>
      <c r="FS90" s="58">
        <v>4625</v>
      </c>
      <c r="FT90" s="59">
        <v>415</v>
      </c>
      <c r="FU90" s="58">
        <v>5716</v>
      </c>
      <c r="FV90" s="59">
        <v>400</v>
      </c>
      <c r="FW90" s="58">
        <v>4759</v>
      </c>
      <c r="FX90" s="59">
        <v>400</v>
      </c>
      <c r="FY90" s="58">
        <v>4208</v>
      </c>
      <c r="FZ90" s="59">
        <v>400</v>
      </c>
      <c r="GA90" s="58">
        <v>4497</v>
      </c>
      <c r="GB90" s="59">
        <v>410</v>
      </c>
      <c r="GC90" s="58">
        <v>5330</v>
      </c>
      <c r="GD90" s="59">
        <v>425</v>
      </c>
      <c r="GE90" s="58">
        <v>4398</v>
      </c>
      <c r="GF90" s="59">
        <v>440</v>
      </c>
      <c r="GG90" s="58">
        <v>4656</v>
      </c>
      <c r="GH90" s="59">
        <v>450</v>
      </c>
      <c r="GI90" s="58">
        <v>3964</v>
      </c>
      <c r="GJ90" s="59">
        <v>460</v>
      </c>
      <c r="GK90" s="58">
        <v>4064</v>
      </c>
      <c r="GL90" s="59">
        <v>495</v>
      </c>
      <c r="GM90" s="58">
        <v>3618</v>
      </c>
      <c r="GN90" s="59">
        <v>500</v>
      </c>
      <c r="GO90" s="58">
        <v>3665</v>
      </c>
      <c r="GP90" s="59">
        <v>530</v>
      </c>
      <c r="GQ90" s="58">
        <v>3333</v>
      </c>
      <c r="GR90" s="59">
        <v>550</v>
      </c>
      <c r="GS90" s="58">
        <v>3770</v>
      </c>
      <c r="GT90" s="59">
        <v>560</v>
      </c>
      <c r="GU90" s="58">
        <v>3430</v>
      </c>
      <c r="GV90" s="59">
        <v>570</v>
      </c>
      <c r="GW90" s="58">
        <v>3837</v>
      </c>
      <c r="GX90" s="59">
        <v>575</v>
      </c>
      <c r="GY90" s="58">
        <v>3424</v>
      </c>
      <c r="GZ90" s="59">
        <v>570</v>
      </c>
      <c r="HA90" s="10">
        <v>3944</v>
      </c>
      <c r="HB90" s="59">
        <v>595</v>
      </c>
      <c r="HC90" s="10">
        <v>3266</v>
      </c>
      <c r="HD90" s="59">
        <v>585</v>
      </c>
      <c r="HE90" s="10">
        <v>3460</v>
      </c>
      <c r="HF90" s="59">
        <v>600</v>
      </c>
    </row>
    <row r="91" spans="1:214" s="10" customFormat="1" x14ac:dyDescent="0.25">
      <c r="A91" s="57" t="s">
        <v>827</v>
      </c>
      <c r="B91" s="53" t="s">
        <v>828</v>
      </c>
      <c r="C91" s="60">
        <v>10059</v>
      </c>
      <c r="D91" s="61">
        <v>150</v>
      </c>
      <c r="E91" s="60">
        <v>10269</v>
      </c>
      <c r="F91" s="61">
        <v>152</v>
      </c>
      <c r="G91" s="60">
        <v>10340</v>
      </c>
      <c r="H91" s="61">
        <v>152</v>
      </c>
      <c r="I91" s="60">
        <v>12790</v>
      </c>
      <c r="J91" s="61">
        <v>160</v>
      </c>
      <c r="K91" s="60">
        <v>10084</v>
      </c>
      <c r="L91" s="61">
        <v>160</v>
      </c>
      <c r="M91" s="60">
        <v>10966</v>
      </c>
      <c r="N91" s="61">
        <v>160</v>
      </c>
      <c r="O91" s="60">
        <v>10216</v>
      </c>
      <c r="P91" s="61">
        <v>165</v>
      </c>
      <c r="Q91" s="60">
        <v>12601</v>
      </c>
      <c r="R91" s="61">
        <v>170</v>
      </c>
      <c r="S91" s="60">
        <v>10054</v>
      </c>
      <c r="T91" s="61">
        <v>170</v>
      </c>
      <c r="U91" s="60">
        <v>10624</v>
      </c>
      <c r="V91" s="61">
        <v>170</v>
      </c>
      <c r="W91" s="60">
        <v>10179</v>
      </c>
      <c r="X91" s="61">
        <v>175</v>
      </c>
      <c r="Y91" s="60">
        <v>12577</v>
      </c>
      <c r="Z91" s="61">
        <v>180</v>
      </c>
      <c r="AA91" s="60">
        <v>9951</v>
      </c>
      <c r="AB91" s="61">
        <v>180</v>
      </c>
      <c r="AC91" s="60">
        <v>10699</v>
      </c>
      <c r="AD91" s="61">
        <v>180</v>
      </c>
      <c r="AE91" s="60">
        <v>10075</v>
      </c>
      <c r="AF91" s="61">
        <v>180</v>
      </c>
      <c r="AG91" s="60">
        <v>13114</v>
      </c>
      <c r="AH91" s="61">
        <v>190</v>
      </c>
      <c r="AI91" s="60">
        <v>10076</v>
      </c>
      <c r="AJ91" s="61">
        <v>185</v>
      </c>
      <c r="AK91" s="60">
        <v>10879</v>
      </c>
      <c r="AL91" s="61">
        <v>185</v>
      </c>
      <c r="AM91" s="60">
        <v>10209</v>
      </c>
      <c r="AN91" s="61">
        <v>190</v>
      </c>
      <c r="AO91" s="60">
        <v>13167</v>
      </c>
      <c r="AP91" s="61">
        <v>200</v>
      </c>
      <c r="AQ91" s="60">
        <v>9184</v>
      </c>
      <c r="AR91" s="61">
        <v>190</v>
      </c>
      <c r="AS91" s="60">
        <v>10887</v>
      </c>
      <c r="AT91" s="61">
        <v>195</v>
      </c>
      <c r="AU91" s="60">
        <v>10334</v>
      </c>
      <c r="AV91" s="61">
        <v>195</v>
      </c>
      <c r="AW91" s="60">
        <v>12667</v>
      </c>
      <c r="AX91" s="61">
        <v>210</v>
      </c>
      <c r="AY91" s="60">
        <v>10304</v>
      </c>
      <c r="AZ91" s="61">
        <v>200</v>
      </c>
      <c r="BA91" s="60">
        <v>11085</v>
      </c>
      <c r="BB91" s="61">
        <v>205</v>
      </c>
      <c r="BC91" s="60">
        <v>9762</v>
      </c>
      <c r="BD91" s="61">
        <v>210</v>
      </c>
      <c r="BE91" s="60">
        <v>11961</v>
      </c>
      <c r="BF91" s="61">
        <v>220</v>
      </c>
      <c r="BG91" s="60">
        <v>9326</v>
      </c>
      <c r="BH91" s="61">
        <v>220</v>
      </c>
      <c r="BI91" s="60">
        <v>10023</v>
      </c>
      <c r="BJ91" s="61">
        <v>220</v>
      </c>
      <c r="BK91" s="60">
        <v>9199</v>
      </c>
      <c r="BL91" s="61">
        <v>225</v>
      </c>
      <c r="BM91" s="60">
        <v>11542</v>
      </c>
      <c r="BN91" s="61">
        <v>240</v>
      </c>
      <c r="BO91" s="60">
        <v>9199</v>
      </c>
      <c r="BP91" s="61">
        <v>240</v>
      </c>
      <c r="BQ91" s="60">
        <v>9316</v>
      </c>
      <c r="BR91" s="61">
        <v>250</v>
      </c>
      <c r="BS91" s="60">
        <v>8940</v>
      </c>
      <c r="BT91" s="61">
        <v>255</v>
      </c>
      <c r="BU91" s="60">
        <v>11335</v>
      </c>
      <c r="BV91" s="61">
        <v>270</v>
      </c>
      <c r="BW91" s="60">
        <v>9416</v>
      </c>
      <c r="BX91" s="61">
        <v>280</v>
      </c>
      <c r="BY91" s="60">
        <v>9685</v>
      </c>
      <c r="BZ91" s="61">
        <v>280</v>
      </c>
      <c r="CA91" s="60">
        <v>9439</v>
      </c>
      <c r="CB91" s="61">
        <v>280</v>
      </c>
      <c r="CC91" s="60">
        <v>10688</v>
      </c>
      <c r="CD91" s="61">
        <v>300</v>
      </c>
      <c r="CE91" s="60">
        <v>9187</v>
      </c>
      <c r="CF91" s="61">
        <v>295</v>
      </c>
      <c r="CG91" s="60">
        <v>10223</v>
      </c>
      <c r="CH91" s="61">
        <v>300</v>
      </c>
      <c r="CI91" s="60">
        <v>9746</v>
      </c>
      <c r="CJ91" s="61">
        <v>300</v>
      </c>
      <c r="CK91" s="60">
        <v>11621</v>
      </c>
      <c r="CL91" s="61">
        <v>320</v>
      </c>
      <c r="CM91" s="60">
        <v>9918</v>
      </c>
      <c r="CN91" s="61">
        <v>320</v>
      </c>
      <c r="CO91" s="60">
        <v>10859</v>
      </c>
      <c r="CP91" s="61">
        <v>320</v>
      </c>
      <c r="CQ91" s="60">
        <v>10766</v>
      </c>
      <c r="CR91" s="61">
        <v>320</v>
      </c>
      <c r="CS91" s="60">
        <v>12495</v>
      </c>
      <c r="CT91" s="61">
        <v>340</v>
      </c>
      <c r="CU91" s="60">
        <v>10283</v>
      </c>
      <c r="CV91" s="61">
        <v>330</v>
      </c>
      <c r="CW91" s="60">
        <v>11904</v>
      </c>
      <c r="CX91" s="61">
        <v>330</v>
      </c>
      <c r="CY91" s="60">
        <v>11125</v>
      </c>
      <c r="CZ91" s="61">
        <v>330</v>
      </c>
      <c r="DA91" s="60">
        <v>14278</v>
      </c>
      <c r="DB91" s="61">
        <v>345</v>
      </c>
      <c r="DC91" s="60">
        <v>11735</v>
      </c>
      <c r="DD91" s="61">
        <v>340</v>
      </c>
      <c r="DE91" s="60">
        <v>12848</v>
      </c>
      <c r="DF91" s="61">
        <v>340</v>
      </c>
      <c r="DG91" s="60">
        <v>12443</v>
      </c>
      <c r="DH91" s="61">
        <v>340</v>
      </c>
      <c r="DI91" s="60">
        <v>15525</v>
      </c>
      <c r="DJ91" s="61">
        <v>350</v>
      </c>
      <c r="DK91" s="60">
        <v>12811</v>
      </c>
      <c r="DL91" s="61">
        <v>340</v>
      </c>
      <c r="DM91" s="60">
        <v>13729</v>
      </c>
      <c r="DN91" s="61">
        <v>350</v>
      </c>
      <c r="DO91" s="60">
        <v>13088</v>
      </c>
      <c r="DP91" s="61">
        <v>350</v>
      </c>
      <c r="DQ91" s="60">
        <v>16690</v>
      </c>
      <c r="DR91" s="61">
        <v>360</v>
      </c>
      <c r="DS91" s="60">
        <v>13197</v>
      </c>
      <c r="DT91" s="61">
        <v>350</v>
      </c>
      <c r="DU91" s="60">
        <v>14387</v>
      </c>
      <c r="DV91" s="61">
        <v>352</v>
      </c>
      <c r="DW91" s="60">
        <v>14193</v>
      </c>
      <c r="DX91" s="61">
        <v>350</v>
      </c>
      <c r="DY91" s="60">
        <v>16475</v>
      </c>
      <c r="DZ91" s="61">
        <v>370</v>
      </c>
      <c r="EA91" s="60">
        <v>14200</v>
      </c>
      <c r="EB91" s="61">
        <v>360</v>
      </c>
      <c r="EC91" s="60">
        <v>14870</v>
      </c>
      <c r="ED91" s="61">
        <v>365</v>
      </c>
      <c r="EE91" s="60">
        <v>14312</v>
      </c>
      <c r="EF91" s="61">
        <v>360</v>
      </c>
      <c r="EG91" s="60">
        <v>17854</v>
      </c>
      <c r="EH91" s="61">
        <v>390</v>
      </c>
      <c r="EI91" s="60">
        <v>13952</v>
      </c>
      <c r="EJ91" s="61">
        <v>370</v>
      </c>
      <c r="EK91" s="60">
        <v>16257</v>
      </c>
      <c r="EL91" s="61">
        <v>380</v>
      </c>
      <c r="EM91" s="60">
        <v>14738</v>
      </c>
      <c r="EN91" s="61">
        <v>380</v>
      </c>
      <c r="EO91" s="60">
        <v>18031</v>
      </c>
      <c r="EP91" s="61">
        <v>400</v>
      </c>
      <c r="EQ91" s="60">
        <v>14320</v>
      </c>
      <c r="ER91" s="61">
        <v>390</v>
      </c>
      <c r="ES91" s="60">
        <v>15352</v>
      </c>
      <c r="ET91" s="61">
        <v>400</v>
      </c>
      <c r="EU91" s="60">
        <v>14390</v>
      </c>
      <c r="EV91" s="61">
        <v>400</v>
      </c>
      <c r="EW91" s="60">
        <v>17781</v>
      </c>
      <c r="EX91" s="61">
        <v>420</v>
      </c>
      <c r="EY91" s="60">
        <v>13956</v>
      </c>
      <c r="EZ91" s="61">
        <v>400</v>
      </c>
      <c r="FA91" s="60">
        <v>15153</v>
      </c>
      <c r="FB91" s="61">
        <v>420</v>
      </c>
      <c r="FC91" s="60">
        <v>13692</v>
      </c>
      <c r="FD91" s="61">
        <v>415</v>
      </c>
      <c r="FE91" s="60">
        <v>17434</v>
      </c>
      <c r="FF91" s="61">
        <v>435</v>
      </c>
      <c r="FG91" s="60">
        <v>13329</v>
      </c>
      <c r="FH91" s="61">
        <v>420</v>
      </c>
      <c r="FI91" s="60">
        <v>14895</v>
      </c>
      <c r="FJ91" s="61">
        <v>420</v>
      </c>
      <c r="FK91" s="60">
        <v>14319</v>
      </c>
      <c r="FL91" s="61">
        <v>420</v>
      </c>
      <c r="FM91" s="60">
        <v>18344</v>
      </c>
      <c r="FN91" s="61">
        <v>440</v>
      </c>
      <c r="FO91" s="60">
        <v>12809</v>
      </c>
      <c r="FP91" s="61">
        <v>400</v>
      </c>
      <c r="FQ91" s="60">
        <v>13631</v>
      </c>
      <c r="FR91" s="61">
        <v>400</v>
      </c>
      <c r="FS91" s="60">
        <v>17079</v>
      </c>
      <c r="FT91" s="61">
        <v>400</v>
      </c>
      <c r="FU91" s="60">
        <v>21755</v>
      </c>
      <c r="FV91" s="61">
        <v>400</v>
      </c>
      <c r="FW91" s="60">
        <v>18246</v>
      </c>
      <c r="FX91" s="61">
        <v>385</v>
      </c>
      <c r="FY91" s="60">
        <v>15776</v>
      </c>
      <c r="FZ91" s="61">
        <v>390</v>
      </c>
      <c r="GA91" s="60">
        <v>16519</v>
      </c>
      <c r="GB91" s="61">
        <v>395</v>
      </c>
      <c r="GC91" s="60">
        <v>20283</v>
      </c>
      <c r="GD91" s="61">
        <v>420</v>
      </c>
      <c r="GE91" s="60">
        <v>15931</v>
      </c>
      <c r="GF91" s="61">
        <v>425</v>
      </c>
      <c r="GG91" s="60">
        <v>17188</v>
      </c>
      <c r="GH91" s="61">
        <v>440</v>
      </c>
      <c r="GI91" s="60">
        <v>14986</v>
      </c>
      <c r="GJ91" s="61">
        <v>450</v>
      </c>
      <c r="GK91" s="60">
        <v>16424</v>
      </c>
      <c r="GL91" s="61">
        <v>500</v>
      </c>
      <c r="GM91" s="60">
        <v>13155</v>
      </c>
      <c r="GN91" s="61">
        <v>500</v>
      </c>
      <c r="GO91" s="60">
        <v>14125</v>
      </c>
      <c r="GP91" s="61">
        <v>530</v>
      </c>
      <c r="GQ91" s="60">
        <v>12875</v>
      </c>
      <c r="GR91" s="61">
        <v>530</v>
      </c>
      <c r="GS91" s="60">
        <v>15834</v>
      </c>
      <c r="GT91" s="61">
        <v>575</v>
      </c>
      <c r="GU91" s="60">
        <v>12426</v>
      </c>
      <c r="GV91" s="61">
        <v>550</v>
      </c>
      <c r="GW91" s="60">
        <v>14331</v>
      </c>
      <c r="GX91" s="61">
        <v>570</v>
      </c>
      <c r="GY91" s="60">
        <v>12937</v>
      </c>
      <c r="GZ91" s="61">
        <v>550</v>
      </c>
      <c r="HA91" s="10">
        <v>16576</v>
      </c>
      <c r="HB91" s="61">
        <v>600</v>
      </c>
      <c r="HC91" s="10">
        <v>12039</v>
      </c>
      <c r="HD91" s="61">
        <v>575</v>
      </c>
      <c r="HE91" s="10">
        <v>13172</v>
      </c>
      <c r="HF91" s="61">
        <v>595</v>
      </c>
    </row>
    <row r="92" spans="1:214" x14ac:dyDescent="0.25">
      <c r="A92" s="53"/>
      <c r="B92" s="54"/>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3"/>
      <c r="DP92" s="63"/>
      <c r="DQ92" s="63"/>
      <c r="DR92" s="63"/>
      <c r="DS92" s="63"/>
      <c r="DT92" s="63"/>
      <c r="DU92" s="63"/>
      <c r="DV92" s="63"/>
      <c r="DW92" s="63"/>
      <c r="DX92" s="63"/>
      <c r="DY92" s="63"/>
      <c r="DZ92" s="63"/>
      <c r="EA92" s="63"/>
      <c r="EB92" s="63"/>
      <c r="EC92" s="63"/>
      <c r="ED92" s="63"/>
      <c r="EE92" s="63"/>
      <c r="EF92" s="63"/>
      <c r="EG92" s="63"/>
      <c r="EH92" s="63"/>
      <c r="EI92" s="63"/>
      <c r="EJ92" s="63"/>
      <c r="EK92" s="63"/>
      <c r="EL92" s="63"/>
      <c r="EM92" s="63"/>
      <c r="EN92" s="63"/>
      <c r="EO92" s="63"/>
      <c r="EP92" s="63"/>
      <c r="EQ92" s="63"/>
      <c r="ER92" s="63"/>
      <c r="ES92" s="63"/>
      <c r="ET92" s="63"/>
      <c r="EU92" s="63"/>
      <c r="EV92" s="63"/>
      <c r="EW92" s="63"/>
      <c r="EX92" s="63"/>
      <c r="EY92" s="63"/>
      <c r="EZ92" s="63"/>
      <c r="FA92" s="62"/>
      <c r="FB92" s="62"/>
      <c r="FC92" s="62"/>
      <c r="FD92" s="62"/>
      <c r="FE92" s="62"/>
      <c r="FF92" s="62"/>
      <c r="FG92" s="62"/>
      <c r="FH92" s="62"/>
      <c r="FI92" s="62"/>
      <c r="FJ92" s="62"/>
      <c r="FK92" s="62"/>
      <c r="FL92" s="62"/>
      <c r="FM92" s="62"/>
      <c r="FN92" s="62"/>
      <c r="FO92" s="62"/>
      <c r="FP92" s="62"/>
      <c r="FQ92" s="62"/>
      <c r="FR92" s="62"/>
      <c r="FS92" s="62"/>
      <c r="FT92" s="62"/>
      <c r="FU92" s="62"/>
      <c r="FV92" s="62"/>
      <c r="FW92" s="62"/>
      <c r="FX92" s="62"/>
      <c r="FY92" s="62"/>
      <c r="FZ92" s="62"/>
      <c r="GA92" s="62"/>
      <c r="GB92" s="62"/>
      <c r="GC92" s="62"/>
      <c r="GD92" s="62"/>
      <c r="GE92" s="62"/>
      <c r="GF92" s="62"/>
      <c r="GG92" s="62"/>
      <c r="GH92" s="62"/>
      <c r="GI92" s="62"/>
      <c r="GJ92" s="62"/>
      <c r="GK92" s="62"/>
      <c r="GL92" s="62"/>
      <c r="GM92" s="62"/>
      <c r="GN92" s="62"/>
      <c r="GO92" s="62"/>
      <c r="GP92" s="62"/>
      <c r="GQ92" s="62"/>
      <c r="GR92" s="62"/>
      <c r="GS92" s="62"/>
      <c r="GT92" s="62"/>
      <c r="GU92" s="62"/>
      <c r="GV92" s="62"/>
      <c r="GW92" s="62"/>
      <c r="GX92" s="62"/>
      <c r="GY92" s="62"/>
      <c r="GZ92" s="62"/>
      <c r="HB92" s="62"/>
      <c r="HD92" s="62"/>
      <c r="HF92" s="62"/>
    </row>
    <row r="93" spans="1:214" x14ac:dyDescent="0.25">
      <c r="A93" s="57" t="s">
        <v>829</v>
      </c>
      <c r="B93" s="57" t="s">
        <v>830</v>
      </c>
      <c r="C93" s="58">
        <v>7904</v>
      </c>
      <c r="D93" s="59">
        <v>160</v>
      </c>
      <c r="E93" s="58">
        <v>8165</v>
      </c>
      <c r="F93" s="59">
        <v>165</v>
      </c>
      <c r="G93" s="58">
        <v>8148</v>
      </c>
      <c r="H93" s="59">
        <v>165</v>
      </c>
      <c r="I93" s="58">
        <v>10021</v>
      </c>
      <c r="J93" s="59">
        <v>175</v>
      </c>
      <c r="K93" s="58">
        <v>8021</v>
      </c>
      <c r="L93" s="59">
        <v>170</v>
      </c>
      <c r="M93" s="58">
        <v>8750</v>
      </c>
      <c r="N93" s="59">
        <v>175</v>
      </c>
      <c r="O93" s="58">
        <v>8104</v>
      </c>
      <c r="P93" s="59">
        <v>180</v>
      </c>
      <c r="Q93" s="58">
        <v>10134</v>
      </c>
      <c r="R93" s="59">
        <v>185</v>
      </c>
      <c r="S93" s="58">
        <v>8040</v>
      </c>
      <c r="T93" s="59">
        <v>185</v>
      </c>
      <c r="U93" s="58">
        <v>8540</v>
      </c>
      <c r="V93" s="59">
        <v>185</v>
      </c>
      <c r="W93" s="58">
        <v>8132</v>
      </c>
      <c r="X93" s="59">
        <v>190</v>
      </c>
      <c r="Y93" s="58">
        <v>10219</v>
      </c>
      <c r="Z93" s="59">
        <v>200</v>
      </c>
      <c r="AA93" s="58">
        <v>8011</v>
      </c>
      <c r="AB93" s="59">
        <v>190</v>
      </c>
      <c r="AC93" s="58">
        <v>8701</v>
      </c>
      <c r="AD93" s="59">
        <v>195</v>
      </c>
      <c r="AE93" s="58">
        <v>8220</v>
      </c>
      <c r="AF93" s="59">
        <v>195</v>
      </c>
      <c r="AG93" s="58">
        <v>10832</v>
      </c>
      <c r="AH93" s="59">
        <v>205</v>
      </c>
      <c r="AI93" s="58">
        <v>8169</v>
      </c>
      <c r="AJ93" s="59">
        <v>200</v>
      </c>
      <c r="AK93" s="58">
        <v>8877</v>
      </c>
      <c r="AL93" s="59">
        <v>200</v>
      </c>
      <c r="AM93" s="58">
        <v>8268</v>
      </c>
      <c r="AN93" s="59">
        <v>200</v>
      </c>
      <c r="AO93" s="58">
        <v>10938</v>
      </c>
      <c r="AP93" s="59">
        <v>220</v>
      </c>
      <c r="AQ93" s="58">
        <v>7455</v>
      </c>
      <c r="AR93" s="59">
        <v>210</v>
      </c>
      <c r="AS93" s="58">
        <v>8899</v>
      </c>
      <c r="AT93" s="59">
        <v>210</v>
      </c>
      <c r="AU93" s="58">
        <v>8334</v>
      </c>
      <c r="AV93" s="59">
        <v>210</v>
      </c>
      <c r="AW93" s="58">
        <v>10492</v>
      </c>
      <c r="AX93" s="59">
        <v>225</v>
      </c>
      <c r="AY93" s="58">
        <v>8439</v>
      </c>
      <c r="AZ93" s="59">
        <v>220</v>
      </c>
      <c r="BA93" s="58">
        <v>9135</v>
      </c>
      <c r="BB93" s="59">
        <v>220</v>
      </c>
      <c r="BC93" s="58">
        <v>7976</v>
      </c>
      <c r="BD93" s="59">
        <v>225</v>
      </c>
      <c r="BE93" s="58">
        <v>9794</v>
      </c>
      <c r="BF93" s="59">
        <v>235</v>
      </c>
      <c r="BG93" s="58">
        <v>7531</v>
      </c>
      <c r="BH93" s="59">
        <v>235</v>
      </c>
      <c r="BI93" s="58">
        <v>8189</v>
      </c>
      <c r="BJ93" s="59">
        <v>240</v>
      </c>
      <c r="BK93" s="58">
        <v>7439</v>
      </c>
      <c r="BL93" s="59">
        <v>245</v>
      </c>
      <c r="BM93" s="58">
        <v>9340</v>
      </c>
      <c r="BN93" s="59">
        <v>260</v>
      </c>
      <c r="BO93" s="58">
        <v>7424</v>
      </c>
      <c r="BP93" s="59">
        <v>260</v>
      </c>
      <c r="BQ93" s="58">
        <v>7570</v>
      </c>
      <c r="BR93" s="59">
        <v>275</v>
      </c>
      <c r="BS93" s="58">
        <v>7192</v>
      </c>
      <c r="BT93" s="59">
        <v>280</v>
      </c>
      <c r="BU93" s="58">
        <v>9072</v>
      </c>
      <c r="BV93" s="59">
        <v>295</v>
      </c>
      <c r="BW93" s="58">
        <v>7503</v>
      </c>
      <c r="BX93" s="59">
        <v>300</v>
      </c>
      <c r="BY93" s="58">
        <v>7856</v>
      </c>
      <c r="BZ93" s="59">
        <v>310</v>
      </c>
      <c r="CA93" s="58">
        <v>7570</v>
      </c>
      <c r="CB93" s="59">
        <v>310</v>
      </c>
      <c r="CC93" s="58">
        <v>8627</v>
      </c>
      <c r="CD93" s="59">
        <v>320</v>
      </c>
      <c r="CE93" s="58">
        <v>7398</v>
      </c>
      <c r="CF93" s="59">
        <v>320</v>
      </c>
      <c r="CG93" s="58">
        <v>8407</v>
      </c>
      <c r="CH93" s="59">
        <v>325</v>
      </c>
      <c r="CI93" s="58">
        <v>8018</v>
      </c>
      <c r="CJ93" s="59">
        <v>325</v>
      </c>
      <c r="CK93" s="58">
        <v>9547</v>
      </c>
      <c r="CL93" s="59">
        <v>340</v>
      </c>
      <c r="CM93" s="58">
        <v>8241</v>
      </c>
      <c r="CN93" s="59">
        <v>340</v>
      </c>
      <c r="CO93" s="58">
        <v>9098</v>
      </c>
      <c r="CP93" s="59">
        <v>345</v>
      </c>
      <c r="CQ93" s="58">
        <v>8888</v>
      </c>
      <c r="CR93" s="59">
        <v>345</v>
      </c>
      <c r="CS93" s="58">
        <v>10500</v>
      </c>
      <c r="CT93" s="59">
        <v>355</v>
      </c>
      <c r="CU93" s="58">
        <v>8485</v>
      </c>
      <c r="CV93" s="59">
        <v>350</v>
      </c>
      <c r="CW93" s="58">
        <v>10013</v>
      </c>
      <c r="CX93" s="59">
        <v>350</v>
      </c>
      <c r="CY93" s="58">
        <v>9348</v>
      </c>
      <c r="CZ93" s="59">
        <v>350</v>
      </c>
      <c r="DA93" s="58">
        <v>12065</v>
      </c>
      <c r="DB93" s="59">
        <v>360</v>
      </c>
      <c r="DC93" s="58">
        <v>9865</v>
      </c>
      <c r="DD93" s="59">
        <v>360</v>
      </c>
      <c r="DE93" s="58">
        <v>10954</v>
      </c>
      <c r="DF93" s="59">
        <v>355</v>
      </c>
      <c r="DG93" s="58">
        <v>10579</v>
      </c>
      <c r="DH93" s="59">
        <v>355</v>
      </c>
      <c r="DI93" s="58">
        <v>13377</v>
      </c>
      <c r="DJ93" s="59">
        <v>370</v>
      </c>
      <c r="DK93" s="58">
        <v>10912</v>
      </c>
      <c r="DL93" s="59">
        <v>360</v>
      </c>
      <c r="DM93" s="58">
        <v>11788</v>
      </c>
      <c r="DN93" s="59">
        <v>360</v>
      </c>
      <c r="DO93" s="58">
        <v>11176</v>
      </c>
      <c r="DP93" s="59">
        <v>365</v>
      </c>
      <c r="DQ93" s="58">
        <v>14455</v>
      </c>
      <c r="DR93" s="59">
        <v>380</v>
      </c>
      <c r="DS93" s="58">
        <v>11196</v>
      </c>
      <c r="DT93" s="59">
        <v>360</v>
      </c>
      <c r="DU93" s="58">
        <v>12454</v>
      </c>
      <c r="DV93" s="59">
        <v>373</v>
      </c>
      <c r="DW93" s="58">
        <v>12250</v>
      </c>
      <c r="DX93" s="59">
        <v>370</v>
      </c>
      <c r="DY93" s="58">
        <v>14438</v>
      </c>
      <c r="DZ93" s="59">
        <v>390</v>
      </c>
      <c r="EA93" s="58">
        <v>12233</v>
      </c>
      <c r="EB93" s="59">
        <v>380</v>
      </c>
      <c r="EC93" s="58">
        <v>12850</v>
      </c>
      <c r="ED93" s="59">
        <v>390</v>
      </c>
      <c r="EE93" s="58">
        <v>12363</v>
      </c>
      <c r="EF93" s="59">
        <v>380</v>
      </c>
      <c r="EG93" s="58">
        <v>15747</v>
      </c>
      <c r="EH93" s="59">
        <v>400</v>
      </c>
      <c r="EI93" s="58">
        <v>12086</v>
      </c>
      <c r="EJ93" s="59">
        <v>390</v>
      </c>
      <c r="EK93" s="58">
        <v>14222</v>
      </c>
      <c r="EL93" s="59">
        <v>400</v>
      </c>
      <c r="EM93" s="58">
        <v>12982</v>
      </c>
      <c r="EN93" s="59">
        <v>400</v>
      </c>
      <c r="EO93" s="58">
        <v>15925</v>
      </c>
      <c r="EP93" s="59">
        <v>420</v>
      </c>
      <c r="EQ93" s="58">
        <v>12419</v>
      </c>
      <c r="ER93" s="59">
        <v>410</v>
      </c>
      <c r="ES93" s="58">
        <v>13467</v>
      </c>
      <c r="ET93" s="59">
        <v>420</v>
      </c>
      <c r="EU93" s="58">
        <v>12611</v>
      </c>
      <c r="EV93" s="59">
        <v>420</v>
      </c>
      <c r="EW93" s="58">
        <v>15772</v>
      </c>
      <c r="EX93" s="59">
        <v>440</v>
      </c>
      <c r="EY93" s="58">
        <v>12203</v>
      </c>
      <c r="EZ93" s="59">
        <v>425</v>
      </c>
      <c r="FA93" s="58">
        <v>13419</v>
      </c>
      <c r="FB93" s="59">
        <v>435</v>
      </c>
      <c r="FC93" s="58">
        <v>12148</v>
      </c>
      <c r="FD93" s="59">
        <v>430</v>
      </c>
      <c r="FE93" s="58">
        <v>15762</v>
      </c>
      <c r="FF93" s="59">
        <v>450</v>
      </c>
      <c r="FG93" s="58">
        <v>11805</v>
      </c>
      <c r="FH93" s="59">
        <v>430</v>
      </c>
      <c r="FI93" s="58">
        <v>13264</v>
      </c>
      <c r="FJ93" s="59">
        <v>445</v>
      </c>
      <c r="FK93" s="58">
        <v>12822</v>
      </c>
      <c r="FL93" s="59">
        <v>440</v>
      </c>
      <c r="FM93" s="58">
        <v>16468</v>
      </c>
      <c r="FN93" s="59">
        <v>460</v>
      </c>
      <c r="FO93" s="58">
        <v>11397</v>
      </c>
      <c r="FP93" s="59">
        <v>420</v>
      </c>
      <c r="FQ93" s="58">
        <v>12125</v>
      </c>
      <c r="FR93" s="59">
        <v>415</v>
      </c>
      <c r="FS93" s="58">
        <v>15680</v>
      </c>
      <c r="FT93" s="59">
        <v>400</v>
      </c>
      <c r="FU93" s="58">
        <v>20214</v>
      </c>
      <c r="FV93" s="59">
        <v>400</v>
      </c>
      <c r="FW93" s="58">
        <v>16878</v>
      </c>
      <c r="FX93" s="59">
        <v>390</v>
      </c>
      <c r="FY93" s="58">
        <v>14402</v>
      </c>
      <c r="FZ93" s="59">
        <v>395</v>
      </c>
      <c r="GA93" s="58">
        <v>15213</v>
      </c>
      <c r="GB93" s="59">
        <v>400</v>
      </c>
      <c r="GC93" s="58">
        <v>18848</v>
      </c>
      <c r="GD93" s="59">
        <v>425</v>
      </c>
      <c r="GE93" s="58">
        <v>14572</v>
      </c>
      <c r="GF93" s="59">
        <v>435</v>
      </c>
      <c r="GG93" s="58">
        <v>15684</v>
      </c>
      <c r="GH93" s="59">
        <v>450</v>
      </c>
      <c r="GI93" s="58">
        <v>13617</v>
      </c>
      <c r="GJ93" s="59">
        <v>460</v>
      </c>
      <c r="GK93" s="58">
        <v>14996</v>
      </c>
      <c r="GL93" s="59">
        <v>520</v>
      </c>
      <c r="GM93" s="58">
        <v>11837</v>
      </c>
      <c r="GN93" s="59">
        <v>525</v>
      </c>
      <c r="GO93" s="58">
        <v>12757</v>
      </c>
      <c r="GP93" s="59">
        <v>550</v>
      </c>
      <c r="GQ93" s="58">
        <v>11557</v>
      </c>
      <c r="GR93" s="59">
        <v>550</v>
      </c>
      <c r="GS93" s="58">
        <v>14377</v>
      </c>
      <c r="GT93" s="59">
        <v>600</v>
      </c>
      <c r="GU93" s="58">
        <v>11170</v>
      </c>
      <c r="GV93" s="59">
        <v>580</v>
      </c>
      <c r="GW93" s="58">
        <v>12984</v>
      </c>
      <c r="GX93" s="59">
        <v>580</v>
      </c>
      <c r="GY93" s="58">
        <v>11657</v>
      </c>
      <c r="GZ93" s="59">
        <v>575</v>
      </c>
      <c r="HA93" s="6">
        <v>15213</v>
      </c>
      <c r="HB93" s="59">
        <v>625</v>
      </c>
      <c r="HC93" s="6">
        <v>10800</v>
      </c>
      <c r="HD93" s="59">
        <v>600</v>
      </c>
      <c r="HE93" s="6">
        <v>12013</v>
      </c>
      <c r="HF93" s="59">
        <v>600</v>
      </c>
    </row>
    <row r="94" spans="1:214" x14ac:dyDescent="0.25">
      <c r="A94" s="57"/>
      <c r="B94" s="57" t="s">
        <v>831</v>
      </c>
      <c r="C94" s="58">
        <v>2155</v>
      </c>
      <c r="D94" s="59">
        <v>120</v>
      </c>
      <c r="E94" s="58">
        <v>2104</v>
      </c>
      <c r="F94" s="59">
        <v>120</v>
      </c>
      <c r="G94" s="58">
        <v>2192</v>
      </c>
      <c r="H94" s="59">
        <v>120</v>
      </c>
      <c r="I94" s="58">
        <v>2769</v>
      </c>
      <c r="J94" s="59">
        <v>120</v>
      </c>
      <c r="K94" s="58">
        <v>2063</v>
      </c>
      <c r="L94" s="59">
        <v>120</v>
      </c>
      <c r="M94" s="58">
        <v>2216</v>
      </c>
      <c r="N94" s="59">
        <v>125</v>
      </c>
      <c r="O94" s="58">
        <v>2112</v>
      </c>
      <c r="P94" s="59">
        <v>125</v>
      </c>
      <c r="Q94" s="58">
        <v>2467</v>
      </c>
      <c r="R94" s="59">
        <v>125</v>
      </c>
      <c r="S94" s="58">
        <v>2014</v>
      </c>
      <c r="T94" s="59">
        <v>125</v>
      </c>
      <c r="U94" s="58">
        <v>2084</v>
      </c>
      <c r="V94" s="59">
        <v>125</v>
      </c>
      <c r="W94" s="58">
        <v>2047</v>
      </c>
      <c r="X94" s="59">
        <v>125</v>
      </c>
      <c r="Y94" s="58">
        <v>2358</v>
      </c>
      <c r="Z94" s="59">
        <v>130</v>
      </c>
      <c r="AA94" s="58">
        <v>1940</v>
      </c>
      <c r="AB94" s="59">
        <v>130</v>
      </c>
      <c r="AC94" s="58">
        <v>1998</v>
      </c>
      <c r="AD94" s="59">
        <v>135</v>
      </c>
      <c r="AE94" s="58">
        <v>1855</v>
      </c>
      <c r="AF94" s="59">
        <v>135</v>
      </c>
      <c r="AG94" s="58">
        <v>2282</v>
      </c>
      <c r="AH94" s="59">
        <v>135</v>
      </c>
      <c r="AI94" s="58">
        <v>1907</v>
      </c>
      <c r="AJ94" s="59">
        <v>140</v>
      </c>
      <c r="AK94" s="58">
        <v>2002</v>
      </c>
      <c r="AL94" s="59">
        <v>140</v>
      </c>
      <c r="AM94" s="58">
        <v>1941</v>
      </c>
      <c r="AN94" s="59">
        <v>140</v>
      </c>
      <c r="AO94" s="58">
        <v>2229</v>
      </c>
      <c r="AP94" s="59">
        <v>145</v>
      </c>
      <c r="AQ94" s="58">
        <v>1729</v>
      </c>
      <c r="AR94" s="59">
        <v>145</v>
      </c>
      <c r="AS94" s="58">
        <v>1988</v>
      </c>
      <c r="AT94" s="59">
        <v>145</v>
      </c>
      <c r="AU94" s="58">
        <v>2000</v>
      </c>
      <c r="AV94" s="59">
        <v>150</v>
      </c>
      <c r="AW94" s="58">
        <v>2175</v>
      </c>
      <c r="AX94" s="59">
        <v>150</v>
      </c>
      <c r="AY94" s="58">
        <v>1865</v>
      </c>
      <c r="AZ94" s="59">
        <v>150</v>
      </c>
      <c r="BA94" s="58">
        <v>1950</v>
      </c>
      <c r="BB94" s="59">
        <v>150</v>
      </c>
      <c r="BC94" s="58">
        <v>1786</v>
      </c>
      <c r="BD94" s="59">
        <v>155</v>
      </c>
      <c r="BE94" s="58">
        <v>2167</v>
      </c>
      <c r="BF94" s="59">
        <v>155</v>
      </c>
      <c r="BG94" s="58">
        <v>1795</v>
      </c>
      <c r="BH94" s="59">
        <v>155</v>
      </c>
      <c r="BI94" s="58">
        <v>1834</v>
      </c>
      <c r="BJ94" s="59">
        <v>160</v>
      </c>
      <c r="BK94" s="58">
        <v>1760</v>
      </c>
      <c r="BL94" s="59">
        <v>160</v>
      </c>
      <c r="BM94" s="58">
        <v>2202</v>
      </c>
      <c r="BN94" s="59">
        <v>160</v>
      </c>
      <c r="BO94" s="58">
        <v>1775</v>
      </c>
      <c r="BP94" s="59">
        <v>160</v>
      </c>
      <c r="BQ94" s="58">
        <v>1746</v>
      </c>
      <c r="BR94" s="59">
        <v>165</v>
      </c>
      <c r="BS94" s="58">
        <v>1748</v>
      </c>
      <c r="BT94" s="59">
        <v>170</v>
      </c>
      <c r="BU94" s="58">
        <v>2263</v>
      </c>
      <c r="BV94" s="59">
        <v>170</v>
      </c>
      <c r="BW94" s="58">
        <v>1913</v>
      </c>
      <c r="BX94" s="59">
        <v>170</v>
      </c>
      <c r="BY94" s="58">
        <v>1829</v>
      </c>
      <c r="BZ94" s="59">
        <v>175</v>
      </c>
      <c r="CA94" s="58">
        <v>1869</v>
      </c>
      <c r="CB94" s="59">
        <v>175</v>
      </c>
      <c r="CC94" s="58">
        <v>2061</v>
      </c>
      <c r="CD94" s="59">
        <v>180</v>
      </c>
      <c r="CE94" s="58">
        <v>1789</v>
      </c>
      <c r="CF94" s="59">
        <v>180</v>
      </c>
      <c r="CG94" s="58">
        <v>1816</v>
      </c>
      <c r="CH94" s="59">
        <v>180</v>
      </c>
      <c r="CI94" s="58">
        <v>1728</v>
      </c>
      <c r="CJ94" s="59">
        <v>185</v>
      </c>
      <c r="CK94" s="58">
        <v>2074</v>
      </c>
      <c r="CL94" s="59">
        <v>190</v>
      </c>
      <c r="CM94" s="58">
        <v>1677</v>
      </c>
      <c r="CN94" s="59">
        <v>195</v>
      </c>
      <c r="CO94" s="58">
        <v>1761</v>
      </c>
      <c r="CP94" s="59">
        <v>195</v>
      </c>
      <c r="CQ94" s="58">
        <v>1878</v>
      </c>
      <c r="CR94" s="59">
        <v>200</v>
      </c>
      <c r="CS94" s="58">
        <v>1995</v>
      </c>
      <c r="CT94" s="59">
        <v>200</v>
      </c>
      <c r="CU94" s="58">
        <v>1798</v>
      </c>
      <c r="CV94" s="59">
        <v>210</v>
      </c>
      <c r="CW94" s="58">
        <v>1891</v>
      </c>
      <c r="CX94" s="59">
        <v>210</v>
      </c>
      <c r="CY94" s="58">
        <v>1777</v>
      </c>
      <c r="CZ94" s="59">
        <v>210</v>
      </c>
      <c r="DA94" s="58">
        <v>2213</v>
      </c>
      <c r="DB94" s="59">
        <v>220</v>
      </c>
      <c r="DC94" s="58">
        <v>1870</v>
      </c>
      <c r="DD94" s="59">
        <v>210</v>
      </c>
      <c r="DE94" s="58">
        <v>1894</v>
      </c>
      <c r="DF94" s="59">
        <v>210</v>
      </c>
      <c r="DG94" s="58">
        <v>1864</v>
      </c>
      <c r="DH94" s="59">
        <v>210</v>
      </c>
      <c r="DI94" s="58">
        <v>2148</v>
      </c>
      <c r="DJ94" s="59">
        <v>220</v>
      </c>
      <c r="DK94" s="58">
        <v>1899</v>
      </c>
      <c r="DL94" s="59">
        <v>220</v>
      </c>
      <c r="DM94" s="58">
        <v>1941</v>
      </c>
      <c r="DN94" s="59">
        <v>220</v>
      </c>
      <c r="DO94" s="58">
        <v>1912</v>
      </c>
      <c r="DP94" s="59">
        <v>221</v>
      </c>
      <c r="DQ94" s="58">
        <v>2235</v>
      </c>
      <c r="DR94" s="59">
        <v>225</v>
      </c>
      <c r="DS94" s="58">
        <v>2001</v>
      </c>
      <c r="DT94" s="59">
        <v>230</v>
      </c>
      <c r="DU94" s="58">
        <v>1933</v>
      </c>
      <c r="DV94" s="59">
        <v>225</v>
      </c>
      <c r="DW94" s="58">
        <v>1943</v>
      </c>
      <c r="DX94" s="59">
        <v>230</v>
      </c>
      <c r="DY94" s="58">
        <v>2037</v>
      </c>
      <c r="DZ94" s="59">
        <v>230</v>
      </c>
      <c r="EA94" s="58">
        <v>1967</v>
      </c>
      <c r="EB94" s="59">
        <v>230</v>
      </c>
      <c r="EC94" s="58">
        <v>2020</v>
      </c>
      <c r="ED94" s="59">
        <v>230</v>
      </c>
      <c r="EE94" s="58">
        <v>1949</v>
      </c>
      <c r="EF94" s="59">
        <v>230</v>
      </c>
      <c r="EG94" s="58">
        <v>2107</v>
      </c>
      <c r="EH94" s="59">
        <v>240</v>
      </c>
      <c r="EI94" s="58">
        <v>1866</v>
      </c>
      <c r="EJ94" s="59">
        <v>235</v>
      </c>
      <c r="EK94" s="58">
        <v>2035</v>
      </c>
      <c r="EL94" s="59">
        <v>235</v>
      </c>
      <c r="EM94" s="58">
        <v>1756</v>
      </c>
      <c r="EN94" s="59">
        <v>240</v>
      </c>
      <c r="EO94" s="58">
        <v>2107</v>
      </c>
      <c r="EP94" s="59">
        <v>240</v>
      </c>
      <c r="EQ94" s="58">
        <v>1901</v>
      </c>
      <c r="ER94" s="59">
        <v>240</v>
      </c>
      <c r="ES94" s="58">
        <v>1885</v>
      </c>
      <c r="ET94" s="59">
        <v>240</v>
      </c>
      <c r="EU94" s="58">
        <v>1779</v>
      </c>
      <c r="EV94" s="59">
        <v>245</v>
      </c>
      <c r="EW94" s="58">
        <v>2009</v>
      </c>
      <c r="EX94" s="59">
        <v>250</v>
      </c>
      <c r="EY94" s="58">
        <v>1753</v>
      </c>
      <c r="EZ94" s="59">
        <v>250</v>
      </c>
      <c r="FA94" s="58">
        <v>1734</v>
      </c>
      <c r="FB94" s="59">
        <v>250</v>
      </c>
      <c r="FC94" s="58">
        <v>1544</v>
      </c>
      <c r="FD94" s="59">
        <v>250</v>
      </c>
      <c r="FE94" s="58">
        <v>1672</v>
      </c>
      <c r="FF94" s="59">
        <v>260</v>
      </c>
      <c r="FG94" s="58">
        <v>1524</v>
      </c>
      <c r="FH94" s="59">
        <v>255</v>
      </c>
      <c r="FI94" s="58">
        <v>1631</v>
      </c>
      <c r="FJ94" s="59">
        <v>260</v>
      </c>
      <c r="FK94" s="58">
        <v>1497</v>
      </c>
      <c r="FL94" s="59">
        <v>260</v>
      </c>
      <c r="FM94" s="58">
        <v>1876</v>
      </c>
      <c r="FN94" s="59">
        <v>270</v>
      </c>
      <c r="FO94" s="58">
        <v>1412</v>
      </c>
      <c r="FP94" s="59">
        <v>270</v>
      </c>
      <c r="FQ94" s="58">
        <v>1506</v>
      </c>
      <c r="FR94" s="59">
        <v>270</v>
      </c>
      <c r="FS94" s="58">
        <v>1399</v>
      </c>
      <c r="FT94" s="59">
        <v>280</v>
      </c>
      <c r="FU94" s="58">
        <v>1541</v>
      </c>
      <c r="FV94" s="59">
        <v>290</v>
      </c>
      <c r="FW94" s="58">
        <v>1368</v>
      </c>
      <c r="FX94" s="59">
        <v>290</v>
      </c>
      <c r="FY94" s="58">
        <v>1374</v>
      </c>
      <c r="FZ94" s="59">
        <v>300</v>
      </c>
      <c r="GA94" s="58">
        <v>1306</v>
      </c>
      <c r="GB94" s="59">
        <v>300</v>
      </c>
      <c r="GC94" s="58">
        <v>1436</v>
      </c>
      <c r="GD94" s="59">
        <v>320</v>
      </c>
      <c r="GE94" s="58">
        <v>1359</v>
      </c>
      <c r="GF94" s="59">
        <v>320</v>
      </c>
      <c r="GG94" s="58">
        <v>1504</v>
      </c>
      <c r="GH94" s="59">
        <v>320</v>
      </c>
      <c r="GI94" s="58">
        <v>1369</v>
      </c>
      <c r="GJ94" s="59">
        <v>335</v>
      </c>
      <c r="GK94" s="58">
        <v>1428</v>
      </c>
      <c r="GL94" s="59">
        <v>340</v>
      </c>
      <c r="GM94" s="58">
        <v>1318</v>
      </c>
      <c r="GN94" s="59">
        <v>340</v>
      </c>
      <c r="GO94" s="58">
        <v>1368</v>
      </c>
      <c r="GP94" s="59">
        <v>350</v>
      </c>
      <c r="GQ94" s="58">
        <v>1318</v>
      </c>
      <c r="GR94" s="59">
        <v>350</v>
      </c>
      <c r="GS94" s="58">
        <v>1457</v>
      </c>
      <c r="GT94" s="59">
        <v>360</v>
      </c>
      <c r="GU94" s="58">
        <v>1256</v>
      </c>
      <c r="GV94" s="59">
        <v>360</v>
      </c>
      <c r="GW94" s="58">
        <v>1347</v>
      </c>
      <c r="GX94" s="59">
        <v>370</v>
      </c>
      <c r="GY94" s="58">
        <v>1280</v>
      </c>
      <c r="GZ94" s="59">
        <v>370</v>
      </c>
      <c r="HA94" s="6">
        <v>1363</v>
      </c>
      <c r="HB94" s="59">
        <v>380</v>
      </c>
      <c r="HC94" s="6">
        <v>1239</v>
      </c>
      <c r="HD94" s="59">
        <v>380</v>
      </c>
      <c r="HE94" s="6">
        <v>1159</v>
      </c>
      <c r="HF94" s="59">
        <v>390</v>
      </c>
    </row>
    <row r="95" spans="1:214" x14ac:dyDescent="0.25">
      <c r="A95" s="57"/>
      <c r="B95" s="64" t="s">
        <v>828</v>
      </c>
      <c r="C95" s="58">
        <v>10059</v>
      </c>
      <c r="D95" s="59">
        <v>150</v>
      </c>
      <c r="E95" s="58">
        <v>10269</v>
      </c>
      <c r="F95" s="59">
        <v>152</v>
      </c>
      <c r="G95" s="58">
        <v>10340</v>
      </c>
      <c r="H95" s="59">
        <v>152</v>
      </c>
      <c r="I95" s="58">
        <v>12790</v>
      </c>
      <c r="J95" s="59">
        <v>160</v>
      </c>
      <c r="K95" s="58">
        <v>10084</v>
      </c>
      <c r="L95" s="59">
        <v>160</v>
      </c>
      <c r="M95" s="58">
        <v>10966</v>
      </c>
      <c r="N95" s="59">
        <v>160</v>
      </c>
      <c r="O95" s="58">
        <v>10216</v>
      </c>
      <c r="P95" s="59">
        <v>165</v>
      </c>
      <c r="Q95" s="58">
        <v>12601</v>
      </c>
      <c r="R95" s="59">
        <v>170</v>
      </c>
      <c r="S95" s="58">
        <v>10054</v>
      </c>
      <c r="T95" s="59">
        <v>170</v>
      </c>
      <c r="U95" s="58">
        <v>10624</v>
      </c>
      <c r="V95" s="59">
        <v>170</v>
      </c>
      <c r="W95" s="58">
        <v>10179</v>
      </c>
      <c r="X95" s="59">
        <v>175</v>
      </c>
      <c r="Y95" s="58">
        <v>12577</v>
      </c>
      <c r="Z95" s="59">
        <v>180</v>
      </c>
      <c r="AA95" s="58">
        <v>9951</v>
      </c>
      <c r="AB95" s="59">
        <v>180</v>
      </c>
      <c r="AC95" s="58">
        <v>10699</v>
      </c>
      <c r="AD95" s="59">
        <v>180</v>
      </c>
      <c r="AE95" s="58">
        <v>10075</v>
      </c>
      <c r="AF95" s="59">
        <v>180</v>
      </c>
      <c r="AG95" s="58">
        <v>13114</v>
      </c>
      <c r="AH95" s="59">
        <v>190</v>
      </c>
      <c r="AI95" s="58">
        <v>10076</v>
      </c>
      <c r="AJ95" s="59">
        <v>185</v>
      </c>
      <c r="AK95" s="58">
        <v>10879</v>
      </c>
      <c r="AL95" s="59">
        <v>185</v>
      </c>
      <c r="AM95" s="58">
        <v>10209</v>
      </c>
      <c r="AN95" s="59">
        <v>190</v>
      </c>
      <c r="AO95" s="58">
        <v>13167</v>
      </c>
      <c r="AP95" s="59">
        <v>200</v>
      </c>
      <c r="AQ95" s="58">
        <v>9184</v>
      </c>
      <c r="AR95" s="59">
        <v>190</v>
      </c>
      <c r="AS95" s="58">
        <v>10887</v>
      </c>
      <c r="AT95" s="59">
        <v>195</v>
      </c>
      <c r="AU95" s="58">
        <v>10334</v>
      </c>
      <c r="AV95" s="59">
        <v>195</v>
      </c>
      <c r="AW95" s="58">
        <v>12667</v>
      </c>
      <c r="AX95" s="59">
        <v>210</v>
      </c>
      <c r="AY95" s="58">
        <v>10304</v>
      </c>
      <c r="AZ95" s="59">
        <v>200</v>
      </c>
      <c r="BA95" s="58">
        <v>11085</v>
      </c>
      <c r="BB95" s="59">
        <v>205</v>
      </c>
      <c r="BC95" s="58">
        <v>9762</v>
      </c>
      <c r="BD95" s="59">
        <v>210</v>
      </c>
      <c r="BE95" s="58">
        <v>11961</v>
      </c>
      <c r="BF95" s="59">
        <v>220</v>
      </c>
      <c r="BG95" s="58">
        <v>9326</v>
      </c>
      <c r="BH95" s="59">
        <v>220</v>
      </c>
      <c r="BI95" s="58">
        <v>10023</v>
      </c>
      <c r="BJ95" s="59">
        <v>220</v>
      </c>
      <c r="BK95" s="58">
        <v>9199</v>
      </c>
      <c r="BL95" s="59">
        <v>225</v>
      </c>
      <c r="BM95" s="58">
        <v>11542</v>
      </c>
      <c r="BN95" s="59">
        <v>240</v>
      </c>
      <c r="BO95" s="58">
        <v>9199</v>
      </c>
      <c r="BP95" s="59">
        <v>240</v>
      </c>
      <c r="BQ95" s="58">
        <v>9316</v>
      </c>
      <c r="BR95" s="59">
        <v>250</v>
      </c>
      <c r="BS95" s="58">
        <v>8940</v>
      </c>
      <c r="BT95" s="59">
        <v>255</v>
      </c>
      <c r="BU95" s="58">
        <v>11335</v>
      </c>
      <c r="BV95" s="59">
        <v>270</v>
      </c>
      <c r="BW95" s="58">
        <v>9416</v>
      </c>
      <c r="BX95" s="59">
        <v>280</v>
      </c>
      <c r="BY95" s="58">
        <v>9685</v>
      </c>
      <c r="BZ95" s="59">
        <v>280</v>
      </c>
      <c r="CA95" s="58">
        <v>9439</v>
      </c>
      <c r="CB95" s="59">
        <v>280</v>
      </c>
      <c r="CC95" s="58">
        <v>10688</v>
      </c>
      <c r="CD95" s="59">
        <v>300</v>
      </c>
      <c r="CE95" s="58">
        <v>9187</v>
      </c>
      <c r="CF95" s="59">
        <v>295</v>
      </c>
      <c r="CG95" s="58">
        <v>10223</v>
      </c>
      <c r="CH95" s="59">
        <v>300</v>
      </c>
      <c r="CI95" s="58">
        <v>9746</v>
      </c>
      <c r="CJ95" s="59">
        <v>300</v>
      </c>
      <c r="CK95" s="58">
        <v>11621</v>
      </c>
      <c r="CL95" s="59">
        <v>320</v>
      </c>
      <c r="CM95" s="58">
        <v>9918</v>
      </c>
      <c r="CN95" s="59">
        <v>320</v>
      </c>
      <c r="CO95" s="58">
        <v>10859</v>
      </c>
      <c r="CP95" s="59">
        <v>320</v>
      </c>
      <c r="CQ95" s="58">
        <v>10766</v>
      </c>
      <c r="CR95" s="59">
        <v>320</v>
      </c>
      <c r="CS95" s="58">
        <v>12495</v>
      </c>
      <c r="CT95" s="59">
        <v>340</v>
      </c>
      <c r="CU95" s="58">
        <v>10283</v>
      </c>
      <c r="CV95" s="59">
        <v>330</v>
      </c>
      <c r="CW95" s="58">
        <v>11904</v>
      </c>
      <c r="CX95" s="59">
        <v>330</v>
      </c>
      <c r="CY95" s="58">
        <v>11125</v>
      </c>
      <c r="CZ95" s="59">
        <v>330</v>
      </c>
      <c r="DA95" s="58">
        <v>14278</v>
      </c>
      <c r="DB95" s="59">
        <v>345</v>
      </c>
      <c r="DC95" s="58">
        <v>11735</v>
      </c>
      <c r="DD95" s="59">
        <v>340</v>
      </c>
      <c r="DE95" s="58">
        <v>12848</v>
      </c>
      <c r="DF95" s="59">
        <v>340</v>
      </c>
      <c r="DG95" s="58">
        <v>12443</v>
      </c>
      <c r="DH95" s="59">
        <v>340</v>
      </c>
      <c r="DI95" s="58">
        <v>15525</v>
      </c>
      <c r="DJ95" s="59">
        <v>350</v>
      </c>
      <c r="DK95" s="58">
        <v>12811</v>
      </c>
      <c r="DL95" s="59">
        <v>340</v>
      </c>
      <c r="DM95" s="58">
        <v>13729</v>
      </c>
      <c r="DN95" s="59">
        <v>350</v>
      </c>
      <c r="DO95" s="58">
        <v>13088</v>
      </c>
      <c r="DP95" s="59">
        <v>350</v>
      </c>
      <c r="DQ95" s="58">
        <v>16690</v>
      </c>
      <c r="DR95" s="59">
        <v>360</v>
      </c>
      <c r="DS95" s="58">
        <v>13197</v>
      </c>
      <c r="DT95" s="59">
        <v>350</v>
      </c>
      <c r="DU95" s="58">
        <v>14387</v>
      </c>
      <c r="DV95" s="59">
        <v>352</v>
      </c>
      <c r="DW95" s="58">
        <v>14193</v>
      </c>
      <c r="DX95" s="59">
        <v>350</v>
      </c>
      <c r="DY95" s="58">
        <v>16475</v>
      </c>
      <c r="DZ95" s="59">
        <v>370</v>
      </c>
      <c r="EA95" s="58">
        <v>14200</v>
      </c>
      <c r="EB95" s="59">
        <v>360</v>
      </c>
      <c r="EC95" s="58">
        <v>14870</v>
      </c>
      <c r="ED95" s="59">
        <v>365</v>
      </c>
      <c r="EE95" s="58">
        <v>14312</v>
      </c>
      <c r="EF95" s="59">
        <v>360</v>
      </c>
      <c r="EG95" s="58">
        <v>17854</v>
      </c>
      <c r="EH95" s="59">
        <v>390</v>
      </c>
      <c r="EI95" s="58">
        <v>13952</v>
      </c>
      <c r="EJ95" s="59">
        <v>370</v>
      </c>
      <c r="EK95" s="58">
        <v>16257</v>
      </c>
      <c r="EL95" s="59">
        <v>380</v>
      </c>
      <c r="EM95" s="58">
        <v>14738</v>
      </c>
      <c r="EN95" s="59">
        <v>380</v>
      </c>
      <c r="EO95" s="58">
        <v>18032</v>
      </c>
      <c r="EP95" s="59">
        <v>400</v>
      </c>
      <c r="EQ95" s="58">
        <v>14320</v>
      </c>
      <c r="ER95" s="59">
        <v>390</v>
      </c>
      <c r="ES95" s="58">
        <v>15352</v>
      </c>
      <c r="ET95" s="59">
        <v>400</v>
      </c>
      <c r="EU95" s="58">
        <v>14390</v>
      </c>
      <c r="EV95" s="59">
        <v>400</v>
      </c>
      <c r="EW95" s="58">
        <v>17781</v>
      </c>
      <c r="EX95" s="59">
        <v>420</v>
      </c>
      <c r="EY95" s="58">
        <v>13956</v>
      </c>
      <c r="EZ95" s="59">
        <v>400</v>
      </c>
      <c r="FA95" s="58">
        <v>15153</v>
      </c>
      <c r="FB95" s="59">
        <v>420</v>
      </c>
      <c r="FC95" s="58">
        <v>13692</v>
      </c>
      <c r="FD95" s="59">
        <v>415</v>
      </c>
      <c r="FE95" s="58">
        <v>17434</v>
      </c>
      <c r="FF95" s="59">
        <v>435</v>
      </c>
      <c r="FG95" s="58">
        <v>13329</v>
      </c>
      <c r="FH95" s="59">
        <v>420</v>
      </c>
      <c r="FI95" s="58">
        <v>14895</v>
      </c>
      <c r="FJ95" s="59">
        <v>420</v>
      </c>
      <c r="FK95" s="58">
        <v>14319</v>
      </c>
      <c r="FL95" s="59">
        <v>420</v>
      </c>
      <c r="FM95" s="58">
        <v>18344</v>
      </c>
      <c r="FN95" s="59">
        <v>440</v>
      </c>
      <c r="FO95" s="58">
        <v>12809</v>
      </c>
      <c r="FP95" s="59">
        <v>400</v>
      </c>
      <c r="FQ95" s="58">
        <v>13631</v>
      </c>
      <c r="FR95" s="59">
        <v>400</v>
      </c>
      <c r="FS95" s="58">
        <v>17079</v>
      </c>
      <c r="FT95" s="59">
        <v>400</v>
      </c>
      <c r="FU95" s="58">
        <v>21755</v>
      </c>
      <c r="FV95" s="59">
        <v>400</v>
      </c>
      <c r="FW95" s="58">
        <v>18246</v>
      </c>
      <c r="FX95" s="59">
        <v>385</v>
      </c>
      <c r="FY95" s="58">
        <v>15776</v>
      </c>
      <c r="FZ95" s="59">
        <v>390</v>
      </c>
      <c r="GA95" s="58">
        <v>16519</v>
      </c>
      <c r="GB95" s="59">
        <v>395</v>
      </c>
      <c r="GC95" s="58">
        <v>20284</v>
      </c>
      <c r="GD95" s="59">
        <v>420</v>
      </c>
      <c r="GE95" s="58">
        <v>15931</v>
      </c>
      <c r="GF95" s="59">
        <v>425</v>
      </c>
      <c r="GG95" s="58">
        <v>17188</v>
      </c>
      <c r="GH95" s="59">
        <v>440</v>
      </c>
      <c r="GI95" s="58">
        <v>14986</v>
      </c>
      <c r="GJ95" s="59">
        <v>450</v>
      </c>
      <c r="GK95" s="58">
        <v>16424</v>
      </c>
      <c r="GL95" s="59">
        <v>500</v>
      </c>
      <c r="GM95" s="58">
        <v>13155</v>
      </c>
      <c r="GN95" s="59">
        <v>500</v>
      </c>
      <c r="GO95" s="58">
        <v>14125</v>
      </c>
      <c r="GP95" s="59">
        <v>530</v>
      </c>
      <c r="GQ95" s="58">
        <v>12875</v>
      </c>
      <c r="GR95" s="59">
        <v>530</v>
      </c>
      <c r="GS95" s="58">
        <v>15834</v>
      </c>
      <c r="GT95" s="59">
        <v>575</v>
      </c>
      <c r="GU95" s="58">
        <v>12426</v>
      </c>
      <c r="GV95" s="59">
        <v>550</v>
      </c>
      <c r="GW95" s="58">
        <v>14331</v>
      </c>
      <c r="GX95" s="59">
        <v>570</v>
      </c>
      <c r="GY95" s="58">
        <v>12937</v>
      </c>
      <c r="GZ95" s="59">
        <v>550</v>
      </c>
      <c r="HA95" s="6">
        <v>16576</v>
      </c>
      <c r="HB95" s="59">
        <v>600</v>
      </c>
      <c r="HC95" s="6">
        <v>12039</v>
      </c>
      <c r="HD95" s="59">
        <v>575</v>
      </c>
      <c r="HE95" s="6">
        <v>13172</v>
      </c>
      <c r="HF95" s="59">
        <v>595</v>
      </c>
    </row>
    <row r="96" spans="1:214" x14ac:dyDescent="0.25"/>
    <row r="97" x14ac:dyDescent="0.25"/>
  </sheetData>
  <mergeCells count="1">
    <mergeCell ref="A2:B2"/>
  </mergeCells>
  <pageMargins left="0.75" right="0.75" top="1" bottom="1" header="0.5" footer="0.5"/>
  <pageSetup paperSize="9" orientation="portrait" verticalDpi="0" r:id="rId1"/>
  <headerFooter alignWithMargins="0">
    <oddFooter>&amp;C_x000D_&amp;1#&amp;"Arial Black"&amp;10&amp;K000000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5E606-A162-44F4-9B2C-0BBCFC22025C}">
  <dimension ref="A1:HH98"/>
  <sheetViews>
    <sheetView workbookViewId="0">
      <pane xSplit="2" ySplit="3" topLeftCell="C4" activePane="bottomRight" state="frozen"/>
      <selection pane="topRight" activeCell="A98" sqref="A98:XFD1048576"/>
      <selection pane="bottomLeft" activeCell="A98" sqref="A98:XFD1048576"/>
      <selection pane="bottomRight" activeCell="M20" sqref="M20"/>
    </sheetView>
  </sheetViews>
  <sheetFormatPr defaultColWidth="0" defaultRowHeight="15" zeroHeight="1" x14ac:dyDescent="0.25"/>
  <cols>
    <col min="1" max="2" width="19.28515625" bestFit="1" customWidth="1"/>
    <col min="3" max="216" width="8.85546875" customWidth="1"/>
    <col min="217" max="16384" width="8.85546875" hidden="1"/>
  </cols>
  <sheetData>
    <row r="1" spans="1:215" ht="18" x14ac:dyDescent="0.25">
      <c r="A1" s="46" t="s">
        <v>632</v>
      </c>
      <c r="B1" s="46"/>
      <c r="C1" s="46"/>
      <c r="D1" s="46"/>
      <c r="E1" s="46"/>
      <c r="F1" s="46"/>
      <c r="G1" s="46"/>
    </row>
    <row r="2" spans="1:215" s="50" customFormat="1" x14ac:dyDescent="0.25">
      <c r="A2" s="69" t="s">
        <v>832</v>
      </c>
      <c r="B2" s="69"/>
      <c r="C2" s="47" t="s">
        <v>634</v>
      </c>
      <c r="D2" s="48" t="s">
        <v>634</v>
      </c>
      <c r="E2" s="47" t="s">
        <v>635</v>
      </c>
      <c r="F2" s="48" t="s">
        <v>635</v>
      </c>
      <c r="G2" s="47" t="s">
        <v>636</v>
      </c>
      <c r="H2" s="48" t="s">
        <v>636</v>
      </c>
      <c r="I2" s="47" t="s">
        <v>637</v>
      </c>
      <c r="J2" s="48" t="s">
        <v>637</v>
      </c>
      <c r="K2" s="47" t="s">
        <v>638</v>
      </c>
      <c r="L2" s="48" t="s">
        <v>638</v>
      </c>
      <c r="M2" s="47" t="s">
        <v>639</v>
      </c>
      <c r="N2" s="48" t="s">
        <v>639</v>
      </c>
      <c r="O2" s="47" t="s">
        <v>640</v>
      </c>
      <c r="P2" s="48" t="s">
        <v>640</v>
      </c>
      <c r="Q2" s="47" t="s">
        <v>641</v>
      </c>
      <c r="R2" s="48" t="s">
        <v>641</v>
      </c>
      <c r="S2" s="47" t="s">
        <v>642</v>
      </c>
      <c r="T2" s="48" t="s">
        <v>642</v>
      </c>
      <c r="U2" s="47" t="s">
        <v>643</v>
      </c>
      <c r="V2" s="48" t="s">
        <v>643</v>
      </c>
      <c r="W2" s="47" t="s">
        <v>644</v>
      </c>
      <c r="X2" s="48" t="s">
        <v>644</v>
      </c>
      <c r="Y2" s="47" t="s">
        <v>645</v>
      </c>
      <c r="Z2" s="48" t="s">
        <v>645</v>
      </c>
      <c r="AA2" s="47" t="s">
        <v>646</v>
      </c>
      <c r="AB2" s="48" t="s">
        <v>646</v>
      </c>
      <c r="AC2" s="47" t="s">
        <v>647</v>
      </c>
      <c r="AD2" s="48" t="s">
        <v>647</v>
      </c>
      <c r="AE2" s="47" t="s">
        <v>648</v>
      </c>
      <c r="AF2" s="48" t="s">
        <v>648</v>
      </c>
      <c r="AG2" s="47" t="s">
        <v>649</v>
      </c>
      <c r="AH2" s="48" t="s">
        <v>649</v>
      </c>
      <c r="AI2" s="47" t="s">
        <v>650</v>
      </c>
      <c r="AJ2" s="48" t="s">
        <v>650</v>
      </c>
      <c r="AK2" s="47" t="s">
        <v>651</v>
      </c>
      <c r="AL2" s="48" t="s">
        <v>651</v>
      </c>
      <c r="AM2" s="47" t="s">
        <v>652</v>
      </c>
      <c r="AN2" s="48" t="s">
        <v>652</v>
      </c>
      <c r="AO2" s="47" t="s">
        <v>653</v>
      </c>
      <c r="AP2" s="48" t="s">
        <v>653</v>
      </c>
      <c r="AQ2" s="47" t="s">
        <v>654</v>
      </c>
      <c r="AR2" s="48" t="s">
        <v>654</v>
      </c>
      <c r="AS2" s="47" t="s">
        <v>655</v>
      </c>
      <c r="AT2" s="48" t="s">
        <v>655</v>
      </c>
      <c r="AU2" s="47" t="s">
        <v>656</v>
      </c>
      <c r="AV2" s="48" t="s">
        <v>656</v>
      </c>
      <c r="AW2" s="47" t="s">
        <v>657</v>
      </c>
      <c r="AX2" s="48" t="s">
        <v>657</v>
      </c>
      <c r="AY2" s="47" t="s">
        <v>658</v>
      </c>
      <c r="AZ2" s="48" t="s">
        <v>658</v>
      </c>
      <c r="BA2" s="47" t="s">
        <v>659</v>
      </c>
      <c r="BB2" s="48" t="s">
        <v>659</v>
      </c>
      <c r="BC2" s="47" t="s">
        <v>660</v>
      </c>
      <c r="BD2" s="48" t="s">
        <v>660</v>
      </c>
      <c r="BE2" s="47" t="s">
        <v>661</v>
      </c>
      <c r="BF2" s="48" t="s">
        <v>661</v>
      </c>
      <c r="BG2" s="47" t="s">
        <v>662</v>
      </c>
      <c r="BH2" s="48" t="s">
        <v>662</v>
      </c>
      <c r="BI2" s="47" t="s">
        <v>663</v>
      </c>
      <c r="BJ2" s="48" t="s">
        <v>663</v>
      </c>
      <c r="BK2" s="47" t="s">
        <v>664</v>
      </c>
      <c r="BL2" s="48" t="s">
        <v>664</v>
      </c>
      <c r="BM2" s="47" t="s">
        <v>665</v>
      </c>
      <c r="BN2" s="48" t="s">
        <v>665</v>
      </c>
      <c r="BO2" s="47" t="s">
        <v>666</v>
      </c>
      <c r="BP2" s="48" t="s">
        <v>666</v>
      </c>
      <c r="BQ2" s="47" t="s">
        <v>667</v>
      </c>
      <c r="BR2" s="48" t="s">
        <v>667</v>
      </c>
      <c r="BS2" s="47" t="s">
        <v>668</v>
      </c>
      <c r="BT2" s="48" t="s">
        <v>668</v>
      </c>
      <c r="BU2" s="47" t="s">
        <v>669</v>
      </c>
      <c r="BV2" s="48" t="s">
        <v>669</v>
      </c>
      <c r="BW2" s="47" t="s">
        <v>670</v>
      </c>
      <c r="BX2" s="48" t="s">
        <v>670</v>
      </c>
      <c r="BY2" s="47" t="s">
        <v>671</v>
      </c>
      <c r="BZ2" s="48" t="s">
        <v>671</v>
      </c>
      <c r="CA2" s="47" t="s">
        <v>672</v>
      </c>
      <c r="CB2" s="48" t="s">
        <v>672</v>
      </c>
      <c r="CC2" s="47" t="s">
        <v>673</v>
      </c>
      <c r="CD2" s="48" t="s">
        <v>673</v>
      </c>
      <c r="CE2" s="47" t="s">
        <v>674</v>
      </c>
      <c r="CF2" s="48" t="s">
        <v>674</v>
      </c>
      <c r="CG2" s="47" t="s">
        <v>675</v>
      </c>
      <c r="CH2" s="48" t="s">
        <v>675</v>
      </c>
      <c r="CI2" s="47" t="s">
        <v>676</v>
      </c>
      <c r="CJ2" s="48" t="s">
        <v>676</v>
      </c>
      <c r="CK2" s="47" t="s">
        <v>677</v>
      </c>
      <c r="CL2" s="48" t="s">
        <v>677</v>
      </c>
      <c r="CM2" s="47" t="s">
        <v>678</v>
      </c>
      <c r="CN2" s="48" t="s">
        <v>678</v>
      </c>
      <c r="CO2" s="47" t="s">
        <v>679</v>
      </c>
      <c r="CP2" s="48" t="s">
        <v>679</v>
      </c>
      <c r="CQ2" s="47" t="s">
        <v>680</v>
      </c>
      <c r="CR2" s="48" t="s">
        <v>680</v>
      </c>
      <c r="CS2" s="47" t="s">
        <v>681</v>
      </c>
      <c r="CT2" s="48" t="s">
        <v>681</v>
      </c>
      <c r="CU2" s="47" t="s">
        <v>682</v>
      </c>
      <c r="CV2" s="48" t="s">
        <v>682</v>
      </c>
      <c r="CW2" s="47" t="s">
        <v>683</v>
      </c>
      <c r="CX2" s="48" t="s">
        <v>683</v>
      </c>
      <c r="CY2" s="47" t="s">
        <v>684</v>
      </c>
      <c r="CZ2" s="48" t="s">
        <v>684</v>
      </c>
      <c r="DA2" s="47" t="s">
        <v>685</v>
      </c>
      <c r="DB2" s="48" t="s">
        <v>685</v>
      </c>
      <c r="DC2" s="47" t="s">
        <v>686</v>
      </c>
      <c r="DD2" s="48" t="s">
        <v>686</v>
      </c>
      <c r="DE2" s="47" t="s">
        <v>687</v>
      </c>
      <c r="DF2" s="48" t="s">
        <v>687</v>
      </c>
      <c r="DG2" s="47" t="s">
        <v>688</v>
      </c>
      <c r="DH2" s="48" t="s">
        <v>688</v>
      </c>
      <c r="DI2" s="47" t="s">
        <v>689</v>
      </c>
      <c r="DJ2" s="48" t="s">
        <v>689</v>
      </c>
      <c r="DK2" s="47" t="s">
        <v>690</v>
      </c>
      <c r="DL2" s="48" t="s">
        <v>690</v>
      </c>
      <c r="DM2" s="47" t="s">
        <v>691</v>
      </c>
      <c r="DN2" s="48" t="s">
        <v>691</v>
      </c>
      <c r="DO2" s="48" t="s">
        <v>692</v>
      </c>
      <c r="DP2" s="48" t="s">
        <v>692</v>
      </c>
      <c r="DQ2" s="48" t="s">
        <v>693</v>
      </c>
      <c r="DR2" s="48" t="s">
        <v>693</v>
      </c>
      <c r="DS2" s="48" t="s">
        <v>694</v>
      </c>
      <c r="DT2" s="48" t="s">
        <v>694</v>
      </c>
      <c r="DU2" s="48" t="s">
        <v>695</v>
      </c>
      <c r="DV2" s="48" t="s">
        <v>695</v>
      </c>
      <c r="DW2" s="48" t="s">
        <v>696</v>
      </c>
      <c r="DX2" s="48" t="s">
        <v>696</v>
      </c>
      <c r="DY2" s="48" t="s">
        <v>697</v>
      </c>
      <c r="DZ2" s="48" t="s">
        <v>697</v>
      </c>
      <c r="EA2" s="48" t="s">
        <v>698</v>
      </c>
      <c r="EB2" s="48" t="s">
        <v>698</v>
      </c>
      <c r="EC2" s="48" t="s">
        <v>699</v>
      </c>
      <c r="ED2" s="48" t="s">
        <v>699</v>
      </c>
      <c r="EE2" s="48" t="s">
        <v>700</v>
      </c>
      <c r="EF2" s="48" t="s">
        <v>700</v>
      </c>
      <c r="EG2" s="48" t="s">
        <v>701</v>
      </c>
      <c r="EH2" s="48" t="s">
        <v>701</v>
      </c>
      <c r="EI2" s="48" t="s">
        <v>702</v>
      </c>
      <c r="EJ2" s="48" t="s">
        <v>702</v>
      </c>
      <c r="EK2" s="47" t="s">
        <v>703</v>
      </c>
      <c r="EL2" s="48" t="s">
        <v>703</v>
      </c>
      <c r="EM2" s="49" t="s">
        <v>704</v>
      </c>
      <c r="EN2" s="48" t="s">
        <v>704</v>
      </c>
      <c r="EO2" s="47" t="s">
        <v>705</v>
      </c>
      <c r="EP2" s="48" t="s">
        <v>705</v>
      </c>
      <c r="EQ2" s="47" t="s">
        <v>706</v>
      </c>
      <c r="ER2" s="48" t="s">
        <v>706</v>
      </c>
      <c r="ES2" s="47" t="s">
        <v>707</v>
      </c>
      <c r="ET2" s="48" t="s">
        <v>707</v>
      </c>
      <c r="EU2" s="47" t="s">
        <v>708</v>
      </c>
      <c r="EV2" s="48" t="s">
        <v>708</v>
      </c>
      <c r="EW2" s="47" t="s">
        <v>709</v>
      </c>
      <c r="EX2" s="48" t="s">
        <v>709</v>
      </c>
      <c r="EY2" s="47" t="s">
        <v>710</v>
      </c>
      <c r="EZ2" s="48" t="s">
        <v>710</v>
      </c>
      <c r="FA2" s="47" t="s">
        <v>711</v>
      </c>
      <c r="FB2" s="48" t="s">
        <v>711</v>
      </c>
      <c r="FC2" s="47" t="s">
        <v>712</v>
      </c>
      <c r="FD2" s="48" t="s">
        <v>712</v>
      </c>
      <c r="FE2" s="47" t="s">
        <v>713</v>
      </c>
      <c r="FF2" s="48" t="s">
        <v>713</v>
      </c>
      <c r="FG2" s="47" t="s">
        <v>714</v>
      </c>
      <c r="FH2" s="48" t="s">
        <v>714</v>
      </c>
      <c r="FI2" s="47" t="s">
        <v>715</v>
      </c>
      <c r="FJ2" s="48" t="s">
        <v>715</v>
      </c>
      <c r="FK2" s="47" t="s">
        <v>716</v>
      </c>
      <c r="FL2" s="48" t="s">
        <v>716</v>
      </c>
      <c r="FM2" s="47" t="s">
        <v>717</v>
      </c>
      <c r="FN2" s="48" t="s">
        <v>717</v>
      </c>
      <c r="FO2" s="49" t="s">
        <v>718</v>
      </c>
      <c r="FP2" s="48" t="s">
        <v>718</v>
      </c>
      <c r="FQ2" s="49" t="s">
        <v>719</v>
      </c>
      <c r="FR2" s="48" t="s">
        <v>719</v>
      </c>
      <c r="FS2" s="49" t="s">
        <v>720</v>
      </c>
      <c r="FT2" s="48" t="s">
        <v>720</v>
      </c>
      <c r="FU2" s="49" t="s">
        <v>721</v>
      </c>
      <c r="FV2" s="48" t="s">
        <v>721</v>
      </c>
      <c r="FW2" s="49" t="s">
        <v>722</v>
      </c>
      <c r="FX2" s="48" t="s">
        <v>722</v>
      </c>
      <c r="FY2" s="49" t="s">
        <v>723</v>
      </c>
      <c r="FZ2" s="48" t="s">
        <v>723</v>
      </c>
      <c r="GA2" s="49" t="s">
        <v>724</v>
      </c>
      <c r="GB2" s="48" t="s">
        <v>724</v>
      </c>
      <c r="GC2" s="49" t="s">
        <v>725</v>
      </c>
      <c r="GD2" s="48" t="s">
        <v>725</v>
      </c>
      <c r="GE2" s="49" t="s">
        <v>726</v>
      </c>
      <c r="GF2" s="48" t="s">
        <v>726</v>
      </c>
      <c r="GG2" s="49" t="s">
        <v>727</v>
      </c>
      <c r="GH2" s="48" t="s">
        <v>727</v>
      </c>
      <c r="GI2" s="49" t="s">
        <v>728</v>
      </c>
      <c r="GJ2" s="48" t="s">
        <v>728</v>
      </c>
      <c r="GK2" s="49" t="s">
        <v>729</v>
      </c>
      <c r="GL2" s="48" t="s">
        <v>729</v>
      </c>
      <c r="GM2" s="49" t="s">
        <v>730</v>
      </c>
      <c r="GN2" s="48" t="s">
        <v>730</v>
      </c>
      <c r="GO2" s="49" t="s">
        <v>731</v>
      </c>
      <c r="GP2" s="48" t="s">
        <v>731</v>
      </c>
      <c r="GQ2" s="49" t="s">
        <v>732</v>
      </c>
      <c r="GR2" s="48" t="s">
        <v>732</v>
      </c>
      <c r="GS2" s="49" t="s">
        <v>733</v>
      </c>
      <c r="GT2" s="48" t="s">
        <v>733</v>
      </c>
      <c r="GU2" s="49" t="s">
        <v>734</v>
      </c>
      <c r="GV2" s="48" t="s">
        <v>734</v>
      </c>
      <c r="GW2" s="50" t="s">
        <v>735</v>
      </c>
      <c r="GX2" s="50" t="s">
        <v>735</v>
      </c>
      <c r="GY2" s="50" t="s">
        <v>736</v>
      </c>
      <c r="GZ2" s="50" t="s">
        <v>736</v>
      </c>
      <c r="HA2" s="50" t="s">
        <v>737</v>
      </c>
      <c r="HB2" s="50" t="s">
        <v>737</v>
      </c>
      <c r="HC2" s="50" t="s">
        <v>738</v>
      </c>
      <c r="HD2" s="50" t="s">
        <v>738</v>
      </c>
      <c r="HE2" s="50" t="s">
        <v>739</v>
      </c>
      <c r="HF2" s="50" t="s">
        <v>739</v>
      </c>
    </row>
    <row r="3" spans="1:215" s="52" customFormat="1" x14ac:dyDescent="0.25">
      <c r="A3" s="51"/>
      <c r="B3" s="51"/>
      <c r="C3" s="51" t="s">
        <v>740</v>
      </c>
      <c r="D3" s="51" t="s">
        <v>741</v>
      </c>
      <c r="E3" s="51" t="s">
        <v>740</v>
      </c>
      <c r="F3" s="51" t="s">
        <v>741</v>
      </c>
      <c r="G3" s="51" t="s">
        <v>740</v>
      </c>
      <c r="H3" s="51" t="s">
        <v>741</v>
      </c>
      <c r="I3" s="51" t="s">
        <v>740</v>
      </c>
      <c r="J3" s="51" t="s">
        <v>741</v>
      </c>
      <c r="K3" s="51" t="s">
        <v>740</v>
      </c>
      <c r="L3" s="51" t="s">
        <v>741</v>
      </c>
      <c r="M3" s="51" t="s">
        <v>740</v>
      </c>
      <c r="N3" s="51" t="s">
        <v>741</v>
      </c>
      <c r="O3" s="51" t="s">
        <v>740</v>
      </c>
      <c r="P3" s="51" t="s">
        <v>741</v>
      </c>
      <c r="Q3" s="51" t="s">
        <v>740</v>
      </c>
      <c r="R3" s="51" t="s">
        <v>741</v>
      </c>
      <c r="S3" s="51" t="s">
        <v>740</v>
      </c>
      <c r="T3" s="51" t="s">
        <v>741</v>
      </c>
      <c r="U3" s="51" t="s">
        <v>740</v>
      </c>
      <c r="V3" s="51" t="s">
        <v>741</v>
      </c>
      <c r="W3" s="51" t="s">
        <v>740</v>
      </c>
      <c r="X3" s="51" t="s">
        <v>741</v>
      </c>
      <c r="Y3" s="51" t="s">
        <v>740</v>
      </c>
      <c r="Z3" s="51" t="s">
        <v>741</v>
      </c>
      <c r="AA3" s="51" t="s">
        <v>740</v>
      </c>
      <c r="AB3" s="51" t="s">
        <v>741</v>
      </c>
      <c r="AC3" s="51" t="s">
        <v>740</v>
      </c>
      <c r="AD3" s="51" t="s">
        <v>741</v>
      </c>
      <c r="AE3" s="51" t="s">
        <v>740</v>
      </c>
      <c r="AF3" s="51" t="s">
        <v>741</v>
      </c>
      <c r="AG3" s="51" t="s">
        <v>740</v>
      </c>
      <c r="AH3" s="51" t="s">
        <v>741</v>
      </c>
      <c r="AI3" s="51" t="s">
        <v>740</v>
      </c>
      <c r="AJ3" s="51" t="s">
        <v>741</v>
      </c>
      <c r="AK3" s="51" t="s">
        <v>740</v>
      </c>
      <c r="AL3" s="51" t="s">
        <v>741</v>
      </c>
      <c r="AM3" s="51" t="s">
        <v>740</v>
      </c>
      <c r="AN3" s="51" t="s">
        <v>741</v>
      </c>
      <c r="AO3" s="51" t="s">
        <v>740</v>
      </c>
      <c r="AP3" s="51" t="s">
        <v>741</v>
      </c>
      <c r="AQ3" s="51" t="s">
        <v>740</v>
      </c>
      <c r="AR3" s="51" t="s">
        <v>741</v>
      </c>
      <c r="AS3" s="51" t="s">
        <v>740</v>
      </c>
      <c r="AT3" s="51" t="s">
        <v>741</v>
      </c>
      <c r="AU3" s="51" t="s">
        <v>740</v>
      </c>
      <c r="AV3" s="51" t="s">
        <v>741</v>
      </c>
      <c r="AW3" s="51" t="s">
        <v>740</v>
      </c>
      <c r="AX3" s="51" t="s">
        <v>741</v>
      </c>
      <c r="AY3" s="51" t="s">
        <v>740</v>
      </c>
      <c r="AZ3" s="51" t="s">
        <v>741</v>
      </c>
      <c r="BA3" s="51" t="s">
        <v>740</v>
      </c>
      <c r="BB3" s="51" t="s">
        <v>741</v>
      </c>
      <c r="BC3" s="51" t="s">
        <v>740</v>
      </c>
      <c r="BD3" s="51" t="s">
        <v>741</v>
      </c>
      <c r="BE3" s="51" t="s">
        <v>740</v>
      </c>
      <c r="BF3" s="51" t="s">
        <v>741</v>
      </c>
      <c r="BG3" s="51" t="s">
        <v>740</v>
      </c>
      <c r="BH3" s="51" t="s">
        <v>741</v>
      </c>
      <c r="BI3" s="51" t="s">
        <v>740</v>
      </c>
      <c r="BJ3" s="51" t="s">
        <v>741</v>
      </c>
      <c r="BK3" s="51" t="s">
        <v>740</v>
      </c>
      <c r="BL3" s="51" t="s">
        <v>741</v>
      </c>
      <c r="BM3" s="51" t="s">
        <v>740</v>
      </c>
      <c r="BN3" s="51" t="s">
        <v>741</v>
      </c>
      <c r="BO3" s="51" t="s">
        <v>740</v>
      </c>
      <c r="BP3" s="51" t="s">
        <v>741</v>
      </c>
      <c r="BQ3" s="51" t="s">
        <v>740</v>
      </c>
      <c r="BR3" s="51" t="s">
        <v>741</v>
      </c>
      <c r="BS3" s="51" t="s">
        <v>740</v>
      </c>
      <c r="BT3" s="51" t="s">
        <v>741</v>
      </c>
      <c r="BU3" s="51" t="s">
        <v>740</v>
      </c>
      <c r="BV3" s="51" t="s">
        <v>741</v>
      </c>
      <c r="BW3" s="51" t="s">
        <v>740</v>
      </c>
      <c r="BX3" s="51" t="s">
        <v>741</v>
      </c>
      <c r="BY3" s="51" t="s">
        <v>740</v>
      </c>
      <c r="BZ3" s="51" t="s">
        <v>741</v>
      </c>
      <c r="CA3" s="51" t="s">
        <v>740</v>
      </c>
      <c r="CB3" s="51" t="s">
        <v>741</v>
      </c>
      <c r="CC3" s="51" t="s">
        <v>740</v>
      </c>
      <c r="CD3" s="51" t="s">
        <v>741</v>
      </c>
      <c r="CE3" s="51" t="s">
        <v>740</v>
      </c>
      <c r="CF3" s="51" t="s">
        <v>741</v>
      </c>
      <c r="CG3" s="51" t="s">
        <v>740</v>
      </c>
      <c r="CH3" s="51" t="s">
        <v>741</v>
      </c>
      <c r="CI3" s="51" t="s">
        <v>740</v>
      </c>
      <c r="CJ3" s="51" t="s">
        <v>741</v>
      </c>
      <c r="CK3" s="51" t="s">
        <v>740</v>
      </c>
      <c r="CL3" s="51" t="s">
        <v>741</v>
      </c>
      <c r="CM3" s="51" t="s">
        <v>740</v>
      </c>
      <c r="CN3" s="51" t="s">
        <v>741</v>
      </c>
      <c r="CO3" s="51" t="s">
        <v>740</v>
      </c>
      <c r="CP3" s="51" t="s">
        <v>741</v>
      </c>
      <c r="CQ3" s="51" t="s">
        <v>740</v>
      </c>
      <c r="CR3" s="51" t="s">
        <v>741</v>
      </c>
      <c r="CS3" s="51" t="s">
        <v>740</v>
      </c>
      <c r="CT3" s="51" t="s">
        <v>741</v>
      </c>
      <c r="CU3" s="51" t="s">
        <v>740</v>
      </c>
      <c r="CV3" s="51" t="s">
        <v>741</v>
      </c>
      <c r="CW3" s="51" t="s">
        <v>740</v>
      </c>
      <c r="CX3" s="51" t="s">
        <v>741</v>
      </c>
      <c r="CY3" s="51" t="s">
        <v>740</v>
      </c>
      <c r="CZ3" s="51" t="s">
        <v>741</v>
      </c>
      <c r="DA3" s="51" t="s">
        <v>740</v>
      </c>
      <c r="DB3" s="51" t="s">
        <v>741</v>
      </c>
      <c r="DC3" s="51" t="s">
        <v>740</v>
      </c>
      <c r="DD3" s="51" t="s">
        <v>741</v>
      </c>
      <c r="DE3" s="51" t="s">
        <v>740</v>
      </c>
      <c r="DF3" s="51" t="s">
        <v>741</v>
      </c>
      <c r="DG3" s="51" t="s">
        <v>740</v>
      </c>
      <c r="DH3" s="51" t="s">
        <v>741</v>
      </c>
      <c r="DI3" s="51" t="s">
        <v>740</v>
      </c>
      <c r="DJ3" s="51" t="s">
        <v>741</v>
      </c>
      <c r="DK3" s="51" t="s">
        <v>740</v>
      </c>
      <c r="DL3" s="51" t="s">
        <v>741</v>
      </c>
      <c r="DM3" s="51" t="s">
        <v>740</v>
      </c>
      <c r="DN3" s="51" t="s">
        <v>741</v>
      </c>
      <c r="DO3" s="51" t="s">
        <v>740</v>
      </c>
      <c r="DP3" s="51" t="s">
        <v>741</v>
      </c>
      <c r="DQ3" s="51" t="s">
        <v>740</v>
      </c>
      <c r="DR3" s="51" t="s">
        <v>741</v>
      </c>
      <c r="DS3" s="51" t="s">
        <v>740</v>
      </c>
      <c r="DT3" s="51" t="s">
        <v>741</v>
      </c>
      <c r="DU3" s="51" t="s">
        <v>740</v>
      </c>
      <c r="DV3" s="51" t="s">
        <v>741</v>
      </c>
      <c r="DW3" s="51" t="s">
        <v>740</v>
      </c>
      <c r="DX3" s="51" t="s">
        <v>741</v>
      </c>
      <c r="DY3" s="51" t="s">
        <v>740</v>
      </c>
      <c r="DZ3" s="51" t="s">
        <v>741</v>
      </c>
      <c r="EA3" s="51" t="s">
        <v>740</v>
      </c>
      <c r="EB3" s="51" t="s">
        <v>741</v>
      </c>
      <c r="EC3" s="51" t="s">
        <v>740</v>
      </c>
      <c r="ED3" s="51" t="s">
        <v>741</v>
      </c>
      <c r="EE3" s="51" t="s">
        <v>740</v>
      </c>
      <c r="EF3" s="51" t="s">
        <v>741</v>
      </c>
      <c r="EG3" s="51" t="s">
        <v>740</v>
      </c>
      <c r="EH3" s="51" t="s">
        <v>741</v>
      </c>
      <c r="EI3" s="51" t="s">
        <v>740</v>
      </c>
      <c r="EJ3" s="51" t="s">
        <v>741</v>
      </c>
      <c r="EK3" s="51" t="s">
        <v>740</v>
      </c>
      <c r="EL3" s="51" t="s">
        <v>741</v>
      </c>
      <c r="EM3" s="51" t="s">
        <v>740</v>
      </c>
      <c r="EN3" s="51" t="s">
        <v>741</v>
      </c>
      <c r="EO3" s="51" t="s">
        <v>740</v>
      </c>
      <c r="EP3" s="51" t="s">
        <v>741</v>
      </c>
      <c r="EQ3" s="51" t="s">
        <v>740</v>
      </c>
      <c r="ER3" s="51" t="s">
        <v>741</v>
      </c>
      <c r="ES3" s="51" t="s">
        <v>740</v>
      </c>
      <c r="ET3" s="51" t="s">
        <v>741</v>
      </c>
      <c r="EU3" s="51" t="s">
        <v>740</v>
      </c>
      <c r="EV3" s="51" t="s">
        <v>741</v>
      </c>
      <c r="EW3" s="51" t="s">
        <v>740</v>
      </c>
      <c r="EX3" s="51" t="s">
        <v>741</v>
      </c>
      <c r="EY3" s="51" t="s">
        <v>740</v>
      </c>
      <c r="EZ3" s="51" t="s">
        <v>741</v>
      </c>
      <c r="FA3" s="51" t="s">
        <v>740</v>
      </c>
      <c r="FB3" s="51" t="s">
        <v>741</v>
      </c>
      <c r="FC3" s="51" t="s">
        <v>740</v>
      </c>
      <c r="FD3" s="51" t="s">
        <v>741</v>
      </c>
      <c r="FE3" s="51" t="s">
        <v>740</v>
      </c>
      <c r="FF3" s="51" t="s">
        <v>741</v>
      </c>
      <c r="FG3" s="51" t="s">
        <v>740</v>
      </c>
      <c r="FH3" s="51" t="s">
        <v>741</v>
      </c>
      <c r="FI3" s="51" t="s">
        <v>740</v>
      </c>
      <c r="FJ3" s="51" t="s">
        <v>741</v>
      </c>
      <c r="FK3" s="51" t="s">
        <v>740</v>
      </c>
      <c r="FL3" s="51" t="s">
        <v>741</v>
      </c>
      <c r="FM3" s="51" t="s">
        <v>740</v>
      </c>
      <c r="FN3" s="51" t="s">
        <v>741</v>
      </c>
      <c r="FO3" s="51" t="s">
        <v>740</v>
      </c>
      <c r="FP3" s="51" t="s">
        <v>741</v>
      </c>
      <c r="FQ3" s="51" t="s">
        <v>740</v>
      </c>
      <c r="FR3" s="51" t="s">
        <v>741</v>
      </c>
      <c r="FS3" s="51" t="s">
        <v>740</v>
      </c>
      <c r="FT3" s="51" t="s">
        <v>741</v>
      </c>
      <c r="FU3" s="51" t="s">
        <v>740</v>
      </c>
      <c r="FV3" s="51" t="s">
        <v>741</v>
      </c>
      <c r="FW3" s="51" t="s">
        <v>740</v>
      </c>
      <c r="FX3" s="51" t="s">
        <v>741</v>
      </c>
      <c r="FY3" s="51" t="s">
        <v>740</v>
      </c>
      <c r="FZ3" s="51" t="s">
        <v>741</v>
      </c>
      <c r="GA3" s="51" t="s">
        <v>740</v>
      </c>
      <c r="GB3" s="51" t="s">
        <v>741</v>
      </c>
      <c r="GC3" s="51" t="s">
        <v>740</v>
      </c>
      <c r="GD3" s="51" t="s">
        <v>741</v>
      </c>
      <c r="GE3" s="51" t="s">
        <v>740</v>
      </c>
      <c r="GF3" s="51" t="s">
        <v>741</v>
      </c>
      <c r="GG3" s="51" t="s">
        <v>740</v>
      </c>
      <c r="GH3" s="51" t="s">
        <v>741</v>
      </c>
      <c r="GI3" s="51" t="s">
        <v>740</v>
      </c>
      <c r="GJ3" s="51" t="s">
        <v>741</v>
      </c>
      <c r="GK3" s="51" t="s">
        <v>740</v>
      </c>
      <c r="GL3" s="51" t="s">
        <v>741</v>
      </c>
      <c r="GM3" s="51" t="s">
        <v>740</v>
      </c>
      <c r="GN3" s="51" t="s">
        <v>741</v>
      </c>
      <c r="GO3" s="51" t="s">
        <v>740</v>
      </c>
      <c r="GP3" s="51" t="s">
        <v>741</v>
      </c>
      <c r="GQ3" s="51" t="s">
        <v>740</v>
      </c>
      <c r="GR3" s="51" t="s">
        <v>741</v>
      </c>
      <c r="GS3" s="51" t="s">
        <v>740</v>
      </c>
      <c r="GT3" s="51" t="s">
        <v>741</v>
      </c>
      <c r="GU3" s="51" t="s">
        <v>740</v>
      </c>
      <c r="GV3" s="51" t="s">
        <v>741</v>
      </c>
      <c r="GW3" s="52" t="s">
        <v>740</v>
      </c>
      <c r="GX3" s="52" t="s">
        <v>741</v>
      </c>
      <c r="GY3" s="52" t="s">
        <v>740</v>
      </c>
      <c r="GZ3" s="52" t="s">
        <v>741</v>
      </c>
      <c r="HA3" s="52" t="s">
        <v>740</v>
      </c>
      <c r="HB3" s="52" t="s">
        <v>741</v>
      </c>
      <c r="HC3" s="52" t="s">
        <v>740</v>
      </c>
      <c r="HD3" s="52" t="s">
        <v>741</v>
      </c>
      <c r="HE3" s="52" t="s">
        <v>740</v>
      </c>
      <c r="HF3" s="52" t="s">
        <v>741</v>
      </c>
    </row>
    <row r="4" spans="1:215" s="10" customFormat="1" x14ac:dyDescent="0.25">
      <c r="A4" s="53" t="s">
        <v>742</v>
      </c>
      <c r="B4" s="54" t="s">
        <v>743</v>
      </c>
      <c r="C4" s="55">
        <v>52</v>
      </c>
      <c r="D4" s="56">
        <v>120</v>
      </c>
      <c r="E4" s="55">
        <v>41</v>
      </c>
      <c r="F4" s="56">
        <v>125</v>
      </c>
      <c r="G4" s="55">
        <v>41</v>
      </c>
      <c r="H4" s="56">
        <v>120</v>
      </c>
      <c r="I4" s="55">
        <v>52</v>
      </c>
      <c r="J4" s="56">
        <v>123</v>
      </c>
      <c r="K4" s="55">
        <v>44</v>
      </c>
      <c r="L4" s="56">
        <v>130</v>
      </c>
      <c r="M4" s="55">
        <v>60</v>
      </c>
      <c r="N4" s="56">
        <v>123</v>
      </c>
      <c r="O4" s="55">
        <v>33</v>
      </c>
      <c r="P4" s="56">
        <v>130</v>
      </c>
      <c r="Q4" s="55">
        <v>47</v>
      </c>
      <c r="R4" s="56">
        <v>130</v>
      </c>
      <c r="S4" s="55">
        <v>41</v>
      </c>
      <c r="T4" s="56">
        <v>130</v>
      </c>
      <c r="U4" s="55">
        <v>44</v>
      </c>
      <c r="V4" s="56">
        <v>135</v>
      </c>
      <c r="W4" s="55">
        <v>37</v>
      </c>
      <c r="X4" s="56">
        <v>130</v>
      </c>
      <c r="Y4" s="55">
        <v>41</v>
      </c>
      <c r="Z4" s="56">
        <v>150</v>
      </c>
      <c r="AA4" s="55">
        <v>50</v>
      </c>
      <c r="AB4" s="56">
        <v>150</v>
      </c>
      <c r="AC4" s="55">
        <v>41</v>
      </c>
      <c r="AD4" s="56">
        <v>155</v>
      </c>
      <c r="AE4" s="55">
        <v>49</v>
      </c>
      <c r="AF4" s="56">
        <v>160</v>
      </c>
      <c r="AG4" s="55">
        <v>60</v>
      </c>
      <c r="AH4" s="56">
        <v>170</v>
      </c>
      <c r="AI4" s="55">
        <v>51</v>
      </c>
      <c r="AJ4" s="56">
        <v>170</v>
      </c>
      <c r="AK4" s="55">
        <v>46</v>
      </c>
      <c r="AL4" s="56">
        <v>173</v>
      </c>
      <c r="AM4" s="55">
        <v>60</v>
      </c>
      <c r="AN4" s="56">
        <v>173</v>
      </c>
      <c r="AO4" s="55">
        <v>49</v>
      </c>
      <c r="AP4" s="56">
        <v>180</v>
      </c>
      <c r="AQ4" s="55">
        <v>45</v>
      </c>
      <c r="AR4" s="56">
        <v>170</v>
      </c>
      <c r="AS4" s="55">
        <v>58</v>
      </c>
      <c r="AT4" s="56">
        <v>175</v>
      </c>
      <c r="AU4" s="55">
        <v>52</v>
      </c>
      <c r="AV4" s="56">
        <v>180</v>
      </c>
      <c r="AW4" s="55">
        <v>53</v>
      </c>
      <c r="AX4" s="56">
        <v>175</v>
      </c>
      <c r="AY4" s="55">
        <v>65</v>
      </c>
      <c r="AZ4" s="56">
        <v>175</v>
      </c>
      <c r="BA4" s="55">
        <v>57</v>
      </c>
      <c r="BB4" s="56">
        <v>180</v>
      </c>
      <c r="BC4" s="55">
        <v>47</v>
      </c>
      <c r="BD4" s="56">
        <v>180</v>
      </c>
      <c r="BE4" s="55">
        <v>48</v>
      </c>
      <c r="BF4" s="56">
        <v>190</v>
      </c>
      <c r="BG4" s="55">
        <v>59</v>
      </c>
      <c r="BH4" s="56">
        <v>185</v>
      </c>
      <c r="BI4" s="55">
        <v>47</v>
      </c>
      <c r="BJ4" s="56">
        <v>180</v>
      </c>
      <c r="BK4" s="55">
        <v>44</v>
      </c>
      <c r="BL4" s="56">
        <v>185</v>
      </c>
      <c r="BM4" s="55">
        <v>45</v>
      </c>
      <c r="BN4" s="56">
        <v>185</v>
      </c>
      <c r="BO4" s="55">
        <v>47</v>
      </c>
      <c r="BP4" s="56">
        <v>185</v>
      </c>
      <c r="BQ4" s="55">
        <v>47</v>
      </c>
      <c r="BR4" s="56">
        <v>185</v>
      </c>
      <c r="BS4" s="55">
        <v>44</v>
      </c>
      <c r="BT4" s="56">
        <v>200</v>
      </c>
      <c r="BU4" s="55">
        <v>65</v>
      </c>
      <c r="BV4" s="56">
        <v>200</v>
      </c>
      <c r="BW4" s="55">
        <v>60</v>
      </c>
      <c r="BX4" s="56">
        <v>200</v>
      </c>
      <c r="BY4" s="55">
        <v>65</v>
      </c>
      <c r="BZ4" s="56">
        <v>205</v>
      </c>
      <c r="CA4" s="55">
        <v>54</v>
      </c>
      <c r="CB4" s="56">
        <v>220</v>
      </c>
      <c r="CC4" s="55">
        <v>60</v>
      </c>
      <c r="CD4" s="56">
        <v>200</v>
      </c>
      <c r="CE4" s="55">
        <v>54</v>
      </c>
      <c r="CF4" s="56">
        <v>225</v>
      </c>
      <c r="CG4" s="55">
        <v>70</v>
      </c>
      <c r="CH4" s="56">
        <v>210</v>
      </c>
      <c r="CI4" s="55">
        <v>60</v>
      </c>
      <c r="CJ4" s="56">
        <v>225</v>
      </c>
      <c r="CK4" s="55">
        <v>54</v>
      </c>
      <c r="CL4" s="56">
        <v>230</v>
      </c>
      <c r="CM4" s="55">
        <v>75</v>
      </c>
      <c r="CN4" s="56">
        <v>220</v>
      </c>
      <c r="CO4" s="55">
        <v>61</v>
      </c>
      <c r="CP4" s="56">
        <v>230</v>
      </c>
      <c r="CQ4" s="55">
        <v>51</v>
      </c>
      <c r="CR4" s="56">
        <v>225</v>
      </c>
      <c r="CS4" s="55">
        <v>64</v>
      </c>
      <c r="CT4" s="56">
        <v>240</v>
      </c>
      <c r="CU4" s="55">
        <v>68</v>
      </c>
      <c r="CV4" s="56">
        <v>240</v>
      </c>
      <c r="CW4" s="55">
        <v>66</v>
      </c>
      <c r="CX4" s="56">
        <v>250</v>
      </c>
      <c r="CY4" s="55">
        <v>66</v>
      </c>
      <c r="CZ4" s="56">
        <v>250</v>
      </c>
      <c r="DA4" s="55">
        <v>61</v>
      </c>
      <c r="DB4" s="56">
        <v>235</v>
      </c>
      <c r="DC4" s="55">
        <v>57</v>
      </c>
      <c r="DD4" s="56">
        <v>270</v>
      </c>
      <c r="DE4" s="55">
        <v>65</v>
      </c>
      <c r="DF4" s="56">
        <v>260</v>
      </c>
      <c r="DG4" s="55">
        <v>58</v>
      </c>
      <c r="DH4" s="56">
        <v>255</v>
      </c>
      <c r="DI4" s="55">
        <v>70</v>
      </c>
      <c r="DJ4" s="56">
        <v>250</v>
      </c>
      <c r="DK4" s="55">
        <v>53</v>
      </c>
      <c r="DL4" s="56">
        <v>260</v>
      </c>
      <c r="DM4" s="55">
        <v>66</v>
      </c>
      <c r="DN4" s="56">
        <v>267</v>
      </c>
      <c r="DO4" s="55">
        <v>86</v>
      </c>
      <c r="DP4" s="56">
        <v>270</v>
      </c>
      <c r="DQ4" s="55">
        <v>71</v>
      </c>
      <c r="DR4" s="56">
        <v>260</v>
      </c>
      <c r="DS4" s="55">
        <v>64</v>
      </c>
      <c r="DT4" s="56">
        <v>255</v>
      </c>
      <c r="DU4" s="55">
        <v>67</v>
      </c>
      <c r="DV4" s="56">
        <v>265</v>
      </c>
      <c r="DW4" s="55">
        <v>63</v>
      </c>
      <c r="DX4" s="56">
        <v>270</v>
      </c>
      <c r="DY4" s="55">
        <v>72</v>
      </c>
      <c r="DZ4" s="56">
        <v>260</v>
      </c>
      <c r="EA4" s="55">
        <v>65</v>
      </c>
      <c r="EB4" s="56">
        <v>270</v>
      </c>
      <c r="EC4" s="55">
        <v>62</v>
      </c>
      <c r="ED4" s="56">
        <v>280</v>
      </c>
      <c r="EE4" s="55">
        <v>71</v>
      </c>
      <c r="EF4" s="56">
        <v>280</v>
      </c>
      <c r="EG4" s="55">
        <v>83</v>
      </c>
      <c r="EH4" s="56">
        <v>280</v>
      </c>
      <c r="EI4" s="55">
        <v>72</v>
      </c>
      <c r="EJ4" s="56">
        <v>280</v>
      </c>
      <c r="EK4" s="55">
        <v>75</v>
      </c>
      <c r="EL4" s="56">
        <v>280</v>
      </c>
      <c r="EM4" s="55">
        <v>71</v>
      </c>
      <c r="EN4" s="56">
        <v>280</v>
      </c>
      <c r="EO4" s="55">
        <v>63</v>
      </c>
      <c r="EP4" s="56">
        <v>285</v>
      </c>
      <c r="EQ4" s="55">
        <v>76</v>
      </c>
      <c r="ER4" s="56">
        <v>285</v>
      </c>
      <c r="ES4" s="55">
        <v>68</v>
      </c>
      <c r="ET4" s="56">
        <v>290</v>
      </c>
      <c r="EU4" s="55">
        <v>56</v>
      </c>
      <c r="EV4" s="56">
        <v>300</v>
      </c>
      <c r="EW4" s="55">
        <v>77</v>
      </c>
      <c r="EX4" s="56">
        <v>290</v>
      </c>
      <c r="EY4" s="55">
        <v>55</v>
      </c>
      <c r="EZ4" s="56">
        <v>310</v>
      </c>
      <c r="FA4" s="55">
        <v>64</v>
      </c>
      <c r="FB4" s="56">
        <v>305</v>
      </c>
      <c r="FC4" s="55">
        <v>47</v>
      </c>
      <c r="FD4" s="56">
        <v>310</v>
      </c>
      <c r="FE4" s="55">
        <v>56</v>
      </c>
      <c r="FF4" s="56">
        <v>320</v>
      </c>
      <c r="FG4" s="55">
        <v>63</v>
      </c>
      <c r="FH4" s="56">
        <v>335</v>
      </c>
      <c r="FI4" s="55">
        <v>56</v>
      </c>
      <c r="FJ4" s="56">
        <v>318</v>
      </c>
      <c r="FK4" s="55">
        <v>64</v>
      </c>
      <c r="FL4" s="56">
        <v>320</v>
      </c>
      <c r="FM4" s="55">
        <v>69</v>
      </c>
      <c r="FN4" s="56">
        <v>325</v>
      </c>
      <c r="FO4" s="55">
        <v>45</v>
      </c>
      <c r="FP4" s="56">
        <v>320</v>
      </c>
      <c r="FQ4" s="55">
        <v>75</v>
      </c>
      <c r="FR4" s="56">
        <v>350</v>
      </c>
      <c r="FS4" s="55">
        <v>44</v>
      </c>
      <c r="FT4" s="56">
        <v>348</v>
      </c>
      <c r="FU4" s="55">
        <v>47</v>
      </c>
      <c r="FV4" s="56">
        <v>350</v>
      </c>
      <c r="FW4" s="55">
        <v>47</v>
      </c>
      <c r="FX4" s="56">
        <v>350</v>
      </c>
      <c r="FY4" s="55">
        <v>36</v>
      </c>
      <c r="FZ4" s="56">
        <v>360</v>
      </c>
      <c r="GA4" s="55">
        <v>46</v>
      </c>
      <c r="GB4" s="56">
        <v>400</v>
      </c>
      <c r="GC4" s="55">
        <v>42</v>
      </c>
      <c r="GD4" s="56">
        <v>393</v>
      </c>
      <c r="GE4" s="55">
        <v>44</v>
      </c>
      <c r="GF4" s="56">
        <v>390</v>
      </c>
      <c r="GG4" s="55">
        <v>34</v>
      </c>
      <c r="GH4" s="56">
        <v>420</v>
      </c>
      <c r="GI4" s="55">
        <v>39</v>
      </c>
      <c r="GJ4" s="56">
        <v>400</v>
      </c>
      <c r="GK4" s="55">
        <v>40</v>
      </c>
      <c r="GL4" s="56">
        <v>440</v>
      </c>
      <c r="GM4" s="55">
        <v>50</v>
      </c>
      <c r="GN4" s="56">
        <v>440</v>
      </c>
      <c r="GO4" s="55">
        <v>54</v>
      </c>
      <c r="GP4" s="56">
        <v>440</v>
      </c>
      <c r="GQ4" s="55">
        <v>31</v>
      </c>
      <c r="GR4" s="56">
        <v>450</v>
      </c>
      <c r="GS4" s="55">
        <v>49</v>
      </c>
      <c r="GT4" s="56">
        <v>450</v>
      </c>
      <c r="GU4" s="55">
        <v>51</v>
      </c>
      <c r="GV4" s="56">
        <v>430</v>
      </c>
      <c r="GW4" s="55">
        <v>44</v>
      </c>
      <c r="GX4" s="56">
        <v>440</v>
      </c>
      <c r="GY4" s="55">
        <v>42</v>
      </c>
      <c r="GZ4" s="56">
        <v>430</v>
      </c>
      <c r="HA4" s="7">
        <v>36</v>
      </c>
      <c r="HB4" s="56">
        <v>470</v>
      </c>
      <c r="HC4" s="7">
        <v>43</v>
      </c>
      <c r="HD4" s="56">
        <v>460</v>
      </c>
      <c r="HE4" s="7">
        <v>32</v>
      </c>
      <c r="HF4" s="56">
        <v>475</v>
      </c>
    </row>
    <row r="5" spans="1:215" x14ac:dyDescent="0.25">
      <c r="A5" s="53"/>
      <c r="B5" s="54" t="s">
        <v>744</v>
      </c>
      <c r="C5" s="55">
        <v>23</v>
      </c>
      <c r="D5" s="56">
        <v>100</v>
      </c>
      <c r="E5" s="55">
        <v>24</v>
      </c>
      <c r="F5" s="56">
        <v>100</v>
      </c>
      <c r="G5" s="55">
        <v>26</v>
      </c>
      <c r="H5" s="56">
        <v>110</v>
      </c>
      <c r="I5" s="55">
        <v>29</v>
      </c>
      <c r="J5" s="56">
        <v>100</v>
      </c>
      <c r="K5" s="55">
        <v>25</v>
      </c>
      <c r="L5" s="56">
        <v>110</v>
      </c>
      <c r="M5" s="55">
        <v>30</v>
      </c>
      <c r="N5" s="56">
        <v>120</v>
      </c>
      <c r="O5" s="55">
        <v>17</v>
      </c>
      <c r="P5" s="56">
        <v>100</v>
      </c>
      <c r="Q5" s="55">
        <v>25</v>
      </c>
      <c r="R5" s="56">
        <v>100</v>
      </c>
      <c r="S5" s="55">
        <v>11</v>
      </c>
      <c r="T5" s="56">
        <v>110</v>
      </c>
      <c r="U5" s="55">
        <v>26</v>
      </c>
      <c r="V5" s="56">
        <v>110</v>
      </c>
      <c r="W5" s="55">
        <v>23</v>
      </c>
      <c r="X5" s="56">
        <v>110</v>
      </c>
      <c r="Y5" s="55">
        <v>14</v>
      </c>
      <c r="Z5" s="56">
        <v>120</v>
      </c>
      <c r="AA5" s="55">
        <v>22</v>
      </c>
      <c r="AB5" s="56">
        <v>110</v>
      </c>
      <c r="AC5" s="55">
        <v>23</v>
      </c>
      <c r="AD5" s="56">
        <v>110</v>
      </c>
      <c r="AE5" s="55">
        <v>21</v>
      </c>
      <c r="AF5" s="56">
        <v>120</v>
      </c>
      <c r="AG5" s="55">
        <v>23</v>
      </c>
      <c r="AH5" s="56">
        <v>125</v>
      </c>
      <c r="AI5" s="55">
        <v>16</v>
      </c>
      <c r="AJ5" s="56">
        <v>123</v>
      </c>
      <c r="AK5" s="55">
        <v>32</v>
      </c>
      <c r="AL5" s="56">
        <v>120</v>
      </c>
      <c r="AM5" s="55">
        <v>26</v>
      </c>
      <c r="AN5" s="56">
        <v>133</v>
      </c>
      <c r="AO5" s="55">
        <v>25</v>
      </c>
      <c r="AP5" s="56">
        <v>125</v>
      </c>
      <c r="AQ5" s="55">
        <v>27</v>
      </c>
      <c r="AR5" s="56">
        <v>140</v>
      </c>
      <c r="AS5" s="55">
        <v>27</v>
      </c>
      <c r="AT5" s="56">
        <v>145</v>
      </c>
      <c r="AU5" s="55">
        <v>29</v>
      </c>
      <c r="AV5" s="56">
        <v>145</v>
      </c>
      <c r="AW5" s="55">
        <v>40</v>
      </c>
      <c r="AX5" s="56">
        <v>173</v>
      </c>
      <c r="AY5" s="55">
        <v>32</v>
      </c>
      <c r="AZ5" s="56">
        <v>143</v>
      </c>
      <c r="BA5" s="55">
        <v>49</v>
      </c>
      <c r="BB5" s="56">
        <v>150</v>
      </c>
      <c r="BC5" s="55">
        <v>37</v>
      </c>
      <c r="BD5" s="56">
        <v>150</v>
      </c>
      <c r="BE5" s="55">
        <v>39</v>
      </c>
      <c r="BF5" s="56">
        <v>190</v>
      </c>
      <c r="BG5" s="55">
        <v>35</v>
      </c>
      <c r="BH5" s="56">
        <v>160</v>
      </c>
      <c r="BI5" s="55">
        <v>44</v>
      </c>
      <c r="BJ5" s="56">
        <v>188</v>
      </c>
      <c r="BK5" s="55">
        <v>46</v>
      </c>
      <c r="BL5" s="56">
        <v>160</v>
      </c>
      <c r="BM5" s="55">
        <v>43</v>
      </c>
      <c r="BN5" s="56">
        <v>180</v>
      </c>
      <c r="BO5" s="55">
        <v>29</v>
      </c>
      <c r="BP5" s="56">
        <v>180</v>
      </c>
      <c r="BQ5" s="55">
        <v>48</v>
      </c>
      <c r="BR5" s="56">
        <v>168</v>
      </c>
      <c r="BS5" s="55">
        <v>45</v>
      </c>
      <c r="BT5" s="56">
        <v>165</v>
      </c>
      <c r="BU5" s="55">
        <v>41</v>
      </c>
      <c r="BV5" s="56">
        <v>165</v>
      </c>
      <c r="BW5" s="55">
        <v>52</v>
      </c>
      <c r="BX5" s="56">
        <v>170</v>
      </c>
      <c r="BY5" s="55">
        <v>39</v>
      </c>
      <c r="BZ5" s="56">
        <v>190</v>
      </c>
      <c r="CA5" s="55">
        <v>27</v>
      </c>
      <c r="CB5" s="56">
        <v>175</v>
      </c>
      <c r="CC5" s="55">
        <v>56</v>
      </c>
      <c r="CD5" s="56">
        <v>188</v>
      </c>
      <c r="CE5" s="55">
        <v>34</v>
      </c>
      <c r="CF5" s="56">
        <v>180</v>
      </c>
      <c r="CG5" s="55">
        <v>51</v>
      </c>
      <c r="CH5" s="56">
        <v>200</v>
      </c>
      <c r="CI5" s="55">
        <v>47</v>
      </c>
      <c r="CJ5" s="56">
        <v>190</v>
      </c>
      <c r="CK5" s="55">
        <v>56</v>
      </c>
      <c r="CL5" s="56">
        <v>200</v>
      </c>
      <c r="CM5" s="55">
        <v>29</v>
      </c>
      <c r="CN5" s="56">
        <v>200</v>
      </c>
      <c r="CO5" s="55">
        <v>47</v>
      </c>
      <c r="CP5" s="56">
        <v>200</v>
      </c>
      <c r="CQ5" s="55">
        <v>37</v>
      </c>
      <c r="CR5" s="56">
        <v>200</v>
      </c>
      <c r="CS5" s="55">
        <v>43</v>
      </c>
      <c r="CT5" s="56">
        <v>200</v>
      </c>
      <c r="CU5" s="55">
        <v>46</v>
      </c>
      <c r="CV5" s="56">
        <v>210</v>
      </c>
      <c r="CW5" s="55">
        <v>41</v>
      </c>
      <c r="CX5" s="56">
        <v>220</v>
      </c>
      <c r="CY5" s="55">
        <v>33</v>
      </c>
      <c r="CZ5" s="56">
        <v>220</v>
      </c>
      <c r="DA5" s="55">
        <v>51</v>
      </c>
      <c r="DB5" s="56">
        <v>220</v>
      </c>
      <c r="DC5" s="55">
        <v>36</v>
      </c>
      <c r="DD5" s="56">
        <v>213</v>
      </c>
      <c r="DE5" s="55">
        <v>42</v>
      </c>
      <c r="DF5" s="56">
        <v>200</v>
      </c>
      <c r="DG5" s="55">
        <v>33</v>
      </c>
      <c r="DH5" s="56">
        <v>220</v>
      </c>
      <c r="DI5" s="55">
        <v>48</v>
      </c>
      <c r="DJ5" s="56">
        <v>223</v>
      </c>
      <c r="DK5" s="55">
        <v>35</v>
      </c>
      <c r="DL5" s="56">
        <v>200</v>
      </c>
      <c r="DM5" s="55">
        <v>42</v>
      </c>
      <c r="DN5" s="56">
        <v>220</v>
      </c>
      <c r="DO5" s="55">
        <v>36</v>
      </c>
      <c r="DP5" s="56">
        <v>220</v>
      </c>
      <c r="DQ5" s="55">
        <v>46</v>
      </c>
      <c r="DR5" s="56">
        <v>235</v>
      </c>
      <c r="DS5" s="55">
        <v>44</v>
      </c>
      <c r="DT5" s="56">
        <v>220</v>
      </c>
      <c r="DU5" s="55">
        <v>42</v>
      </c>
      <c r="DV5" s="56">
        <v>210</v>
      </c>
      <c r="DW5" s="55">
        <v>28</v>
      </c>
      <c r="DX5" s="56">
        <v>230</v>
      </c>
      <c r="DY5" s="55">
        <v>40</v>
      </c>
      <c r="DZ5" s="56">
        <v>220</v>
      </c>
      <c r="EA5" s="55">
        <v>43</v>
      </c>
      <c r="EB5" s="56">
        <v>230</v>
      </c>
      <c r="EC5" s="55">
        <v>34</v>
      </c>
      <c r="ED5" s="56">
        <v>220</v>
      </c>
      <c r="EE5" s="55">
        <v>39</v>
      </c>
      <c r="EF5" s="56">
        <v>240</v>
      </c>
      <c r="EG5" s="55">
        <v>33</v>
      </c>
      <c r="EH5" s="56">
        <v>250</v>
      </c>
      <c r="EI5" s="55">
        <v>47</v>
      </c>
      <c r="EJ5" s="56">
        <v>240</v>
      </c>
      <c r="EK5" s="55">
        <v>51</v>
      </c>
      <c r="EL5" s="56">
        <v>245</v>
      </c>
      <c r="EM5" s="55">
        <v>45</v>
      </c>
      <c r="EN5" s="56">
        <v>250</v>
      </c>
      <c r="EO5" s="55">
        <v>58</v>
      </c>
      <c r="EP5" s="56">
        <v>250</v>
      </c>
      <c r="EQ5" s="55">
        <v>37</v>
      </c>
      <c r="ER5" s="56">
        <v>255</v>
      </c>
      <c r="ES5" s="55">
        <v>41</v>
      </c>
      <c r="ET5" s="56">
        <v>250</v>
      </c>
      <c r="EU5" s="55">
        <v>30</v>
      </c>
      <c r="EV5" s="56">
        <v>243</v>
      </c>
      <c r="EW5" s="55">
        <v>42</v>
      </c>
      <c r="EX5" s="56">
        <v>250</v>
      </c>
      <c r="EY5" s="55">
        <v>40</v>
      </c>
      <c r="EZ5" s="56">
        <v>250</v>
      </c>
      <c r="FA5" s="55">
        <v>34</v>
      </c>
      <c r="FB5" s="56">
        <v>245</v>
      </c>
      <c r="FC5" s="55">
        <v>31</v>
      </c>
      <c r="FD5" s="56">
        <v>270</v>
      </c>
      <c r="FE5" s="55">
        <v>37</v>
      </c>
      <c r="FF5" s="56">
        <v>270</v>
      </c>
      <c r="FG5" s="55">
        <v>26</v>
      </c>
      <c r="FH5" s="56">
        <v>275</v>
      </c>
      <c r="FI5" s="55">
        <v>29</v>
      </c>
      <c r="FJ5" s="56">
        <v>260</v>
      </c>
      <c r="FK5" s="55">
        <v>33</v>
      </c>
      <c r="FL5" s="56">
        <v>270</v>
      </c>
      <c r="FM5" s="55">
        <v>39</v>
      </c>
      <c r="FN5" s="56">
        <v>300</v>
      </c>
      <c r="FO5" s="55">
        <v>29</v>
      </c>
      <c r="FP5" s="56">
        <v>275</v>
      </c>
      <c r="FQ5" s="55">
        <v>48</v>
      </c>
      <c r="FR5" s="56">
        <v>285</v>
      </c>
      <c r="FS5" s="55">
        <v>24</v>
      </c>
      <c r="FT5" s="56">
        <v>300</v>
      </c>
      <c r="FU5" s="55">
        <v>29</v>
      </c>
      <c r="FV5" s="56">
        <v>320</v>
      </c>
      <c r="FW5" s="55">
        <v>21</v>
      </c>
      <c r="FX5" s="56">
        <v>285</v>
      </c>
      <c r="FY5" s="55">
        <v>29</v>
      </c>
      <c r="FZ5" s="56">
        <v>315</v>
      </c>
      <c r="GA5" s="55">
        <v>30</v>
      </c>
      <c r="GB5" s="56">
        <v>350</v>
      </c>
      <c r="GC5" s="55">
        <v>31</v>
      </c>
      <c r="GD5" s="56">
        <v>330</v>
      </c>
      <c r="GE5" s="55">
        <v>19</v>
      </c>
      <c r="GF5" s="56">
        <v>370</v>
      </c>
      <c r="GG5" s="55">
        <v>17</v>
      </c>
      <c r="GH5" s="56">
        <v>380</v>
      </c>
      <c r="GI5" s="55">
        <v>24</v>
      </c>
      <c r="GJ5" s="56">
        <v>370</v>
      </c>
      <c r="GK5" s="55">
        <v>27</v>
      </c>
      <c r="GL5" s="56">
        <v>370</v>
      </c>
      <c r="GM5" s="55">
        <v>22</v>
      </c>
      <c r="GN5" s="56">
        <v>383</v>
      </c>
      <c r="GO5" s="55">
        <v>21</v>
      </c>
      <c r="GP5" s="56">
        <v>420</v>
      </c>
      <c r="GQ5" s="55">
        <v>15</v>
      </c>
      <c r="GR5" s="56">
        <v>350</v>
      </c>
      <c r="GS5" s="55">
        <v>24</v>
      </c>
      <c r="GT5" s="56">
        <v>390</v>
      </c>
      <c r="GU5" s="55">
        <v>27</v>
      </c>
      <c r="GV5" s="56">
        <v>420</v>
      </c>
      <c r="GW5" s="55">
        <v>19</v>
      </c>
      <c r="GX5" s="56">
        <v>405</v>
      </c>
      <c r="GY5" s="55">
        <v>23</v>
      </c>
      <c r="GZ5" s="56">
        <v>380</v>
      </c>
      <c r="HA5">
        <v>23</v>
      </c>
      <c r="HB5" s="56">
        <v>410</v>
      </c>
      <c r="HC5">
        <v>16</v>
      </c>
      <c r="HD5" s="56">
        <v>440</v>
      </c>
      <c r="HE5">
        <v>16</v>
      </c>
      <c r="HF5" s="56">
        <v>420</v>
      </c>
    </row>
    <row r="6" spans="1:215" x14ac:dyDescent="0.25">
      <c r="A6" s="53"/>
      <c r="B6" s="54" t="s">
        <v>745</v>
      </c>
      <c r="C6" s="55">
        <v>69</v>
      </c>
      <c r="D6" s="56">
        <v>120</v>
      </c>
      <c r="E6" s="55">
        <v>54</v>
      </c>
      <c r="F6" s="56">
        <v>113</v>
      </c>
      <c r="G6" s="55">
        <v>57</v>
      </c>
      <c r="H6" s="56">
        <v>120</v>
      </c>
      <c r="I6" s="55">
        <v>64</v>
      </c>
      <c r="J6" s="56">
        <v>113</v>
      </c>
      <c r="K6" s="55">
        <v>57</v>
      </c>
      <c r="L6" s="56">
        <v>120</v>
      </c>
      <c r="M6" s="55">
        <v>64</v>
      </c>
      <c r="N6" s="56">
        <v>120</v>
      </c>
      <c r="O6" s="55">
        <v>63</v>
      </c>
      <c r="P6" s="56">
        <v>120</v>
      </c>
      <c r="Q6" s="55">
        <v>49</v>
      </c>
      <c r="R6" s="56">
        <v>110</v>
      </c>
      <c r="S6" s="55">
        <v>56</v>
      </c>
      <c r="T6" s="56">
        <v>120</v>
      </c>
      <c r="U6" s="55">
        <v>45</v>
      </c>
      <c r="V6" s="56">
        <v>120</v>
      </c>
      <c r="W6" s="55">
        <v>47</v>
      </c>
      <c r="X6" s="56">
        <v>130</v>
      </c>
      <c r="Y6" s="55">
        <v>47</v>
      </c>
      <c r="Z6" s="56">
        <v>125</v>
      </c>
      <c r="AA6" s="55">
        <v>50</v>
      </c>
      <c r="AB6" s="56">
        <v>140</v>
      </c>
      <c r="AC6" s="55">
        <v>47</v>
      </c>
      <c r="AD6" s="56">
        <v>140</v>
      </c>
      <c r="AE6" s="55">
        <v>46</v>
      </c>
      <c r="AF6" s="56">
        <v>140</v>
      </c>
      <c r="AG6" s="55">
        <v>47</v>
      </c>
      <c r="AH6" s="56">
        <v>150</v>
      </c>
      <c r="AI6" s="55">
        <v>50</v>
      </c>
      <c r="AJ6" s="56">
        <v>158</v>
      </c>
      <c r="AK6" s="55">
        <v>63</v>
      </c>
      <c r="AL6" s="56">
        <v>140</v>
      </c>
      <c r="AM6" s="55">
        <v>52</v>
      </c>
      <c r="AN6" s="56">
        <v>150</v>
      </c>
      <c r="AO6" s="55">
        <v>52</v>
      </c>
      <c r="AP6" s="56">
        <v>160</v>
      </c>
      <c r="AQ6" s="55">
        <v>43</v>
      </c>
      <c r="AR6" s="56">
        <v>165</v>
      </c>
      <c r="AS6" s="55">
        <v>59</v>
      </c>
      <c r="AT6" s="56">
        <v>160</v>
      </c>
      <c r="AU6" s="55">
        <v>46</v>
      </c>
      <c r="AV6" s="56">
        <v>160</v>
      </c>
      <c r="AW6" s="55">
        <v>47</v>
      </c>
      <c r="AX6" s="56">
        <v>170</v>
      </c>
      <c r="AY6" s="55">
        <v>46</v>
      </c>
      <c r="AZ6" s="56">
        <v>168</v>
      </c>
      <c r="BA6" s="55">
        <v>56</v>
      </c>
      <c r="BB6" s="56">
        <v>170</v>
      </c>
      <c r="BC6" s="55">
        <v>52</v>
      </c>
      <c r="BD6" s="56">
        <v>178</v>
      </c>
      <c r="BE6" s="55">
        <v>67</v>
      </c>
      <c r="BF6" s="56">
        <v>170</v>
      </c>
      <c r="BG6" s="55">
        <v>51</v>
      </c>
      <c r="BH6" s="56">
        <v>180</v>
      </c>
      <c r="BI6" s="55">
        <v>53</v>
      </c>
      <c r="BJ6" s="56">
        <v>180</v>
      </c>
      <c r="BK6" s="55">
        <v>48</v>
      </c>
      <c r="BL6" s="56">
        <v>180</v>
      </c>
      <c r="BM6" s="55">
        <v>50</v>
      </c>
      <c r="BN6" s="56">
        <v>200</v>
      </c>
      <c r="BO6" s="55">
        <v>40</v>
      </c>
      <c r="BP6" s="56">
        <v>190</v>
      </c>
      <c r="BQ6" s="55">
        <v>48</v>
      </c>
      <c r="BR6" s="56">
        <v>185</v>
      </c>
      <c r="BS6" s="55">
        <v>44</v>
      </c>
      <c r="BT6" s="56">
        <v>193</v>
      </c>
      <c r="BU6" s="55">
        <v>71</v>
      </c>
      <c r="BV6" s="56">
        <v>200</v>
      </c>
      <c r="BW6" s="55">
        <v>70</v>
      </c>
      <c r="BX6" s="56">
        <v>200</v>
      </c>
      <c r="BY6" s="55">
        <v>60</v>
      </c>
      <c r="BZ6" s="56">
        <v>200</v>
      </c>
      <c r="CA6" s="55">
        <v>70</v>
      </c>
      <c r="CB6" s="56">
        <v>210</v>
      </c>
      <c r="CC6" s="55">
        <v>56</v>
      </c>
      <c r="CD6" s="56">
        <v>200</v>
      </c>
      <c r="CE6" s="55">
        <v>55</v>
      </c>
      <c r="CF6" s="56">
        <v>200</v>
      </c>
      <c r="CG6" s="55">
        <v>53</v>
      </c>
      <c r="CH6" s="56">
        <v>220</v>
      </c>
      <c r="CI6" s="55">
        <v>61</v>
      </c>
      <c r="CJ6" s="56">
        <v>200</v>
      </c>
      <c r="CK6" s="55">
        <v>70</v>
      </c>
      <c r="CL6" s="56">
        <v>200</v>
      </c>
      <c r="CM6" s="55">
        <v>66</v>
      </c>
      <c r="CN6" s="56">
        <v>200</v>
      </c>
      <c r="CO6" s="55">
        <v>78</v>
      </c>
      <c r="CP6" s="56">
        <v>210</v>
      </c>
      <c r="CQ6" s="55">
        <v>63</v>
      </c>
      <c r="CR6" s="56">
        <v>210</v>
      </c>
      <c r="CS6" s="55">
        <v>72</v>
      </c>
      <c r="CT6" s="56">
        <v>200</v>
      </c>
      <c r="CU6" s="55">
        <v>53</v>
      </c>
      <c r="CV6" s="56">
        <v>205</v>
      </c>
      <c r="CW6" s="55">
        <v>76</v>
      </c>
      <c r="CX6" s="56">
        <v>220</v>
      </c>
      <c r="CY6" s="55">
        <v>73</v>
      </c>
      <c r="CZ6" s="56">
        <v>225</v>
      </c>
      <c r="DA6" s="55">
        <v>67</v>
      </c>
      <c r="DB6" s="56">
        <v>225</v>
      </c>
      <c r="DC6" s="55">
        <v>50</v>
      </c>
      <c r="DD6" s="56">
        <v>215</v>
      </c>
      <c r="DE6" s="55">
        <v>66</v>
      </c>
      <c r="DF6" s="56">
        <v>223</v>
      </c>
      <c r="DG6" s="55">
        <v>52</v>
      </c>
      <c r="DH6" s="56">
        <v>230</v>
      </c>
      <c r="DI6" s="55">
        <v>76</v>
      </c>
      <c r="DJ6" s="56">
        <v>233</v>
      </c>
      <c r="DK6" s="55">
        <v>72</v>
      </c>
      <c r="DL6" s="56">
        <v>238</v>
      </c>
      <c r="DM6" s="55">
        <v>94</v>
      </c>
      <c r="DN6" s="56">
        <v>220</v>
      </c>
      <c r="DO6" s="55">
        <v>60</v>
      </c>
      <c r="DP6" s="56">
        <v>230</v>
      </c>
      <c r="DQ6" s="55">
        <v>72</v>
      </c>
      <c r="DR6" s="56">
        <v>220</v>
      </c>
      <c r="DS6" s="55">
        <v>73</v>
      </c>
      <c r="DT6" s="56">
        <v>230</v>
      </c>
      <c r="DU6" s="55">
        <v>69</v>
      </c>
      <c r="DV6" s="56">
        <v>215</v>
      </c>
      <c r="DW6" s="55">
        <v>59</v>
      </c>
      <c r="DX6" s="56">
        <v>220</v>
      </c>
      <c r="DY6" s="55">
        <v>65</v>
      </c>
      <c r="DZ6" s="56">
        <v>235</v>
      </c>
      <c r="EA6" s="55">
        <v>62</v>
      </c>
      <c r="EB6" s="56">
        <v>230</v>
      </c>
      <c r="EC6" s="55">
        <v>71</v>
      </c>
      <c r="ED6" s="56">
        <v>220</v>
      </c>
      <c r="EE6" s="55">
        <v>57</v>
      </c>
      <c r="EF6" s="56">
        <v>210</v>
      </c>
      <c r="EG6" s="55">
        <v>62</v>
      </c>
      <c r="EH6" s="56">
        <v>238</v>
      </c>
      <c r="EI6" s="55">
        <v>55</v>
      </c>
      <c r="EJ6" s="56">
        <v>220</v>
      </c>
      <c r="EK6" s="55">
        <v>78</v>
      </c>
      <c r="EL6" s="56">
        <v>230</v>
      </c>
      <c r="EM6" s="55">
        <v>55</v>
      </c>
      <c r="EN6" s="56">
        <v>230</v>
      </c>
      <c r="EO6" s="55">
        <v>54</v>
      </c>
      <c r="EP6" s="56">
        <v>230</v>
      </c>
      <c r="EQ6" s="55">
        <v>43</v>
      </c>
      <c r="ER6" s="56">
        <v>240</v>
      </c>
      <c r="ES6" s="55">
        <v>55</v>
      </c>
      <c r="ET6" s="56">
        <v>240</v>
      </c>
      <c r="EU6" s="55">
        <v>54</v>
      </c>
      <c r="EV6" s="56">
        <v>230</v>
      </c>
      <c r="EW6" s="55">
        <v>45</v>
      </c>
      <c r="EX6" s="56">
        <v>260</v>
      </c>
      <c r="EY6" s="55">
        <v>53</v>
      </c>
      <c r="EZ6" s="56">
        <v>250</v>
      </c>
      <c r="FA6" s="55">
        <v>47</v>
      </c>
      <c r="FB6" s="56">
        <v>250</v>
      </c>
      <c r="FC6" s="55">
        <v>48</v>
      </c>
      <c r="FD6" s="56">
        <v>265</v>
      </c>
      <c r="FE6" s="55">
        <v>61</v>
      </c>
      <c r="FF6" s="56">
        <v>260</v>
      </c>
      <c r="FG6" s="55">
        <v>43</v>
      </c>
      <c r="FH6" s="56">
        <v>260</v>
      </c>
      <c r="FI6" s="55">
        <v>52</v>
      </c>
      <c r="FJ6" s="56">
        <v>288</v>
      </c>
      <c r="FK6" s="55">
        <v>39</v>
      </c>
      <c r="FL6" s="56">
        <v>280</v>
      </c>
      <c r="FM6" s="55">
        <v>50</v>
      </c>
      <c r="FN6" s="56">
        <v>300</v>
      </c>
      <c r="FO6" s="55">
        <v>41</v>
      </c>
      <c r="FP6" s="56">
        <v>310</v>
      </c>
      <c r="FQ6" s="55">
        <v>33</v>
      </c>
      <c r="FR6" s="56">
        <v>320</v>
      </c>
      <c r="FS6" s="55">
        <v>41</v>
      </c>
      <c r="FT6" s="56">
        <v>350</v>
      </c>
      <c r="FU6" s="55">
        <v>37</v>
      </c>
      <c r="FV6" s="56">
        <v>350</v>
      </c>
      <c r="FW6" s="55">
        <v>46</v>
      </c>
      <c r="FX6" s="56">
        <v>350</v>
      </c>
      <c r="FY6" s="55">
        <v>41</v>
      </c>
      <c r="FZ6" s="56">
        <v>370</v>
      </c>
      <c r="GA6" s="55">
        <v>50</v>
      </c>
      <c r="GB6" s="56">
        <v>360</v>
      </c>
      <c r="GC6" s="55">
        <v>51</v>
      </c>
      <c r="GD6" s="56">
        <v>360</v>
      </c>
      <c r="GE6" s="55">
        <v>44</v>
      </c>
      <c r="GF6" s="56">
        <v>380</v>
      </c>
      <c r="GG6" s="55">
        <v>41</v>
      </c>
      <c r="GH6" s="56">
        <v>370</v>
      </c>
      <c r="GI6" s="55">
        <v>38</v>
      </c>
      <c r="GJ6" s="56">
        <v>400</v>
      </c>
      <c r="GK6" s="55">
        <v>53</v>
      </c>
      <c r="GL6" s="56">
        <v>400</v>
      </c>
      <c r="GM6" s="55">
        <v>51</v>
      </c>
      <c r="GN6" s="56">
        <v>410</v>
      </c>
      <c r="GO6" s="55">
        <v>49</v>
      </c>
      <c r="GP6" s="56">
        <v>410</v>
      </c>
      <c r="GQ6" s="55">
        <v>45</v>
      </c>
      <c r="GR6" s="56">
        <v>380</v>
      </c>
      <c r="GS6" s="55">
        <v>46</v>
      </c>
      <c r="GT6" s="56">
        <v>420</v>
      </c>
      <c r="GU6" s="55">
        <v>50</v>
      </c>
      <c r="GV6" s="56">
        <v>400</v>
      </c>
      <c r="GW6" s="55">
        <v>37</v>
      </c>
      <c r="GX6" s="56">
        <v>425</v>
      </c>
      <c r="GY6" s="55">
        <v>42</v>
      </c>
      <c r="GZ6" s="56">
        <v>400</v>
      </c>
      <c r="HA6">
        <v>39</v>
      </c>
      <c r="HB6" s="56">
        <v>450</v>
      </c>
      <c r="HC6">
        <v>35</v>
      </c>
      <c r="HD6" s="56">
        <v>430</v>
      </c>
      <c r="HE6">
        <v>31</v>
      </c>
      <c r="HF6" s="56">
        <v>440</v>
      </c>
    </row>
    <row r="7" spans="1:215" x14ac:dyDescent="0.25">
      <c r="A7" s="53"/>
      <c r="B7" s="54" t="s">
        <v>746</v>
      </c>
      <c r="C7" s="55">
        <v>561</v>
      </c>
      <c r="D7" s="56">
        <v>150</v>
      </c>
      <c r="E7" s="55">
        <v>522</v>
      </c>
      <c r="F7" s="56">
        <v>150</v>
      </c>
      <c r="G7" s="55">
        <v>558</v>
      </c>
      <c r="H7" s="56">
        <v>155</v>
      </c>
      <c r="I7" s="55">
        <v>571</v>
      </c>
      <c r="J7" s="56">
        <v>155</v>
      </c>
      <c r="K7" s="55">
        <v>547</v>
      </c>
      <c r="L7" s="56">
        <v>155</v>
      </c>
      <c r="M7" s="55">
        <v>602</v>
      </c>
      <c r="N7" s="56">
        <v>160</v>
      </c>
      <c r="O7" s="55">
        <v>509</v>
      </c>
      <c r="P7" s="56">
        <v>160</v>
      </c>
      <c r="Q7" s="55">
        <v>606</v>
      </c>
      <c r="R7" s="56">
        <v>160</v>
      </c>
      <c r="S7" s="55">
        <v>465</v>
      </c>
      <c r="T7" s="56">
        <v>165</v>
      </c>
      <c r="U7" s="55">
        <v>550</v>
      </c>
      <c r="V7" s="56">
        <v>165</v>
      </c>
      <c r="W7" s="55">
        <v>528</v>
      </c>
      <c r="X7" s="56">
        <v>170</v>
      </c>
      <c r="Y7" s="55">
        <v>593</v>
      </c>
      <c r="Z7" s="56">
        <v>170</v>
      </c>
      <c r="AA7" s="55">
        <v>542</v>
      </c>
      <c r="AB7" s="56">
        <v>175</v>
      </c>
      <c r="AC7" s="55">
        <v>618</v>
      </c>
      <c r="AD7" s="56">
        <v>180</v>
      </c>
      <c r="AE7" s="55">
        <v>582</v>
      </c>
      <c r="AF7" s="56">
        <v>180</v>
      </c>
      <c r="AG7" s="55">
        <v>718</v>
      </c>
      <c r="AH7" s="56">
        <v>180</v>
      </c>
      <c r="AI7" s="55">
        <v>560</v>
      </c>
      <c r="AJ7" s="56">
        <v>180</v>
      </c>
      <c r="AK7" s="55">
        <v>650</v>
      </c>
      <c r="AL7" s="56">
        <v>180</v>
      </c>
      <c r="AM7" s="55">
        <v>641</v>
      </c>
      <c r="AN7" s="56">
        <v>190</v>
      </c>
      <c r="AO7" s="55">
        <v>716</v>
      </c>
      <c r="AP7" s="56">
        <v>190</v>
      </c>
      <c r="AQ7" s="55">
        <v>491</v>
      </c>
      <c r="AR7" s="56">
        <v>190</v>
      </c>
      <c r="AS7" s="55">
        <v>624</v>
      </c>
      <c r="AT7" s="56">
        <v>190</v>
      </c>
      <c r="AU7" s="55">
        <v>612</v>
      </c>
      <c r="AV7" s="56">
        <v>200</v>
      </c>
      <c r="AW7" s="55">
        <v>665</v>
      </c>
      <c r="AX7" s="56">
        <v>200</v>
      </c>
      <c r="AY7" s="55">
        <v>565</v>
      </c>
      <c r="AZ7" s="56">
        <v>200</v>
      </c>
      <c r="BA7" s="55">
        <v>634</v>
      </c>
      <c r="BB7" s="56">
        <v>200</v>
      </c>
      <c r="BC7" s="55">
        <v>608</v>
      </c>
      <c r="BD7" s="56">
        <v>200</v>
      </c>
      <c r="BE7" s="55">
        <v>626</v>
      </c>
      <c r="BF7" s="56">
        <v>210</v>
      </c>
      <c r="BG7" s="55">
        <v>553</v>
      </c>
      <c r="BH7" s="56">
        <v>210</v>
      </c>
      <c r="BI7" s="55">
        <v>611</v>
      </c>
      <c r="BJ7" s="56">
        <v>215</v>
      </c>
      <c r="BK7" s="55">
        <v>501</v>
      </c>
      <c r="BL7" s="56">
        <v>220</v>
      </c>
      <c r="BM7" s="55">
        <v>659</v>
      </c>
      <c r="BN7" s="56">
        <v>230</v>
      </c>
      <c r="BO7" s="55">
        <v>540</v>
      </c>
      <c r="BP7" s="56">
        <v>230</v>
      </c>
      <c r="BQ7" s="55">
        <v>639</v>
      </c>
      <c r="BR7" s="56">
        <v>230</v>
      </c>
      <c r="BS7" s="55">
        <v>550</v>
      </c>
      <c r="BT7" s="56">
        <v>240</v>
      </c>
      <c r="BU7" s="55">
        <v>683</v>
      </c>
      <c r="BV7" s="56">
        <v>250</v>
      </c>
      <c r="BW7" s="55">
        <v>611</v>
      </c>
      <c r="BX7" s="56">
        <v>250</v>
      </c>
      <c r="BY7" s="55">
        <v>623</v>
      </c>
      <c r="BZ7" s="56">
        <v>250</v>
      </c>
      <c r="CA7" s="55">
        <v>574</v>
      </c>
      <c r="CB7" s="56">
        <v>265</v>
      </c>
      <c r="CC7" s="55">
        <v>573</v>
      </c>
      <c r="CD7" s="56">
        <v>270</v>
      </c>
      <c r="CE7" s="55">
        <v>608</v>
      </c>
      <c r="CF7" s="56">
        <v>265</v>
      </c>
      <c r="CG7" s="55">
        <v>642</v>
      </c>
      <c r="CH7" s="56">
        <v>270</v>
      </c>
      <c r="CI7" s="55">
        <v>634</v>
      </c>
      <c r="CJ7" s="56">
        <v>270</v>
      </c>
      <c r="CK7" s="55">
        <v>644</v>
      </c>
      <c r="CL7" s="56">
        <v>280</v>
      </c>
      <c r="CM7" s="55">
        <v>655</v>
      </c>
      <c r="CN7" s="56">
        <v>280</v>
      </c>
      <c r="CO7" s="55">
        <v>742</v>
      </c>
      <c r="CP7" s="56">
        <v>280</v>
      </c>
      <c r="CQ7" s="55">
        <v>707</v>
      </c>
      <c r="CR7" s="56">
        <v>300</v>
      </c>
      <c r="CS7" s="55">
        <v>711</v>
      </c>
      <c r="CT7" s="56">
        <v>305</v>
      </c>
      <c r="CU7" s="55">
        <v>691</v>
      </c>
      <c r="CV7" s="56">
        <v>300</v>
      </c>
      <c r="CW7" s="55">
        <v>778</v>
      </c>
      <c r="CX7" s="56">
        <v>300</v>
      </c>
      <c r="CY7" s="55">
        <v>727</v>
      </c>
      <c r="CZ7" s="56">
        <v>310</v>
      </c>
      <c r="DA7" s="55">
        <v>820</v>
      </c>
      <c r="DB7" s="56">
        <v>320</v>
      </c>
      <c r="DC7" s="55">
        <v>733</v>
      </c>
      <c r="DD7" s="56">
        <v>310</v>
      </c>
      <c r="DE7" s="55">
        <v>783</v>
      </c>
      <c r="DF7" s="56">
        <v>310</v>
      </c>
      <c r="DG7" s="55">
        <v>754</v>
      </c>
      <c r="DH7" s="56">
        <v>320</v>
      </c>
      <c r="DI7" s="55">
        <v>851</v>
      </c>
      <c r="DJ7" s="56">
        <v>320</v>
      </c>
      <c r="DK7" s="55">
        <v>746</v>
      </c>
      <c r="DL7" s="56">
        <v>315</v>
      </c>
      <c r="DM7" s="55">
        <v>804</v>
      </c>
      <c r="DN7" s="56">
        <v>310</v>
      </c>
      <c r="DO7" s="55">
        <v>798</v>
      </c>
      <c r="DP7" s="56">
        <v>320</v>
      </c>
      <c r="DQ7" s="55">
        <v>895</v>
      </c>
      <c r="DR7" s="56">
        <v>325</v>
      </c>
      <c r="DS7" s="55">
        <v>771</v>
      </c>
      <c r="DT7" s="56">
        <v>315</v>
      </c>
      <c r="DU7" s="55">
        <v>762</v>
      </c>
      <c r="DV7" s="56">
        <v>320</v>
      </c>
      <c r="DW7" s="55">
        <v>867</v>
      </c>
      <c r="DX7" s="56">
        <v>320</v>
      </c>
      <c r="DY7" s="55">
        <v>865</v>
      </c>
      <c r="DZ7" s="56">
        <v>330</v>
      </c>
      <c r="EA7" s="55">
        <v>832</v>
      </c>
      <c r="EB7" s="56">
        <v>320</v>
      </c>
      <c r="EC7" s="55">
        <v>831</v>
      </c>
      <c r="ED7" s="56">
        <v>320</v>
      </c>
      <c r="EE7" s="55">
        <v>901</v>
      </c>
      <c r="EF7" s="56">
        <v>330</v>
      </c>
      <c r="EG7" s="55">
        <v>938</v>
      </c>
      <c r="EH7" s="56">
        <v>340</v>
      </c>
      <c r="EI7" s="55">
        <v>836</v>
      </c>
      <c r="EJ7" s="56">
        <v>330</v>
      </c>
      <c r="EK7" s="55">
        <v>858</v>
      </c>
      <c r="EL7" s="56">
        <v>330</v>
      </c>
      <c r="EM7" s="55">
        <v>904</v>
      </c>
      <c r="EN7" s="56">
        <v>330</v>
      </c>
      <c r="EO7" s="55">
        <v>956</v>
      </c>
      <c r="EP7" s="56">
        <v>342</v>
      </c>
      <c r="EQ7" s="55">
        <v>861</v>
      </c>
      <c r="ER7" s="56">
        <v>350</v>
      </c>
      <c r="ES7" s="55">
        <v>866</v>
      </c>
      <c r="ET7" s="56">
        <v>350</v>
      </c>
      <c r="EU7" s="55">
        <v>903</v>
      </c>
      <c r="EV7" s="56">
        <v>350</v>
      </c>
      <c r="EW7" s="55">
        <v>896</v>
      </c>
      <c r="EX7" s="56">
        <v>350</v>
      </c>
      <c r="EY7" s="55">
        <v>799</v>
      </c>
      <c r="EZ7" s="56">
        <v>350</v>
      </c>
      <c r="FA7" s="55">
        <v>862</v>
      </c>
      <c r="FB7" s="56">
        <v>350</v>
      </c>
      <c r="FC7" s="55">
        <v>796</v>
      </c>
      <c r="FD7" s="56">
        <v>360</v>
      </c>
      <c r="FE7" s="55">
        <v>843</v>
      </c>
      <c r="FF7" s="56">
        <v>380</v>
      </c>
      <c r="FG7" s="55">
        <v>763</v>
      </c>
      <c r="FH7" s="56">
        <v>370</v>
      </c>
      <c r="FI7" s="55">
        <v>902</v>
      </c>
      <c r="FJ7" s="56">
        <v>370</v>
      </c>
      <c r="FK7" s="55">
        <v>824</v>
      </c>
      <c r="FL7" s="56">
        <v>370</v>
      </c>
      <c r="FM7" s="55">
        <v>867</v>
      </c>
      <c r="FN7" s="56">
        <v>380</v>
      </c>
      <c r="FO7" s="55">
        <v>775</v>
      </c>
      <c r="FP7" s="56">
        <v>370</v>
      </c>
      <c r="FQ7" s="55">
        <v>831</v>
      </c>
      <c r="FR7" s="56">
        <v>375</v>
      </c>
      <c r="FS7" s="55">
        <v>773</v>
      </c>
      <c r="FT7" s="56">
        <v>380</v>
      </c>
      <c r="FU7" s="55">
        <v>715</v>
      </c>
      <c r="FV7" s="56">
        <v>400</v>
      </c>
      <c r="FW7" s="55">
        <v>682</v>
      </c>
      <c r="FX7" s="56">
        <v>410</v>
      </c>
      <c r="FY7" s="55">
        <v>813</v>
      </c>
      <c r="FZ7" s="56">
        <v>410</v>
      </c>
      <c r="GA7" s="55">
        <v>801</v>
      </c>
      <c r="GB7" s="56">
        <v>420</v>
      </c>
      <c r="GC7" s="55">
        <v>745</v>
      </c>
      <c r="GD7" s="56">
        <v>440</v>
      </c>
      <c r="GE7" s="55">
        <v>714</v>
      </c>
      <c r="GF7" s="56">
        <v>430</v>
      </c>
      <c r="GG7" s="55">
        <v>787</v>
      </c>
      <c r="GH7" s="56">
        <v>440</v>
      </c>
      <c r="GI7" s="55">
        <v>743</v>
      </c>
      <c r="GJ7" s="56">
        <v>440</v>
      </c>
      <c r="GK7" s="55">
        <v>779</v>
      </c>
      <c r="GL7" s="56">
        <v>450</v>
      </c>
      <c r="GM7" s="55">
        <v>679</v>
      </c>
      <c r="GN7" s="56">
        <v>450</v>
      </c>
      <c r="GO7" s="55">
        <v>779</v>
      </c>
      <c r="GP7" s="56">
        <v>450</v>
      </c>
      <c r="GQ7" s="55">
        <v>678</v>
      </c>
      <c r="GR7" s="56">
        <v>465</v>
      </c>
      <c r="GS7" s="55">
        <v>679</v>
      </c>
      <c r="GT7" s="56">
        <v>470</v>
      </c>
      <c r="GU7" s="55">
        <v>705</v>
      </c>
      <c r="GV7" s="56">
        <v>470</v>
      </c>
      <c r="GW7" s="55">
        <v>785</v>
      </c>
      <c r="GX7" s="56">
        <v>480</v>
      </c>
      <c r="GY7" s="55">
        <v>816</v>
      </c>
      <c r="GZ7" s="56">
        <v>480</v>
      </c>
      <c r="HA7">
        <v>757</v>
      </c>
      <c r="HB7" s="56">
        <v>490</v>
      </c>
      <c r="HC7">
        <v>802</v>
      </c>
      <c r="HD7" s="56">
        <v>490</v>
      </c>
      <c r="HE7">
        <v>807</v>
      </c>
      <c r="HF7" s="56">
        <v>500</v>
      </c>
    </row>
    <row r="8" spans="1:215" x14ac:dyDescent="0.25">
      <c r="A8" s="53"/>
      <c r="B8" s="54" t="s">
        <v>747</v>
      </c>
      <c r="C8" s="55">
        <v>21</v>
      </c>
      <c r="D8" s="56">
        <v>135</v>
      </c>
      <c r="E8" s="55">
        <v>21</v>
      </c>
      <c r="F8" s="56">
        <v>130</v>
      </c>
      <c r="G8" s="55">
        <v>24</v>
      </c>
      <c r="H8" s="56">
        <v>130</v>
      </c>
      <c r="I8" s="55">
        <v>33</v>
      </c>
      <c r="J8" s="56">
        <v>120</v>
      </c>
      <c r="K8" s="55">
        <v>18</v>
      </c>
      <c r="L8" s="56">
        <v>133</v>
      </c>
      <c r="M8" s="55">
        <v>28</v>
      </c>
      <c r="N8" s="56">
        <v>135</v>
      </c>
      <c r="O8" s="55">
        <v>18</v>
      </c>
      <c r="P8" s="56">
        <v>123</v>
      </c>
      <c r="Q8" s="55">
        <v>27</v>
      </c>
      <c r="R8" s="56">
        <v>135</v>
      </c>
      <c r="S8" s="55">
        <v>19</v>
      </c>
      <c r="T8" s="56">
        <v>140</v>
      </c>
      <c r="U8" s="55">
        <v>26</v>
      </c>
      <c r="V8" s="56">
        <v>138</v>
      </c>
      <c r="W8" s="55">
        <v>23</v>
      </c>
      <c r="X8" s="56">
        <v>150</v>
      </c>
      <c r="Y8" s="55">
        <v>24</v>
      </c>
      <c r="Z8" s="56">
        <v>150</v>
      </c>
      <c r="AA8" s="55">
        <v>27</v>
      </c>
      <c r="AB8" s="56">
        <v>150</v>
      </c>
      <c r="AC8" s="55">
        <v>30</v>
      </c>
      <c r="AD8" s="56">
        <v>158</v>
      </c>
      <c r="AE8" s="55">
        <v>18</v>
      </c>
      <c r="AF8" s="56">
        <v>180</v>
      </c>
      <c r="AG8" s="55">
        <v>21</v>
      </c>
      <c r="AH8" s="56">
        <v>160</v>
      </c>
      <c r="AI8" s="55">
        <v>21</v>
      </c>
      <c r="AJ8" s="56">
        <v>180</v>
      </c>
      <c r="AK8" s="55">
        <v>29</v>
      </c>
      <c r="AL8" s="56">
        <v>180</v>
      </c>
      <c r="AM8" s="55">
        <v>32</v>
      </c>
      <c r="AN8" s="56">
        <v>160</v>
      </c>
      <c r="AO8" s="55">
        <v>25</v>
      </c>
      <c r="AP8" s="56">
        <v>165</v>
      </c>
      <c r="AQ8" s="55">
        <v>21</v>
      </c>
      <c r="AR8" s="56">
        <v>185</v>
      </c>
      <c r="AS8" s="55">
        <v>29</v>
      </c>
      <c r="AT8" s="56">
        <v>180</v>
      </c>
      <c r="AU8" s="55">
        <v>22</v>
      </c>
      <c r="AV8" s="56">
        <v>210</v>
      </c>
      <c r="AW8" s="55">
        <v>29</v>
      </c>
      <c r="AX8" s="56">
        <v>170</v>
      </c>
      <c r="AY8" s="55">
        <v>39</v>
      </c>
      <c r="AZ8" s="56">
        <v>180</v>
      </c>
      <c r="BA8" s="55">
        <v>33</v>
      </c>
      <c r="BB8" s="56">
        <v>180</v>
      </c>
      <c r="BC8" s="55">
        <v>24</v>
      </c>
      <c r="BD8" s="56">
        <v>178</v>
      </c>
      <c r="BE8" s="55">
        <v>38</v>
      </c>
      <c r="BF8" s="56">
        <v>200</v>
      </c>
      <c r="BG8" s="55">
        <v>22</v>
      </c>
      <c r="BH8" s="56">
        <v>200</v>
      </c>
      <c r="BI8" s="55">
        <v>27</v>
      </c>
      <c r="BJ8" s="56">
        <v>220</v>
      </c>
      <c r="BK8" s="55">
        <v>40</v>
      </c>
      <c r="BL8" s="56">
        <v>190</v>
      </c>
      <c r="BM8" s="55">
        <v>35</v>
      </c>
      <c r="BN8" s="56">
        <v>200</v>
      </c>
      <c r="BO8" s="55">
        <v>37</v>
      </c>
      <c r="BP8" s="56">
        <v>200</v>
      </c>
      <c r="BQ8" s="55">
        <v>41</v>
      </c>
      <c r="BR8" s="56">
        <v>200</v>
      </c>
      <c r="BS8" s="55">
        <v>28</v>
      </c>
      <c r="BT8" s="56">
        <v>190</v>
      </c>
      <c r="BU8" s="55">
        <v>33</v>
      </c>
      <c r="BV8" s="56">
        <v>200</v>
      </c>
      <c r="BW8" s="55">
        <v>39</v>
      </c>
      <c r="BX8" s="56">
        <v>180</v>
      </c>
      <c r="BY8" s="55">
        <v>43</v>
      </c>
      <c r="BZ8" s="56">
        <v>190</v>
      </c>
      <c r="CA8" s="55">
        <v>28</v>
      </c>
      <c r="CB8" s="56">
        <v>208</v>
      </c>
      <c r="CC8" s="55">
        <v>29</v>
      </c>
      <c r="CD8" s="56">
        <v>190</v>
      </c>
      <c r="CE8" s="55">
        <v>27</v>
      </c>
      <c r="CF8" s="56">
        <v>215</v>
      </c>
      <c r="CG8" s="55">
        <v>37</v>
      </c>
      <c r="CH8" s="56">
        <v>220</v>
      </c>
      <c r="CI8" s="55">
        <v>28</v>
      </c>
      <c r="CJ8" s="56">
        <v>250</v>
      </c>
      <c r="CK8" s="55">
        <v>24</v>
      </c>
      <c r="CL8" s="56">
        <v>250</v>
      </c>
      <c r="CM8" s="55">
        <v>33</v>
      </c>
      <c r="CN8" s="56">
        <v>240</v>
      </c>
      <c r="CO8" s="55">
        <v>43</v>
      </c>
      <c r="CP8" s="56">
        <v>250</v>
      </c>
      <c r="CQ8" s="55">
        <v>33</v>
      </c>
      <c r="CR8" s="56">
        <v>260</v>
      </c>
      <c r="CS8" s="55">
        <v>36</v>
      </c>
      <c r="CT8" s="56">
        <v>250</v>
      </c>
      <c r="CU8" s="55">
        <v>21</v>
      </c>
      <c r="CV8" s="56">
        <v>250</v>
      </c>
      <c r="CW8" s="55">
        <v>30</v>
      </c>
      <c r="CX8" s="56">
        <v>260</v>
      </c>
      <c r="CY8" s="55">
        <v>38</v>
      </c>
      <c r="CZ8" s="56">
        <v>280</v>
      </c>
      <c r="DA8" s="55">
        <v>33</v>
      </c>
      <c r="DB8" s="56">
        <v>240</v>
      </c>
      <c r="DC8" s="55">
        <v>40</v>
      </c>
      <c r="DD8" s="56">
        <v>255</v>
      </c>
      <c r="DE8" s="55">
        <v>49</v>
      </c>
      <c r="DF8" s="56">
        <v>250</v>
      </c>
      <c r="DG8" s="55">
        <v>29</v>
      </c>
      <c r="DH8" s="56">
        <v>245</v>
      </c>
      <c r="DI8" s="55">
        <v>41</v>
      </c>
      <c r="DJ8" s="56">
        <v>280</v>
      </c>
      <c r="DK8" s="55">
        <v>42</v>
      </c>
      <c r="DL8" s="56">
        <v>260</v>
      </c>
      <c r="DM8" s="55">
        <v>40</v>
      </c>
      <c r="DN8" s="56">
        <v>263</v>
      </c>
      <c r="DO8" s="55">
        <v>29</v>
      </c>
      <c r="DP8" s="56">
        <v>260</v>
      </c>
      <c r="DQ8" s="55">
        <v>34</v>
      </c>
      <c r="DR8" s="56">
        <v>253</v>
      </c>
      <c r="DS8" s="55">
        <v>33</v>
      </c>
      <c r="DT8" s="56">
        <v>270</v>
      </c>
      <c r="DU8" s="55">
        <v>35</v>
      </c>
      <c r="DV8" s="56">
        <v>270</v>
      </c>
      <c r="DW8" s="55">
        <v>31</v>
      </c>
      <c r="DX8" s="56">
        <v>270</v>
      </c>
      <c r="DY8" s="55">
        <v>33</v>
      </c>
      <c r="DZ8" s="56">
        <v>250</v>
      </c>
      <c r="EA8" s="55">
        <v>32</v>
      </c>
      <c r="EB8" s="56">
        <v>273</v>
      </c>
      <c r="EC8" s="55">
        <v>32</v>
      </c>
      <c r="ED8" s="56">
        <v>280</v>
      </c>
      <c r="EE8" s="55">
        <v>38</v>
      </c>
      <c r="EF8" s="56">
        <v>280</v>
      </c>
      <c r="EG8" s="55">
        <v>40</v>
      </c>
      <c r="EH8" s="56">
        <v>293</v>
      </c>
      <c r="EI8" s="55">
        <v>34</v>
      </c>
      <c r="EJ8" s="56">
        <v>290</v>
      </c>
      <c r="EK8" s="55">
        <v>31</v>
      </c>
      <c r="EL8" s="56">
        <v>275</v>
      </c>
      <c r="EM8" s="55">
        <v>30</v>
      </c>
      <c r="EN8" s="56">
        <v>300</v>
      </c>
      <c r="EO8" s="55">
        <v>30</v>
      </c>
      <c r="EP8" s="56">
        <v>290</v>
      </c>
      <c r="EQ8" s="55">
        <v>34</v>
      </c>
      <c r="ER8" s="56">
        <v>275</v>
      </c>
      <c r="ES8" s="55">
        <v>35</v>
      </c>
      <c r="ET8" s="56">
        <v>280</v>
      </c>
      <c r="EU8" s="55">
        <v>32</v>
      </c>
      <c r="EV8" s="56">
        <v>268</v>
      </c>
      <c r="EW8" s="55">
        <v>39</v>
      </c>
      <c r="EX8" s="56">
        <v>270</v>
      </c>
      <c r="EY8" s="55">
        <v>27</v>
      </c>
      <c r="EZ8" s="56">
        <v>300</v>
      </c>
      <c r="FA8" s="55">
        <v>29</v>
      </c>
      <c r="FB8" s="56">
        <v>280</v>
      </c>
      <c r="FC8" s="55">
        <v>28</v>
      </c>
      <c r="FD8" s="56">
        <v>300</v>
      </c>
      <c r="FE8" s="55">
        <v>24</v>
      </c>
      <c r="FF8" s="56">
        <v>320</v>
      </c>
      <c r="FG8" s="55">
        <v>25</v>
      </c>
      <c r="FH8" s="56">
        <v>345</v>
      </c>
      <c r="FI8" s="55">
        <v>36</v>
      </c>
      <c r="FJ8" s="56">
        <v>330</v>
      </c>
      <c r="FK8" s="55">
        <v>28</v>
      </c>
      <c r="FL8" s="56">
        <v>345</v>
      </c>
      <c r="FM8" s="55">
        <v>31</v>
      </c>
      <c r="FN8" s="56">
        <v>360</v>
      </c>
      <c r="FO8" s="55">
        <v>22</v>
      </c>
      <c r="FP8" s="56">
        <v>315</v>
      </c>
      <c r="FQ8" s="55">
        <v>26</v>
      </c>
      <c r="FR8" s="56">
        <v>350</v>
      </c>
      <c r="FS8" s="55">
        <v>21</v>
      </c>
      <c r="FT8" s="56">
        <v>400</v>
      </c>
      <c r="FU8" s="55">
        <v>30</v>
      </c>
      <c r="FV8" s="56">
        <v>355</v>
      </c>
      <c r="FW8" s="55">
        <v>13</v>
      </c>
      <c r="FX8" s="56">
        <v>390</v>
      </c>
      <c r="FY8" s="55">
        <v>25</v>
      </c>
      <c r="FZ8" s="56">
        <v>340</v>
      </c>
      <c r="GA8" s="55">
        <v>24</v>
      </c>
      <c r="GB8" s="56">
        <v>380</v>
      </c>
      <c r="GC8" s="55">
        <v>15</v>
      </c>
      <c r="GD8" s="56">
        <v>400</v>
      </c>
      <c r="GE8" s="55">
        <v>25</v>
      </c>
      <c r="GF8" s="56">
        <v>420</v>
      </c>
      <c r="GG8" s="55">
        <v>31</v>
      </c>
      <c r="GH8" s="56">
        <v>390</v>
      </c>
      <c r="GI8" s="55">
        <v>25</v>
      </c>
      <c r="GJ8" s="56">
        <v>400</v>
      </c>
      <c r="GK8" s="55">
        <v>23</v>
      </c>
      <c r="GL8" s="56">
        <v>420</v>
      </c>
      <c r="GM8" s="55">
        <v>24</v>
      </c>
      <c r="GN8" s="56">
        <v>425</v>
      </c>
      <c r="GO8" s="55">
        <v>20</v>
      </c>
      <c r="GP8" s="56">
        <v>450</v>
      </c>
      <c r="GQ8" s="55">
        <v>22</v>
      </c>
      <c r="GR8" s="56">
        <v>410</v>
      </c>
      <c r="GS8" s="55">
        <v>33</v>
      </c>
      <c r="GT8" s="56">
        <v>400</v>
      </c>
      <c r="GU8" s="55">
        <v>14</v>
      </c>
      <c r="GV8" s="56">
        <v>465</v>
      </c>
      <c r="GW8" s="55">
        <v>19</v>
      </c>
      <c r="GX8" s="56">
        <v>450</v>
      </c>
      <c r="GY8" s="55">
        <v>17</v>
      </c>
      <c r="GZ8" s="56">
        <v>450</v>
      </c>
      <c r="HA8">
        <v>23</v>
      </c>
      <c r="HB8" s="56">
        <v>500</v>
      </c>
      <c r="HC8">
        <v>19</v>
      </c>
      <c r="HD8" s="56">
        <v>450</v>
      </c>
      <c r="HE8">
        <v>26</v>
      </c>
      <c r="HF8" s="56">
        <v>498</v>
      </c>
    </row>
    <row r="9" spans="1:215" x14ac:dyDescent="0.25">
      <c r="A9" s="53"/>
      <c r="B9" s="54" t="s">
        <v>748</v>
      </c>
      <c r="C9" s="55">
        <v>7</v>
      </c>
      <c r="D9" s="56">
        <v>145</v>
      </c>
      <c r="E9" s="55">
        <v>10</v>
      </c>
      <c r="F9" s="56">
        <v>160</v>
      </c>
      <c r="G9" s="55">
        <v>12</v>
      </c>
      <c r="H9" s="56">
        <v>171</v>
      </c>
      <c r="I9" s="55">
        <v>16</v>
      </c>
      <c r="J9" s="56">
        <v>208</v>
      </c>
      <c r="K9" s="55">
        <v>10</v>
      </c>
      <c r="L9" s="56">
        <v>155</v>
      </c>
      <c r="M9" s="55">
        <v>10</v>
      </c>
      <c r="N9" s="56">
        <v>160</v>
      </c>
      <c r="O9" s="55">
        <v>8</v>
      </c>
      <c r="P9" s="56">
        <v>153</v>
      </c>
      <c r="Q9" s="55">
        <v>11</v>
      </c>
      <c r="R9" s="56">
        <v>170</v>
      </c>
      <c r="S9" s="55">
        <v>7</v>
      </c>
      <c r="T9" s="56">
        <v>180</v>
      </c>
      <c r="U9" s="55">
        <v>10</v>
      </c>
      <c r="V9" s="56">
        <v>168</v>
      </c>
      <c r="W9" s="55">
        <v>8</v>
      </c>
      <c r="X9" s="56">
        <v>178</v>
      </c>
      <c r="Y9" s="55">
        <v>10</v>
      </c>
      <c r="Z9" s="56">
        <v>170</v>
      </c>
      <c r="AA9" s="55">
        <v>13</v>
      </c>
      <c r="AB9" s="56">
        <v>180</v>
      </c>
      <c r="AC9" s="55">
        <v>12</v>
      </c>
      <c r="AD9" s="56">
        <v>180</v>
      </c>
      <c r="AE9" s="55">
        <v>5</v>
      </c>
      <c r="AF9" s="56">
        <v>180</v>
      </c>
      <c r="AG9" s="55">
        <v>11</v>
      </c>
      <c r="AH9" s="56">
        <v>200</v>
      </c>
      <c r="AI9" s="55">
        <v>7</v>
      </c>
      <c r="AJ9" s="56">
        <v>190</v>
      </c>
      <c r="AK9" s="55">
        <v>17</v>
      </c>
      <c r="AL9" s="56">
        <v>180</v>
      </c>
      <c r="AM9" s="55">
        <v>11</v>
      </c>
      <c r="AN9" s="56">
        <v>200</v>
      </c>
      <c r="AO9" s="55">
        <v>11</v>
      </c>
      <c r="AP9" s="56">
        <v>215</v>
      </c>
      <c r="AQ9" s="55">
        <v>9</v>
      </c>
      <c r="AR9" s="56">
        <v>185</v>
      </c>
      <c r="AS9" s="55" t="s">
        <v>2</v>
      </c>
      <c r="AT9" s="56" t="s">
        <v>2</v>
      </c>
      <c r="AU9" s="55">
        <v>9</v>
      </c>
      <c r="AV9" s="56">
        <v>200</v>
      </c>
      <c r="AW9" s="55">
        <v>14</v>
      </c>
      <c r="AX9" s="56">
        <v>210</v>
      </c>
      <c r="AY9" s="55">
        <v>12</v>
      </c>
      <c r="AZ9" s="56">
        <v>209</v>
      </c>
      <c r="BA9" s="55">
        <v>5</v>
      </c>
      <c r="BB9" s="56">
        <v>220</v>
      </c>
      <c r="BC9" s="55">
        <v>7</v>
      </c>
      <c r="BD9" s="56">
        <v>225</v>
      </c>
      <c r="BE9" s="55">
        <v>7</v>
      </c>
      <c r="BF9" s="56">
        <v>225</v>
      </c>
      <c r="BG9" s="55">
        <v>13</v>
      </c>
      <c r="BH9" s="56">
        <v>220</v>
      </c>
      <c r="BI9" s="55">
        <v>8</v>
      </c>
      <c r="BJ9" s="56">
        <v>260</v>
      </c>
      <c r="BK9" s="55">
        <v>6</v>
      </c>
      <c r="BL9" s="56">
        <v>225</v>
      </c>
      <c r="BM9" s="55">
        <v>6</v>
      </c>
      <c r="BN9" s="56">
        <v>215</v>
      </c>
      <c r="BO9" s="55">
        <v>9</v>
      </c>
      <c r="BP9" s="56">
        <v>250</v>
      </c>
      <c r="BQ9" s="55">
        <v>11</v>
      </c>
      <c r="BR9" s="56">
        <v>240</v>
      </c>
      <c r="BS9" s="55">
        <v>7</v>
      </c>
      <c r="BT9" s="56">
        <v>250</v>
      </c>
      <c r="BU9" s="55">
        <v>5</v>
      </c>
      <c r="BV9" s="56">
        <v>250</v>
      </c>
      <c r="BW9" s="55" t="s">
        <v>2</v>
      </c>
      <c r="BX9" s="56" t="s">
        <v>2</v>
      </c>
      <c r="BY9" s="55" t="s">
        <v>2</v>
      </c>
      <c r="BZ9" s="56" t="s">
        <v>2</v>
      </c>
      <c r="CA9" s="55" t="s">
        <v>2</v>
      </c>
      <c r="CB9" s="56" t="s">
        <v>2</v>
      </c>
      <c r="CC9" s="55" t="s">
        <v>2</v>
      </c>
      <c r="CD9" s="56" t="s">
        <v>2</v>
      </c>
      <c r="CE9" s="55" t="s">
        <v>2</v>
      </c>
      <c r="CF9" s="56" t="s">
        <v>2</v>
      </c>
      <c r="CG9" s="55" t="s">
        <v>2</v>
      </c>
      <c r="CH9" s="56" t="s">
        <v>2</v>
      </c>
      <c r="CI9" s="55" t="s">
        <v>2</v>
      </c>
      <c r="CJ9" s="56" t="s">
        <v>2</v>
      </c>
      <c r="CK9" s="55" t="s">
        <v>2</v>
      </c>
      <c r="CL9" s="56" t="s">
        <v>2</v>
      </c>
      <c r="CM9" s="55" t="s">
        <v>2</v>
      </c>
      <c r="CN9" s="56" t="s">
        <v>2</v>
      </c>
      <c r="CO9" s="55" t="s">
        <v>2</v>
      </c>
      <c r="CP9" s="56" t="s">
        <v>2</v>
      </c>
      <c r="CQ9" s="55" t="s">
        <v>2</v>
      </c>
      <c r="CR9" s="56" t="s">
        <v>2</v>
      </c>
      <c r="CS9" s="55" t="s">
        <v>2</v>
      </c>
      <c r="CT9" s="56" t="s">
        <v>2</v>
      </c>
      <c r="CU9" s="55" t="s">
        <v>2</v>
      </c>
      <c r="CV9" s="56" t="s">
        <v>2</v>
      </c>
      <c r="CW9" s="55" t="s">
        <v>2</v>
      </c>
      <c r="CX9" s="56" t="s">
        <v>2</v>
      </c>
      <c r="CY9" s="55" t="s">
        <v>2</v>
      </c>
      <c r="CZ9" s="56" t="s">
        <v>2</v>
      </c>
      <c r="DA9" s="55" t="s">
        <v>2</v>
      </c>
      <c r="DB9" s="56" t="s">
        <v>2</v>
      </c>
      <c r="DC9" s="55" t="s">
        <v>2</v>
      </c>
      <c r="DD9" s="56" t="s">
        <v>2</v>
      </c>
      <c r="DE9" s="55" t="s">
        <v>2</v>
      </c>
      <c r="DF9" s="56" t="s">
        <v>2</v>
      </c>
      <c r="DG9" s="55">
        <v>5</v>
      </c>
      <c r="DH9" s="56">
        <v>340</v>
      </c>
      <c r="DI9" s="55" t="s">
        <v>2</v>
      </c>
      <c r="DJ9" s="56" t="s">
        <v>2</v>
      </c>
      <c r="DK9" s="55" t="s">
        <v>2</v>
      </c>
      <c r="DL9" s="56" t="s">
        <v>2</v>
      </c>
      <c r="DM9" s="55">
        <v>6</v>
      </c>
      <c r="DN9" s="56">
        <v>335</v>
      </c>
      <c r="DO9" s="55" t="s">
        <v>2</v>
      </c>
      <c r="DP9" s="56" t="s">
        <v>2</v>
      </c>
      <c r="DQ9" s="55" t="s">
        <v>2</v>
      </c>
      <c r="DR9" s="56" t="s">
        <v>2</v>
      </c>
      <c r="DS9" s="55" t="s">
        <v>2</v>
      </c>
      <c r="DT9" s="56" t="s">
        <v>2</v>
      </c>
      <c r="DU9" s="55" t="s">
        <v>2</v>
      </c>
      <c r="DV9" s="56" t="s">
        <v>2</v>
      </c>
      <c r="DW9" s="55" t="s">
        <v>2</v>
      </c>
      <c r="DX9" s="56" t="s">
        <v>2</v>
      </c>
      <c r="DY9" s="55" t="s">
        <v>2</v>
      </c>
      <c r="DZ9" s="56" t="s">
        <v>2</v>
      </c>
      <c r="EA9" s="55" t="s">
        <v>2</v>
      </c>
      <c r="EB9" s="56" t="s">
        <v>2</v>
      </c>
      <c r="EC9" s="55" t="s">
        <v>2</v>
      </c>
      <c r="ED9" s="56" t="s">
        <v>2</v>
      </c>
      <c r="EE9" s="55" t="s">
        <v>2</v>
      </c>
      <c r="EF9" s="56" t="s">
        <v>2</v>
      </c>
      <c r="EG9" s="55">
        <v>5</v>
      </c>
      <c r="EH9" s="56">
        <v>350</v>
      </c>
      <c r="EI9" s="55" t="s">
        <v>2</v>
      </c>
      <c r="EJ9" s="56" t="s">
        <v>2</v>
      </c>
      <c r="EK9" s="55">
        <v>7</v>
      </c>
      <c r="EL9" s="56">
        <v>365</v>
      </c>
      <c r="EM9" s="55" t="s">
        <v>2</v>
      </c>
      <c r="EN9" s="56" t="s">
        <v>2</v>
      </c>
      <c r="EO9" s="55">
        <v>5</v>
      </c>
      <c r="EP9" s="56">
        <v>440</v>
      </c>
      <c r="EQ9" s="55" t="s">
        <v>2</v>
      </c>
      <c r="ER9" s="56" t="s">
        <v>2</v>
      </c>
      <c r="ES9" s="55" t="s">
        <v>2</v>
      </c>
      <c r="ET9" s="56" t="s">
        <v>2</v>
      </c>
      <c r="EU9" s="55" t="s">
        <v>2</v>
      </c>
      <c r="EV9" s="56" t="s">
        <v>2</v>
      </c>
      <c r="EW9" s="55" t="s">
        <v>2</v>
      </c>
      <c r="EX9" s="56" t="s">
        <v>2</v>
      </c>
      <c r="EY9" s="55" t="s">
        <v>2</v>
      </c>
      <c r="EZ9" s="56" t="s">
        <v>2</v>
      </c>
      <c r="FA9" s="55" t="s">
        <v>2</v>
      </c>
      <c r="FB9" s="56" t="s">
        <v>2</v>
      </c>
      <c r="FC9" s="55">
        <v>7</v>
      </c>
      <c r="FD9" s="56">
        <v>390</v>
      </c>
      <c r="FE9" s="55" t="s">
        <v>2</v>
      </c>
      <c r="FF9" s="56" t="s">
        <v>2</v>
      </c>
      <c r="FG9" s="55" t="s">
        <v>2</v>
      </c>
      <c r="FH9" s="56" t="s">
        <v>2</v>
      </c>
      <c r="FI9" s="55" t="s">
        <v>2</v>
      </c>
      <c r="FJ9" s="56" t="s">
        <v>2</v>
      </c>
      <c r="FK9" s="55" t="s">
        <v>2</v>
      </c>
      <c r="FL9" s="56" t="s">
        <v>2</v>
      </c>
      <c r="FM9" s="55" t="s">
        <v>2</v>
      </c>
      <c r="FN9" s="56" t="s">
        <v>2</v>
      </c>
      <c r="FO9" s="55" t="s">
        <v>2</v>
      </c>
      <c r="FP9" s="56" t="s">
        <v>2</v>
      </c>
      <c r="FQ9" s="55">
        <v>6</v>
      </c>
      <c r="FR9" s="56">
        <v>415</v>
      </c>
      <c r="FS9" s="55" t="s">
        <v>2</v>
      </c>
      <c r="FT9" s="56" t="s">
        <v>2</v>
      </c>
      <c r="FU9" s="55" t="s">
        <v>2</v>
      </c>
      <c r="FV9" s="56" t="s">
        <v>2</v>
      </c>
      <c r="FW9" s="55">
        <v>6</v>
      </c>
      <c r="FX9" s="56">
        <v>448</v>
      </c>
      <c r="FY9" s="55" t="s">
        <v>2</v>
      </c>
      <c r="FZ9" s="56" t="s">
        <v>2</v>
      </c>
      <c r="GA9" s="55" t="s">
        <v>2</v>
      </c>
      <c r="GB9" s="56" t="s">
        <v>2</v>
      </c>
      <c r="GC9" s="55" t="s">
        <v>2</v>
      </c>
      <c r="GD9" s="56" t="s">
        <v>2</v>
      </c>
      <c r="GE9" s="55" t="s">
        <v>2</v>
      </c>
      <c r="GF9" s="56" t="s">
        <v>2</v>
      </c>
      <c r="GG9" s="55" t="s">
        <v>2</v>
      </c>
      <c r="GH9" s="56" t="s">
        <v>2</v>
      </c>
      <c r="GI9" s="55" t="s">
        <v>2</v>
      </c>
      <c r="GJ9" s="56" t="s">
        <v>2</v>
      </c>
      <c r="GK9" s="55" t="s">
        <v>2</v>
      </c>
      <c r="GL9" s="56" t="s">
        <v>2</v>
      </c>
      <c r="GM9" s="55">
        <v>5</v>
      </c>
      <c r="GN9" s="56">
        <v>530</v>
      </c>
      <c r="GO9" s="55" t="s">
        <v>2</v>
      </c>
      <c r="GP9" s="56" t="s">
        <v>2</v>
      </c>
      <c r="GQ9" s="55" t="s">
        <v>2</v>
      </c>
      <c r="GR9" s="56" t="s">
        <v>2</v>
      </c>
      <c r="GS9" s="55" t="s">
        <v>2</v>
      </c>
      <c r="GT9" s="56" t="s">
        <v>2</v>
      </c>
      <c r="GU9" s="55" t="s">
        <v>2</v>
      </c>
      <c r="GV9" s="56" t="s">
        <v>2</v>
      </c>
      <c r="GW9" s="55" t="s">
        <v>2</v>
      </c>
      <c r="GX9" s="56" t="s">
        <v>2</v>
      </c>
      <c r="GY9" s="55" t="s">
        <v>2</v>
      </c>
      <c r="GZ9" s="56" t="s">
        <v>2</v>
      </c>
      <c r="HA9" t="s">
        <v>2</v>
      </c>
      <c r="HB9" s="56" t="s">
        <v>2</v>
      </c>
      <c r="HC9" t="s">
        <v>2</v>
      </c>
      <c r="HD9" s="56" t="s">
        <v>2</v>
      </c>
      <c r="HE9" t="s">
        <v>2</v>
      </c>
      <c r="HF9" s="56" t="s">
        <v>2</v>
      </c>
    </row>
    <row r="10" spans="1:215" x14ac:dyDescent="0.25">
      <c r="A10" s="53"/>
      <c r="B10" s="54" t="s">
        <v>749</v>
      </c>
      <c r="C10" s="55">
        <v>56</v>
      </c>
      <c r="D10" s="56">
        <v>120</v>
      </c>
      <c r="E10" s="55">
        <v>45</v>
      </c>
      <c r="F10" s="56">
        <v>115</v>
      </c>
      <c r="G10" s="55">
        <v>51</v>
      </c>
      <c r="H10" s="56">
        <v>120</v>
      </c>
      <c r="I10" s="55">
        <v>41</v>
      </c>
      <c r="J10" s="56">
        <v>120</v>
      </c>
      <c r="K10" s="55">
        <v>42</v>
      </c>
      <c r="L10" s="56">
        <v>113</v>
      </c>
      <c r="M10" s="55">
        <v>43</v>
      </c>
      <c r="N10" s="56">
        <v>120</v>
      </c>
      <c r="O10" s="55">
        <v>43</v>
      </c>
      <c r="P10" s="56">
        <v>115</v>
      </c>
      <c r="Q10" s="55">
        <v>53</v>
      </c>
      <c r="R10" s="56">
        <v>115</v>
      </c>
      <c r="S10" s="55">
        <v>33</v>
      </c>
      <c r="T10" s="56">
        <v>115</v>
      </c>
      <c r="U10" s="55">
        <v>36</v>
      </c>
      <c r="V10" s="56">
        <v>125</v>
      </c>
      <c r="W10" s="55">
        <v>34</v>
      </c>
      <c r="X10" s="56">
        <v>120</v>
      </c>
      <c r="Y10" s="55">
        <v>37</v>
      </c>
      <c r="Z10" s="56">
        <v>130</v>
      </c>
      <c r="AA10" s="55">
        <v>29</v>
      </c>
      <c r="AB10" s="56">
        <v>130</v>
      </c>
      <c r="AC10" s="55">
        <v>29</v>
      </c>
      <c r="AD10" s="56">
        <v>130</v>
      </c>
      <c r="AE10" s="55">
        <v>26</v>
      </c>
      <c r="AF10" s="56">
        <v>133</v>
      </c>
      <c r="AG10" s="55">
        <v>28</v>
      </c>
      <c r="AH10" s="56">
        <v>150</v>
      </c>
      <c r="AI10" s="55">
        <v>35</v>
      </c>
      <c r="AJ10" s="56">
        <v>150</v>
      </c>
      <c r="AK10" s="55">
        <v>24</v>
      </c>
      <c r="AL10" s="56">
        <v>158</v>
      </c>
      <c r="AM10" s="55">
        <v>39</v>
      </c>
      <c r="AN10" s="56">
        <v>160</v>
      </c>
      <c r="AO10" s="55">
        <v>44</v>
      </c>
      <c r="AP10" s="56">
        <v>155</v>
      </c>
      <c r="AQ10" s="55">
        <v>32</v>
      </c>
      <c r="AR10" s="56">
        <v>163</v>
      </c>
      <c r="AS10" s="55">
        <v>46</v>
      </c>
      <c r="AT10" s="56">
        <v>170</v>
      </c>
      <c r="AU10" s="55">
        <v>43</v>
      </c>
      <c r="AV10" s="56">
        <v>185</v>
      </c>
      <c r="AW10" s="55">
        <v>52</v>
      </c>
      <c r="AX10" s="56">
        <v>200</v>
      </c>
      <c r="AY10" s="55">
        <v>43</v>
      </c>
      <c r="AZ10" s="56">
        <v>200</v>
      </c>
      <c r="BA10" s="55">
        <v>38</v>
      </c>
      <c r="BB10" s="56">
        <v>195</v>
      </c>
      <c r="BC10" s="55">
        <v>42</v>
      </c>
      <c r="BD10" s="56">
        <v>200</v>
      </c>
      <c r="BE10" s="55">
        <v>36</v>
      </c>
      <c r="BF10" s="56">
        <v>185</v>
      </c>
      <c r="BG10" s="55">
        <v>43</v>
      </c>
      <c r="BH10" s="56">
        <v>180</v>
      </c>
      <c r="BI10" s="55">
        <v>49</v>
      </c>
      <c r="BJ10" s="56">
        <v>200</v>
      </c>
      <c r="BK10" s="55">
        <v>36</v>
      </c>
      <c r="BL10" s="56">
        <v>188</v>
      </c>
      <c r="BM10" s="55">
        <v>47</v>
      </c>
      <c r="BN10" s="56">
        <v>185</v>
      </c>
      <c r="BO10" s="55">
        <v>42</v>
      </c>
      <c r="BP10" s="56">
        <v>200</v>
      </c>
      <c r="BQ10" s="55">
        <v>37</v>
      </c>
      <c r="BR10" s="56">
        <v>180</v>
      </c>
      <c r="BS10" s="55">
        <v>45</v>
      </c>
      <c r="BT10" s="56">
        <v>180</v>
      </c>
      <c r="BU10" s="55">
        <v>38</v>
      </c>
      <c r="BV10" s="56">
        <v>200</v>
      </c>
      <c r="BW10" s="55">
        <v>44</v>
      </c>
      <c r="BX10" s="56">
        <v>200</v>
      </c>
      <c r="BY10" s="55">
        <v>41</v>
      </c>
      <c r="BZ10" s="56">
        <v>190</v>
      </c>
      <c r="CA10" s="55">
        <v>47</v>
      </c>
      <c r="CB10" s="56">
        <v>200</v>
      </c>
      <c r="CC10" s="55">
        <v>41</v>
      </c>
      <c r="CD10" s="56">
        <v>220</v>
      </c>
      <c r="CE10" s="55">
        <v>57</v>
      </c>
      <c r="CF10" s="56">
        <v>190</v>
      </c>
      <c r="CG10" s="55">
        <v>36</v>
      </c>
      <c r="CH10" s="56">
        <v>190</v>
      </c>
      <c r="CI10" s="55">
        <v>40</v>
      </c>
      <c r="CJ10" s="56">
        <v>220</v>
      </c>
      <c r="CK10" s="55">
        <v>54</v>
      </c>
      <c r="CL10" s="56">
        <v>213</v>
      </c>
      <c r="CM10" s="55">
        <v>32</v>
      </c>
      <c r="CN10" s="56">
        <v>205</v>
      </c>
      <c r="CO10" s="55">
        <v>50</v>
      </c>
      <c r="CP10" s="56">
        <v>230</v>
      </c>
      <c r="CQ10" s="55">
        <v>40</v>
      </c>
      <c r="CR10" s="56">
        <v>195</v>
      </c>
      <c r="CS10" s="55">
        <v>49</v>
      </c>
      <c r="CT10" s="56">
        <v>240</v>
      </c>
      <c r="CU10" s="55">
        <v>41</v>
      </c>
      <c r="CV10" s="56">
        <v>240</v>
      </c>
      <c r="CW10" s="55">
        <v>43</v>
      </c>
      <c r="CX10" s="56">
        <v>240</v>
      </c>
      <c r="CY10" s="55">
        <v>44</v>
      </c>
      <c r="CZ10" s="56">
        <v>240</v>
      </c>
      <c r="DA10" s="55">
        <v>44</v>
      </c>
      <c r="DB10" s="56">
        <v>220</v>
      </c>
      <c r="DC10" s="55">
        <v>46</v>
      </c>
      <c r="DD10" s="56">
        <v>250</v>
      </c>
      <c r="DE10" s="55">
        <v>46</v>
      </c>
      <c r="DF10" s="56">
        <v>240</v>
      </c>
      <c r="DG10" s="55">
        <v>42</v>
      </c>
      <c r="DH10" s="56">
        <v>235</v>
      </c>
      <c r="DI10" s="55">
        <v>57</v>
      </c>
      <c r="DJ10" s="56">
        <v>230</v>
      </c>
      <c r="DK10" s="55">
        <v>30</v>
      </c>
      <c r="DL10" s="56">
        <v>245</v>
      </c>
      <c r="DM10" s="55">
        <v>44</v>
      </c>
      <c r="DN10" s="56">
        <v>230</v>
      </c>
      <c r="DO10" s="55">
        <v>50</v>
      </c>
      <c r="DP10" s="56">
        <v>240</v>
      </c>
      <c r="DQ10" s="55">
        <v>59</v>
      </c>
      <c r="DR10" s="56">
        <v>240</v>
      </c>
      <c r="DS10" s="55">
        <v>37</v>
      </c>
      <c r="DT10" s="56">
        <v>240</v>
      </c>
      <c r="DU10" s="55">
        <v>43</v>
      </c>
      <c r="DV10" s="56">
        <v>240</v>
      </c>
      <c r="DW10" s="55">
        <v>46</v>
      </c>
      <c r="DX10" s="56">
        <v>255</v>
      </c>
      <c r="DY10" s="55">
        <v>56</v>
      </c>
      <c r="DZ10" s="56">
        <v>250</v>
      </c>
      <c r="EA10" s="55">
        <v>41</v>
      </c>
      <c r="EB10" s="56">
        <v>220</v>
      </c>
      <c r="EC10" s="55">
        <v>59</v>
      </c>
      <c r="ED10" s="56">
        <v>240</v>
      </c>
      <c r="EE10" s="55">
        <v>62</v>
      </c>
      <c r="EF10" s="56">
        <v>230</v>
      </c>
      <c r="EG10" s="55">
        <v>52</v>
      </c>
      <c r="EH10" s="56">
        <v>245</v>
      </c>
      <c r="EI10" s="55">
        <v>55</v>
      </c>
      <c r="EJ10" s="56">
        <v>240</v>
      </c>
      <c r="EK10" s="55">
        <v>51</v>
      </c>
      <c r="EL10" s="56">
        <v>250</v>
      </c>
      <c r="EM10" s="55">
        <v>59</v>
      </c>
      <c r="EN10" s="56">
        <v>230</v>
      </c>
      <c r="EO10" s="55">
        <v>54</v>
      </c>
      <c r="EP10" s="56">
        <v>250</v>
      </c>
      <c r="EQ10" s="55">
        <v>54</v>
      </c>
      <c r="ER10" s="56">
        <v>230</v>
      </c>
      <c r="ES10" s="55">
        <v>47</v>
      </c>
      <c r="ET10" s="56">
        <v>230</v>
      </c>
      <c r="EU10" s="55">
        <v>57</v>
      </c>
      <c r="EV10" s="56">
        <v>250</v>
      </c>
      <c r="EW10" s="55">
        <v>53</v>
      </c>
      <c r="EX10" s="56">
        <v>250</v>
      </c>
      <c r="EY10" s="55">
        <v>48</v>
      </c>
      <c r="EZ10" s="56">
        <v>245</v>
      </c>
      <c r="FA10" s="55">
        <v>43</v>
      </c>
      <c r="FB10" s="56">
        <v>260</v>
      </c>
      <c r="FC10" s="55">
        <v>44</v>
      </c>
      <c r="FD10" s="56">
        <v>270</v>
      </c>
      <c r="FE10" s="55">
        <v>49</v>
      </c>
      <c r="FF10" s="56">
        <v>265</v>
      </c>
      <c r="FG10" s="55">
        <v>39</v>
      </c>
      <c r="FH10" s="56">
        <v>270</v>
      </c>
      <c r="FI10" s="55">
        <v>50</v>
      </c>
      <c r="FJ10" s="56">
        <v>270</v>
      </c>
      <c r="FK10" s="55">
        <v>37</v>
      </c>
      <c r="FL10" s="56">
        <v>280</v>
      </c>
      <c r="FM10" s="55">
        <v>53</v>
      </c>
      <c r="FN10" s="56">
        <v>280</v>
      </c>
      <c r="FO10" s="55">
        <v>45</v>
      </c>
      <c r="FP10" s="56">
        <v>280</v>
      </c>
      <c r="FQ10" s="55">
        <v>42</v>
      </c>
      <c r="FR10" s="56">
        <v>295</v>
      </c>
      <c r="FS10" s="55">
        <v>39</v>
      </c>
      <c r="FT10" s="56">
        <v>290</v>
      </c>
      <c r="FU10" s="55">
        <v>34</v>
      </c>
      <c r="FV10" s="56">
        <v>320</v>
      </c>
      <c r="FW10" s="55">
        <v>40</v>
      </c>
      <c r="FX10" s="56">
        <v>320</v>
      </c>
      <c r="FY10" s="55">
        <v>29</v>
      </c>
      <c r="FZ10" s="56">
        <v>300</v>
      </c>
      <c r="GA10" s="55">
        <v>36</v>
      </c>
      <c r="GB10" s="56">
        <v>340</v>
      </c>
      <c r="GC10" s="55">
        <v>36</v>
      </c>
      <c r="GD10" s="56">
        <v>340</v>
      </c>
      <c r="GE10" s="55">
        <v>37</v>
      </c>
      <c r="GF10" s="56">
        <v>360</v>
      </c>
      <c r="GG10" s="55">
        <v>23</v>
      </c>
      <c r="GH10" s="56">
        <v>350</v>
      </c>
      <c r="GI10" s="55">
        <v>31</v>
      </c>
      <c r="GJ10" s="56">
        <v>310</v>
      </c>
      <c r="GK10" s="55">
        <v>37</v>
      </c>
      <c r="GL10" s="56">
        <v>350</v>
      </c>
      <c r="GM10" s="55">
        <v>40</v>
      </c>
      <c r="GN10" s="56">
        <v>350</v>
      </c>
      <c r="GO10" s="55">
        <v>35</v>
      </c>
      <c r="GP10" s="56">
        <v>360</v>
      </c>
      <c r="GQ10" s="55">
        <v>19</v>
      </c>
      <c r="GR10" s="56">
        <v>370</v>
      </c>
      <c r="GS10" s="55">
        <v>26</v>
      </c>
      <c r="GT10" s="56">
        <v>345</v>
      </c>
      <c r="GU10" s="55">
        <v>37</v>
      </c>
      <c r="GV10" s="56">
        <v>360</v>
      </c>
      <c r="GW10" s="55">
        <v>23</v>
      </c>
      <c r="GX10" s="56">
        <v>360</v>
      </c>
      <c r="GY10" s="55">
        <v>33</v>
      </c>
      <c r="GZ10" s="56">
        <v>380</v>
      </c>
      <c r="HA10">
        <v>23</v>
      </c>
      <c r="HB10" s="56">
        <v>390</v>
      </c>
      <c r="HC10">
        <v>34</v>
      </c>
      <c r="HD10" s="56">
        <v>380</v>
      </c>
      <c r="HE10">
        <v>26</v>
      </c>
      <c r="HF10" s="56">
        <v>398</v>
      </c>
    </row>
    <row r="11" spans="1:215" x14ac:dyDescent="0.25">
      <c r="A11" s="53"/>
      <c r="B11" s="54" t="s">
        <v>750</v>
      </c>
      <c r="C11" s="55">
        <v>58</v>
      </c>
      <c r="D11" s="56">
        <v>150</v>
      </c>
      <c r="E11" s="55">
        <v>68</v>
      </c>
      <c r="F11" s="56">
        <v>160</v>
      </c>
      <c r="G11" s="55">
        <v>55</v>
      </c>
      <c r="H11" s="56">
        <v>170</v>
      </c>
      <c r="I11" s="55">
        <v>68</v>
      </c>
      <c r="J11" s="56">
        <v>170</v>
      </c>
      <c r="K11" s="55">
        <v>77</v>
      </c>
      <c r="L11" s="56">
        <v>165</v>
      </c>
      <c r="M11" s="55">
        <v>82</v>
      </c>
      <c r="N11" s="56">
        <v>180</v>
      </c>
      <c r="O11" s="55">
        <v>61</v>
      </c>
      <c r="P11" s="56">
        <v>170</v>
      </c>
      <c r="Q11" s="55">
        <v>79</v>
      </c>
      <c r="R11" s="56">
        <v>180</v>
      </c>
      <c r="S11" s="55">
        <v>62</v>
      </c>
      <c r="T11" s="56">
        <v>190</v>
      </c>
      <c r="U11" s="55">
        <v>80</v>
      </c>
      <c r="V11" s="56">
        <v>185</v>
      </c>
      <c r="W11" s="55">
        <v>46</v>
      </c>
      <c r="X11" s="56">
        <v>190</v>
      </c>
      <c r="Y11" s="55">
        <v>88</v>
      </c>
      <c r="Z11" s="56">
        <v>188</v>
      </c>
      <c r="AA11" s="55">
        <v>79</v>
      </c>
      <c r="AB11" s="56">
        <v>195</v>
      </c>
      <c r="AC11" s="55">
        <v>74</v>
      </c>
      <c r="AD11" s="56">
        <v>200</v>
      </c>
      <c r="AE11" s="55">
        <v>66</v>
      </c>
      <c r="AF11" s="56">
        <v>220</v>
      </c>
      <c r="AG11" s="55">
        <v>72</v>
      </c>
      <c r="AH11" s="56">
        <v>200</v>
      </c>
      <c r="AI11" s="55">
        <v>81</v>
      </c>
      <c r="AJ11" s="56">
        <v>215</v>
      </c>
      <c r="AK11" s="55">
        <v>76</v>
      </c>
      <c r="AL11" s="56">
        <v>210</v>
      </c>
      <c r="AM11" s="55">
        <v>64</v>
      </c>
      <c r="AN11" s="56">
        <v>220</v>
      </c>
      <c r="AO11" s="55">
        <v>79</v>
      </c>
      <c r="AP11" s="56">
        <v>220</v>
      </c>
      <c r="AQ11" s="55">
        <v>56</v>
      </c>
      <c r="AR11" s="56">
        <v>210</v>
      </c>
      <c r="AS11" s="55">
        <v>77</v>
      </c>
      <c r="AT11" s="56">
        <v>210</v>
      </c>
      <c r="AU11" s="55">
        <v>75</v>
      </c>
      <c r="AV11" s="56">
        <v>235</v>
      </c>
      <c r="AW11" s="55">
        <v>69</v>
      </c>
      <c r="AX11" s="56">
        <v>240</v>
      </c>
      <c r="AY11" s="55">
        <v>91</v>
      </c>
      <c r="AZ11" s="56">
        <v>240</v>
      </c>
      <c r="BA11" s="55">
        <v>96</v>
      </c>
      <c r="BB11" s="56">
        <v>240</v>
      </c>
      <c r="BC11" s="55">
        <v>65</v>
      </c>
      <c r="BD11" s="56">
        <v>260</v>
      </c>
      <c r="BE11" s="55">
        <v>69</v>
      </c>
      <c r="BF11" s="56">
        <v>250</v>
      </c>
      <c r="BG11" s="55">
        <v>71</v>
      </c>
      <c r="BH11" s="56">
        <v>250</v>
      </c>
      <c r="BI11" s="55">
        <v>94</v>
      </c>
      <c r="BJ11" s="56">
        <v>263</v>
      </c>
      <c r="BK11" s="55">
        <v>64</v>
      </c>
      <c r="BL11" s="56">
        <v>263</v>
      </c>
      <c r="BM11" s="55">
        <v>75</v>
      </c>
      <c r="BN11" s="56">
        <v>280</v>
      </c>
      <c r="BO11" s="55">
        <v>79</v>
      </c>
      <c r="BP11" s="56">
        <v>280</v>
      </c>
      <c r="BQ11" s="55">
        <v>94</v>
      </c>
      <c r="BR11" s="56">
        <v>265</v>
      </c>
      <c r="BS11" s="55">
        <v>74</v>
      </c>
      <c r="BT11" s="56">
        <v>283</v>
      </c>
      <c r="BU11" s="55">
        <v>88</v>
      </c>
      <c r="BV11" s="56">
        <v>285</v>
      </c>
      <c r="BW11" s="55">
        <v>85</v>
      </c>
      <c r="BX11" s="56">
        <v>275</v>
      </c>
      <c r="BY11" s="55">
        <v>84</v>
      </c>
      <c r="BZ11" s="56">
        <v>283</v>
      </c>
      <c r="CA11" s="55">
        <v>84</v>
      </c>
      <c r="CB11" s="56">
        <v>325</v>
      </c>
      <c r="CC11" s="55">
        <v>84</v>
      </c>
      <c r="CD11" s="56">
        <v>340</v>
      </c>
      <c r="CE11" s="55">
        <v>83</v>
      </c>
      <c r="CF11" s="56">
        <v>330</v>
      </c>
      <c r="CG11" s="55">
        <v>110</v>
      </c>
      <c r="CH11" s="56">
        <v>300</v>
      </c>
      <c r="CI11" s="55">
        <v>81</v>
      </c>
      <c r="CJ11" s="56">
        <v>330</v>
      </c>
      <c r="CK11" s="55">
        <v>87</v>
      </c>
      <c r="CL11" s="56">
        <v>330</v>
      </c>
      <c r="CM11" s="55">
        <v>68</v>
      </c>
      <c r="CN11" s="56">
        <v>325</v>
      </c>
      <c r="CO11" s="55">
        <v>73</v>
      </c>
      <c r="CP11" s="56">
        <v>340</v>
      </c>
      <c r="CQ11" s="55">
        <v>79</v>
      </c>
      <c r="CR11" s="56">
        <v>360</v>
      </c>
      <c r="CS11" s="55">
        <v>100</v>
      </c>
      <c r="CT11" s="56">
        <v>350</v>
      </c>
      <c r="CU11" s="55">
        <v>83</v>
      </c>
      <c r="CV11" s="56">
        <v>350</v>
      </c>
      <c r="CW11" s="55">
        <v>99</v>
      </c>
      <c r="CX11" s="56">
        <v>350</v>
      </c>
      <c r="CY11" s="55">
        <v>62</v>
      </c>
      <c r="CZ11" s="56">
        <v>390</v>
      </c>
      <c r="DA11" s="55">
        <v>95</v>
      </c>
      <c r="DB11" s="56">
        <v>360</v>
      </c>
      <c r="DC11" s="55">
        <v>98</v>
      </c>
      <c r="DD11" s="56">
        <v>363</v>
      </c>
      <c r="DE11" s="55">
        <v>96</v>
      </c>
      <c r="DF11" s="56">
        <v>350</v>
      </c>
      <c r="DG11" s="55">
        <v>93</v>
      </c>
      <c r="DH11" s="56">
        <v>370</v>
      </c>
      <c r="DI11" s="55">
        <v>86</v>
      </c>
      <c r="DJ11" s="56">
        <v>378</v>
      </c>
      <c r="DK11" s="55">
        <v>94</v>
      </c>
      <c r="DL11" s="56">
        <v>360</v>
      </c>
      <c r="DM11" s="55">
        <v>93</v>
      </c>
      <c r="DN11" s="56">
        <v>350</v>
      </c>
      <c r="DO11" s="55">
        <v>94</v>
      </c>
      <c r="DP11" s="56">
        <v>380</v>
      </c>
      <c r="DQ11" s="55">
        <v>91</v>
      </c>
      <c r="DR11" s="56">
        <v>395</v>
      </c>
      <c r="DS11" s="55">
        <v>93</v>
      </c>
      <c r="DT11" s="56">
        <v>410</v>
      </c>
      <c r="DU11" s="55">
        <v>100</v>
      </c>
      <c r="DV11" s="56">
        <v>380</v>
      </c>
      <c r="DW11" s="55">
        <v>78</v>
      </c>
      <c r="DX11" s="56">
        <v>395</v>
      </c>
      <c r="DY11" s="55">
        <v>86</v>
      </c>
      <c r="DZ11" s="56">
        <v>393</v>
      </c>
      <c r="EA11" s="55">
        <v>88</v>
      </c>
      <c r="EB11" s="56">
        <v>390</v>
      </c>
      <c r="EC11" s="55">
        <v>95</v>
      </c>
      <c r="ED11" s="56">
        <v>380</v>
      </c>
      <c r="EE11" s="55">
        <v>90</v>
      </c>
      <c r="EF11" s="56">
        <v>398</v>
      </c>
      <c r="EG11" s="55">
        <v>108</v>
      </c>
      <c r="EH11" s="56">
        <v>410</v>
      </c>
      <c r="EI11" s="55">
        <v>118</v>
      </c>
      <c r="EJ11" s="56">
        <v>400</v>
      </c>
      <c r="EK11" s="55">
        <v>97</v>
      </c>
      <c r="EL11" s="56">
        <v>400</v>
      </c>
      <c r="EM11" s="55">
        <v>94</v>
      </c>
      <c r="EN11" s="56">
        <v>450</v>
      </c>
      <c r="EO11" s="55">
        <v>106</v>
      </c>
      <c r="EP11" s="56">
        <v>438</v>
      </c>
      <c r="EQ11" s="55">
        <v>103</v>
      </c>
      <c r="ER11" s="56">
        <v>420</v>
      </c>
      <c r="ES11" s="55">
        <v>94</v>
      </c>
      <c r="ET11" s="56">
        <v>438</v>
      </c>
      <c r="EU11" s="55">
        <v>95</v>
      </c>
      <c r="EV11" s="56">
        <v>450</v>
      </c>
      <c r="EW11" s="55">
        <v>95</v>
      </c>
      <c r="EX11" s="56">
        <v>450</v>
      </c>
      <c r="EY11" s="55">
        <v>95</v>
      </c>
      <c r="EZ11" s="56">
        <v>432</v>
      </c>
      <c r="FA11" s="55">
        <v>91</v>
      </c>
      <c r="FB11" s="56">
        <v>450</v>
      </c>
      <c r="FC11" s="55">
        <v>76</v>
      </c>
      <c r="FD11" s="56">
        <v>450</v>
      </c>
      <c r="FE11" s="55">
        <v>82</v>
      </c>
      <c r="FF11" s="56">
        <v>455</v>
      </c>
      <c r="FG11" s="55">
        <v>109</v>
      </c>
      <c r="FH11" s="56">
        <v>440</v>
      </c>
      <c r="FI11" s="55">
        <v>99</v>
      </c>
      <c r="FJ11" s="56">
        <v>450</v>
      </c>
      <c r="FK11" s="55">
        <v>104</v>
      </c>
      <c r="FL11" s="56">
        <v>460</v>
      </c>
      <c r="FM11" s="55">
        <v>127</v>
      </c>
      <c r="FN11" s="56">
        <v>465</v>
      </c>
      <c r="FO11" s="55">
        <v>106</v>
      </c>
      <c r="FP11" s="56">
        <v>455</v>
      </c>
      <c r="FQ11" s="55">
        <v>120</v>
      </c>
      <c r="FR11" s="56">
        <v>450</v>
      </c>
      <c r="FS11" s="55">
        <v>66</v>
      </c>
      <c r="FT11" s="56">
        <v>490</v>
      </c>
      <c r="FU11" s="55">
        <v>82</v>
      </c>
      <c r="FV11" s="56">
        <v>510</v>
      </c>
      <c r="FW11" s="55">
        <v>93</v>
      </c>
      <c r="FX11" s="56">
        <v>500</v>
      </c>
      <c r="FY11" s="55">
        <v>91</v>
      </c>
      <c r="FZ11" s="56">
        <v>520</v>
      </c>
      <c r="GA11" s="55">
        <v>71</v>
      </c>
      <c r="GB11" s="56">
        <v>500</v>
      </c>
      <c r="GC11" s="55">
        <v>82</v>
      </c>
      <c r="GD11" s="56">
        <v>560</v>
      </c>
      <c r="GE11" s="55">
        <v>114</v>
      </c>
      <c r="GF11" s="56">
        <v>500</v>
      </c>
      <c r="GG11" s="55">
        <v>86</v>
      </c>
      <c r="GH11" s="56">
        <v>560</v>
      </c>
      <c r="GI11" s="55">
        <v>74</v>
      </c>
      <c r="GJ11" s="56">
        <v>545</v>
      </c>
      <c r="GK11" s="55">
        <v>97</v>
      </c>
      <c r="GL11" s="56">
        <v>600</v>
      </c>
      <c r="GM11" s="55">
        <v>134</v>
      </c>
      <c r="GN11" s="56">
        <v>500</v>
      </c>
      <c r="GO11" s="55">
        <v>151</v>
      </c>
      <c r="GP11" s="56">
        <v>510</v>
      </c>
      <c r="GQ11" s="55">
        <v>111</v>
      </c>
      <c r="GR11" s="56">
        <v>500</v>
      </c>
      <c r="GS11" s="55">
        <v>111</v>
      </c>
      <c r="GT11" s="56">
        <v>515</v>
      </c>
      <c r="GU11" s="55">
        <v>137</v>
      </c>
      <c r="GV11" s="56">
        <v>515</v>
      </c>
      <c r="GW11" s="55">
        <v>109</v>
      </c>
      <c r="GX11" s="56">
        <v>540</v>
      </c>
      <c r="GY11" s="55">
        <v>94</v>
      </c>
      <c r="GZ11" s="56">
        <v>575</v>
      </c>
      <c r="HA11">
        <v>154</v>
      </c>
      <c r="HB11" s="56">
        <v>505</v>
      </c>
      <c r="HC11">
        <v>100</v>
      </c>
      <c r="HD11" s="56">
        <v>575</v>
      </c>
      <c r="HE11">
        <v>93</v>
      </c>
      <c r="HF11" s="56">
        <v>600</v>
      </c>
      <c r="HG11" s="25"/>
    </row>
    <row r="12" spans="1:215" x14ac:dyDescent="0.25">
      <c r="A12" s="53"/>
      <c r="B12" s="54" t="s">
        <v>751</v>
      </c>
      <c r="C12" s="55">
        <v>85</v>
      </c>
      <c r="D12" s="56">
        <v>160</v>
      </c>
      <c r="E12" s="55">
        <v>83</v>
      </c>
      <c r="F12" s="56">
        <v>160</v>
      </c>
      <c r="G12" s="55">
        <v>107</v>
      </c>
      <c r="H12" s="56">
        <v>160</v>
      </c>
      <c r="I12" s="55">
        <v>106</v>
      </c>
      <c r="J12" s="56">
        <v>165</v>
      </c>
      <c r="K12" s="55">
        <v>87</v>
      </c>
      <c r="L12" s="56">
        <v>160</v>
      </c>
      <c r="M12" s="55">
        <v>71</v>
      </c>
      <c r="N12" s="56">
        <v>160</v>
      </c>
      <c r="O12" s="55">
        <v>59</v>
      </c>
      <c r="P12" s="56">
        <v>170</v>
      </c>
      <c r="Q12" s="55">
        <v>93</v>
      </c>
      <c r="R12" s="56">
        <v>170</v>
      </c>
      <c r="S12" s="55">
        <v>92</v>
      </c>
      <c r="T12" s="56">
        <v>175</v>
      </c>
      <c r="U12" s="55">
        <v>83</v>
      </c>
      <c r="V12" s="56">
        <v>170</v>
      </c>
      <c r="W12" s="55">
        <v>70</v>
      </c>
      <c r="X12" s="56">
        <v>175</v>
      </c>
      <c r="Y12" s="55">
        <v>92</v>
      </c>
      <c r="Z12" s="56">
        <v>180</v>
      </c>
      <c r="AA12" s="55">
        <v>77</v>
      </c>
      <c r="AB12" s="56">
        <v>180</v>
      </c>
      <c r="AC12" s="55">
        <v>87</v>
      </c>
      <c r="AD12" s="56">
        <v>180</v>
      </c>
      <c r="AE12" s="55">
        <v>105</v>
      </c>
      <c r="AF12" s="56">
        <v>190</v>
      </c>
      <c r="AG12" s="55">
        <v>103</v>
      </c>
      <c r="AH12" s="56">
        <v>198</v>
      </c>
      <c r="AI12" s="55">
        <v>83</v>
      </c>
      <c r="AJ12" s="56">
        <v>190</v>
      </c>
      <c r="AK12" s="55">
        <v>89</v>
      </c>
      <c r="AL12" s="56">
        <v>210</v>
      </c>
      <c r="AM12" s="55">
        <v>103</v>
      </c>
      <c r="AN12" s="56">
        <v>210</v>
      </c>
      <c r="AO12" s="55">
        <v>105</v>
      </c>
      <c r="AP12" s="56">
        <v>210</v>
      </c>
      <c r="AQ12" s="55">
        <v>88</v>
      </c>
      <c r="AR12" s="56">
        <v>220</v>
      </c>
      <c r="AS12" s="55">
        <v>93</v>
      </c>
      <c r="AT12" s="56">
        <v>220</v>
      </c>
      <c r="AU12" s="55">
        <v>88</v>
      </c>
      <c r="AV12" s="56">
        <v>220</v>
      </c>
      <c r="AW12" s="55">
        <v>110</v>
      </c>
      <c r="AX12" s="56">
        <v>220</v>
      </c>
      <c r="AY12" s="55">
        <v>98</v>
      </c>
      <c r="AZ12" s="56">
        <v>220</v>
      </c>
      <c r="BA12" s="55">
        <v>96</v>
      </c>
      <c r="BB12" s="56">
        <v>220</v>
      </c>
      <c r="BC12" s="55">
        <v>107</v>
      </c>
      <c r="BD12" s="56">
        <v>230</v>
      </c>
      <c r="BE12" s="55">
        <v>124</v>
      </c>
      <c r="BF12" s="56">
        <v>240</v>
      </c>
      <c r="BG12" s="55">
        <v>87</v>
      </c>
      <c r="BH12" s="56">
        <v>235</v>
      </c>
      <c r="BI12" s="55">
        <v>94</v>
      </c>
      <c r="BJ12" s="56">
        <v>240</v>
      </c>
      <c r="BK12" s="55">
        <v>103</v>
      </c>
      <c r="BL12" s="56">
        <v>250</v>
      </c>
      <c r="BM12" s="55">
        <v>112</v>
      </c>
      <c r="BN12" s="56">
        <v>240</v>
      </c>
      <c r="BO12" s="55">
        <v>100</v>
      </c>
      <c r="BP12" s="56">
        <v>240</v>
      </c>
      <c r="BQ12" s="55">
        <v>91</v>
      </c>
      <c r="BR12" s="56">
        <v>240</v>
      </c>
      <c r="BS12" s="55">
        <v>116</v>
      </c>
      <c r="BT12" s="56">
        <v>248</v>
      </c>
      <c r="BU12" s="55">
        <v>127</v>
      </c>
      <c r="BV12" s="56">
        <v>250</v>
      </c>
      <c r="BW12" s="55">
        <v>103</v>
      </c>
      <c r="BX12" s="56">
        <v>250</v>
      </c>
      <c r="BY12" s="55">
        <v>99</v>
      </c>
      <c r="BZ12" s="56">
        <v>260</v>
      </c>
      <c r="CA12" s="55">
        <v>124</v>
      </c>
      <c r="CB12" s="56">
        <v>270</v>
      </c>
      <c r="CC12" s="55">
        <v>112</v>
      </c>
      <c r="CD12" s="56">
        <v>250</v>
      </c>
      <c r="CE12" s="55">
        <v>109</v>
      </c>
      <c r="CF12" s="56">
        <v>260</v>
      </c>
      <c r="CG12" s="55">
        <v>102</v>
      </c>
      <c r="CH12" s="56">
        <v>270</v>
      </c>
      <c r="CI12" s="55">
        <v>93</v>
      </c>
      <c r="CJ12" s="56">
        <v>285</v>
      </c>
      <c r="CK12" s="55">
        <v>113</v>
      </c>
      <c r="CL12" s="56">
        <v>300</v>
      </c>
      <c r="CM12" s="55">
        <v>107</v>
      </c>
      <c r="CN12" s="56">
        <v>300</v>
      </c>
      <c r="CO12" s="55">
        <v>109</v>
      </c>
      <c r="CP12" s="56">
        <v>300</v>
      </c>
      <c r="CQ12" s="55">
        <v>121</v>
      </c>
      <c r="CR12" s="56">
        <v>300</v>
      </c>
      <c r="CS12" s="55">
        <v>118</v>
      </c>
      <c r="CT12" s="56">
        <v>310</v>
      </c>
      <c r="CU12" s="55">
        <v>124</v>
      </c>
      <c r="CV12" s="56">
        <v>320</v>
      </c>
      <c r="CW12" s="55">
        <v>130</v>
      </c>
      <c r="CX12" s="56">
        <v>310</v>
      </c>
      <c r="CY12" s="55">
        <v>110</v>
      </c>
      <c r="CZ12" s="56">
        <v>320</v>
      </c>
      <c r="DA12" s="55">
        <v>137</v>
      </c>
      <c r="DB12" s="56">
        <v>320</v>
      </c>
      <c r="DC12" s="55">
        <v>142</v>
      </c>
      <c r="DD12" s="56">
        <v>320</v>
      </c>
      <c r="DE12" s="55">
        <v>146</v>
      </c>
      <c r="DF12" s="56">
        <v>300</v>
      </c>
      <c r="DG12" s="55">
        <v>130</v>
      </c>
      <c r="DH12" s="56">
        <v>300</v>
      </c>
      <c r="DI12" s="55">
        <v>144</v>
      </c>
      <c r="DJ12" s="56">
        <v>314</v>
      </c>
      <c r="DK12" s="55">
        <v>134</v>
      </c>
      <c r="DL12" s="56">
        <v>300</v>
      </c>
      <c r="DM12" s="55">
        <v>138</v>
      </c>
      <c r="DN12" s="56">
        <v>300</v>
      </c>
      <c r="DO12" s="55">
        <v>142</v>
      </c>
      <c r="DP12" s="56">
        <v>300</v>
      </c>
      <c r="DQ12" s="55">
        <v>145</v>
      </c>
      <c r="DR12" s="56">
        <v>320</v>
      </c>
      <c r="DS12" s="55">
        <v>108</v>
      </c>
      <c r="DT12" s="56">
        <v>310</v>
      </c>
      <c r="DU12" s="55">
        <v>136</v>
      </c>
      <c r="DV12" s="56">
        <v>300</v>
      </c>
      <c r="DW12" s="55">
        <v>149</v>
      </c>
      <c r="DX12" s="56">
        <v>300</v>
      </c>
      <c r="DY12" s="55">
        <v>133</v>
      </c>
      <c r="DZ12" s="56">
        <v>320</v>
      </c>
      <c r="EA12" s="55">
        <v>110</v>
      </c>
      <c r="EB12" s="56">
        <v>320</v>
      </c>
      <c r="EC12" s="55">
        <v>146</v>
      </c>
      <c r="ED12" s="56">
        <v>310</v>
      </c>
      <c r="EE12" s="55">
        <v>125</v>
      </c>
      <c r="EF12" s="56">
        <v>300</v>
      </c>
      <c r="EG12" s="55">
        <v>155</v>
      </c>
      <c r="EH12" s="56">
        <v>320</v>
      </c>
      <c r="EI12" s="55">
        <v>132</v>
      </c>
      <c r="EJ12" s="56">
        <v>310</v>
      </c>
      <c r="EK12" s="55">
        <v>129</v>
      </c>
      <c r="EL12" s="56">
        <v>330</v>
      </c>
      <c r="EM12" s="55">
        <v>121</v>
      </c>
      <c r="EN12" s="56">
        <v>320</v>
      </c>
      <c r="EO12" s="55">
        <v>136</v>
      </c>
      <c r="EP12" s="56">
        <v>320</v>
      </c>
      <c r="EQ12" s="55">
        <v>100</v>
      </c>
      <c r="ER12" s="56">
        <v>320</v>
      </c>
      <c r="ES12" s="55">
        <v>98</v>
      </c>
      <c r="ET12" s="56">
        <v>325</v>
      </c>
      <c r="EU12" s="55">
        <v>104</v>
      </c>
      <c r="EV12" s="56">
        <v>308</v>
      </c>
      <c r="EW12" s="55">
        <v>134</v>
      </c>
      <c r="EX12" s="56">
        <v>335</v>
      </c>
      <c r="EY12" s="55">
        <v>116</v>
      </c>
      <c r="EZ12" s="56">
        <v>330</v>
      </c>
      <c r="FA12" s="55">
        <v>91</v>
      </c>
      <c r="FB12" s="56">
        <v>330</v>
      </c>
      <c r="FC12" s="55">
        <v>106</v>
      </c>
      <c r="FD12" s="56">
        <v>350</v>
      </c>
      <c r="FE12" s="55">
        <v>106</v>
      </c>
      <c r="FF12" s="56">
        <v>350</v>
      </c>
      <c r="FG12" s="55">
        <v>118</v>
      </c>
      <c r="FH12" s="56">
        <v>350</v>
      </c>
      <c r="FI12" s="55">
        <v>84</v>
      </c>
      <c r="FJ12" s="56">
        <v>350</v>
      </c>
      <c r="FK12" s="55">
        <v>96</v>
      </c>
      <c r="FL12" s="56">
        <v>360</v>
      </c>
      <c r="FM12" s="55">
        <v>109</v>
      </c>
      <c r="FN12" s="56">
        <v>360</v>
      </c>
      <c r="FO12" s="55">
        <v>78</v>
      </c>
      <c r="FP12" s="56">
        <v>368</v>
      </c>
      <c r="FQ12" s="55">
        <v>74</v>
      </c>
      <c r="FR12" s="56">
        <v>368</v>
      </c>
      <c r="FS12" s="55">
        <v>77</v>
      </c>
      <c r="FT12" s="56">
        <v>370</v>
      </c>
      <c r="FU12" s="55">
        <v>80</v>
      </c>
      <c r="FV12" s="56">
        <v>400</v>
      </c>
      <c r="FW12" s="55">
        <v>84</v>
      </c>
      <c r="FX12" s="56">
        <v>420</v>
      </c>
      <c r="FY12" s="55">
        <v>91</v>
      </c>
      <c r="FZ12" s="56">
        <v>410</v>
      </c>
      <c r="GA12" s="55">
        <v>83</v>
      </c>
      <c r="GB12" s="56">
        <v>420</v>
      </c>
      <c r="GC12" s="55">
        <v>63</v>
      </c>
      <c r="GD12" s="56">
        <v>450</v>
      </c>
      <c r="GE12" s="55">
        <v>95</v>
      </c>
      <c r="GF12" s="56">
        <v>450</v>
      </c>
      <c r="GG12" s="55">
        <v>95</v>
      </c>
      <c r="GH12" s="56">
        <v>450</v>
      </c>
      <c r="GI12" s="55">
        <v>79</v>
      </c>
      <c r="GJ12" s="56">
        <v>450</v>
      </c>
      <c r="GK12" s="55">
        <v>69</v>
      </c>
      <c r="GL12" s="56">
        <v>500</v>
      </c>
      <c r="GM12" s="55">
        <v>64</v>
      </c>
      <c r="GN12" s="56">
        <v>495</v>
      </c>
      <c r="GO12" s="55">
        <v>95</v>
      </c>
      <c r="GP12" s="56">
        <v>500</v>
      </c>
      <c r="GQ12" s="55">
        <v>73</v>
      </c>
      <c r="GR12" s="56">
        <v>500</v>
      </c>
      <c r="GS12" s="55">
        <v>75</v>
      </c>
      <c r="GT12" s="56">
        <v>500</v>
      </c>
      <c r="GU12" s="55">
        <v>82</v>
      </c>
      <c r="GV12" s="56">
        <v>520</v>
      </c>
      <c r="GW12" s="55">
        <v>79</v>
      </c>
      <c r="GX12" s="56">
        <v>540</v>
      </c>
      <c r="GY12" s="55">
        <v>68</v>
      </c>
      <c r="GZ12" s="56">
        <v>505</v>
      </c>
      <c r="HA12">
        <v>83</v>
      </c>
      <c r="HB12" s="56">
        <v>570</v>
      </c>
      <c r="HC12">
        <v>68</v>
      </c>
      <c r="HD12" s="56">
        <v>550</v>
      </c>
      <c r="HE12">
        <v>94</v>
      </c>
      <c r="HF12" s="56">
        <v>550</v>
      </c>
    </row>
    <row r="13" spans="1:215" x14ac:dyDescent="0.25">
      <c r="A13" s="57"/>
      <c r="B13" s="57" t="s">
        <v>752</v>
      </c>
      <c r="C13" s="58">
        <v>932</v>
      </c>
      <c r="D13" s="59">
        <v>145</v>
      </c>
      <c r="E13" s="58">
        <v>868</v>
      </c>
      <c r="F13" s="59">
        <v>145</v>
      </c>
      <c r="G13" s="58">
        <v>931</v>
      </c>
      <c r="H13" s="59">
        <v>150</v>
      </c>
      <c r="I13" s="58">
        <v>980</v>
      </c>
      <c r="J13" s="59">
        <v>150</v>
      </c>
      <c r="K13" s="58">
        <v>907</v>
      </c>
      <c r="L13" s="59">
        <v>150</v>
      </c>
      <c r="M13" s="58">
        <v>990</v>
      </c>
      <c r="N13" s="59">
        <v>150</v>
      </c>
      <c r="O13" s="58">
        <v>811</v>
      </c>
      <c r="P13" s="59">
        <v>155</v>
      </c>
      <c r="Q13" s="58">
        <v>990</v>
      </c>
      <c r="R13" s="59">
        <v>160</v>
      </c>
      <c r="S13" s="58">
        <v>786</v>
      </c>
      <c r="T13" s="59">
        <v>160</v>
      </c>
      <c r="U13" s="58">
        <v>900</v>
      </c>
      <c r="V13" s="59">
        <v>160</v>
      </c>
      <c r="W13" s="58">
        <v>816</v>
      </c>
      <c r="X13" s="59">
        <v>165</v>
      </c>
      <c r="Y13" s="58">
        <v>946</v>
      </c>
      <c r="Z13" s="59">
        <v>170</v>
      </c>
      <c r="AA13" s="58">
        <v>889</v>
      </c>
      <c r="AB13" s="59">
        <v>170</v>
      </c>
      <c r="AC13" s="58">
        <v>961</v>
      </c>
      <c r="AD13" s="59">
        <v>175</v>
      </c>
      <c r="AE13" s="58">
        <v>918</v>
      </c>
      <c r="AF13" s="59">
        <v>180</v>
      </c>
      <c r="AG13" s="58">
        <v>1083</v>
      </c>
      <c r="AH13" s="59">
        <v>180</v>
      </c>
      <c r="AI13" s="58">
        <v>904</v>
      </c>
      <c r="AJ13" s="59">
        <v>180</v>
      </c>
      <c r="AK13" s="58">
        <v>1026</v>
      </c>
      <c r="AL13" s="59">
        <v>180</v>
      </c>
      <c r="AM13" s="58">
        <v>1028</v>
      </c>
      <c r="AN13" s="59">
        <v>185</v>
      </c>
      <c r="AO13" s="58">
        <v>1106</v>
      </c>
      <c r="AP13" s="59">
        <v>190</v>
      </c>
      <c r="AQ13" s="58">
        <v>812</v>
      </c>
      <c r="AR13" s="59">
        <v>190</v>
      </c>
      <c r="AS13" s="58">
        <v>1013</v>
      </c>
      <c r="AT13" s="59">
        <v>190</v>
      </c>
      <c r="AU13" s="58">
        <v>976</v>
      </c>
      <c r="AV13" s="59">
        <v>200</v>
      </c>
      <c r="AW13" s="58">
        <v>1079</v>
      </c>
      <c r="AX13" s="59">
        <v>200</v>
      </c>
      <c r="AY13" s="58">
        <v>991</v>
      </c>
      <c r="AZ13" s="59">
        <v>200</v>
      </c>
      <c r="BA13" s="58">
        <v>1064</v>
      </c>
      <c r="BB13" s="59">
        <v>200</v>
      </c>
      <c r="BC13" s="58">
        <v>989</v>
      </c>
      <c r="BD13" s="59">
        <v>200</v>
      </c>
      <c r="BE13" s="58">
        <v>1054</v>
      </c>
      <c r="BF13" s="59">
        <v>210</v>
      </c>
      <c r="BG13" s="58">
        <v>934</v>
      </c>
      <c r="BH13" s="59">
        <v>210</v>
      </c>
      <c r="BI13" s="58">
        <v>1027</v>
      </c>
      <c r="BJ13" s="59">
        <v>215</v>
      </c>
      <c r="BK13" s="58">
        <v>888</v>
      </c>
      <c r="BL13" s="59">
        <v>220</v>
      </c>
      <c r="BM13" s="58">
        <v>1072</v>
      </c>
      <c r="BN13" s="59">
        <v>221</v>
      </c>
      <c r="BO13" s="58">
        <v>923</v>
      </c>
      <c r="BP13" s="59">
        <v>225</v>
      </c>
      <c r="BQ13" s="58">
        <v>1056</v>
      </c>
      <c r="BR13" s="59">
        <v>230</v>
      </c>
      <c r="BS13" s="58">
        <v>953</v>
      </c>
      <c r="BT13" s="59">
        <v>240</v>
      </c>
      <c r="BU13" s="58">
        <v>1151</v>
      </c>
      <c r="BV13" s="59">
        <v>245</v>
      </c>
      <c r="BW13" s="58">
        <v>1065</v>
      </c>
      <c r="BX13" s="59">
        <v>245</v>
      </c>
      <c r="BY13" s="58">
        <v>1056</v>
      </c>
      <c r="BZ13" s="59">
        <v>250</v>
      </c>
      <c r="CA13" s="58">
        <v>1008</v>
      </c>
      <c r="CB13" s="59">
        <v>255</v>
      </c>
      <c r="CC13" s="58">
        <v>1011</v>
      </c>
      <c r="CD13" s="59">
        <v>260</v>
      </c>
      <c r="CE13" s="58">
        <v>1031</v>
      </c>
      <c r="CF13" s="59">
        <v>255</v>
      </c>
      <c r="CG13" s="58">
        <v>1105</v>
      </c>
      <c r="CH13" s="59">
        <v>260</v>
      </c>
      <c r="CI13" s="58">
        <v>1047</v>
      </c>
      <c r="CJ13" s="59">
        <v>265</v>
      </c>
      <c r="CK13" s="58">
        <v>1105</v>
      </c>
      <c r="CL13" s="59">
        <v>275</v>
      </c>
      <c r="CM13" s="58">
        <v>1068</v>
      </c>
      <c r="CN13" s="59">
        <v>275</v>
      </c>
      <c r="CO13" s="58">
        <v>1204</v>
      </c>
      <c r="CP13" s="59">
        <v>275</v>
      </c>
      <c r="CQ13" s="58">
        <v>1134</v>
      </c>
      <c r="CR13" s="59">
        <v>290</v>
      </c>
      <c r="CS13" s="58">
        <v>1195</v>
      </c>
      <c r="CT13" s="59">
        <v>300</v>
      </c>
      <c r="CU13" s="58">
        <v>1131</v>
      </c>
      <c r="CV13" s="59">
        <v>300</v>
      </c>
      <c r="CW13" s="58">
        <v>1265</v>
      </c>
      <c r="CX13" s="59">
        <v>295</v>
      </c>
      <c r="CY13" s="58">
        <v>1157</v>
      </c>
      <c r="CZ13" s="59">
        <v>300</v>
      </c>
      <c r="DA13" s="58">
        <v>1309</v>
      </c>
      <c r="DB13" s="59">
        <v>300</v>
      </c>
      <c r="DC13" s="58">
        <v>1203</v>
      </c>
      <c r="DD13" s="59">
        <v>300</v>
      </c>
      <c r="DE13" s="58">
        <v>1296</v>
      </c>
      <c r="DF13" s="59">
        <v>300</v>
      </c>
      <c r="DG13" s="58">
        <v>1196</v>
      </c>
      <c r="DH13" s="59">
        <v>310</v>
      </c>
      <c r="DI13" s="58">
        <v>1377</v>
      </c>
      <c r="DJ13" s="59">
        <v>310</v>
      </c>
      <c r="DK13" s="58">
        <v>1209</v>
      </c>
      <c r="DL13" s="59">
        <v>300</v>
      </c>
      <c r="DM13" s="58">
        <v>1327</v>
      </c>
      <c r="DN13" s="59">
        <v>300</v>
      </c>
      <c r="DO13" s="58">
        <v>1298</v>
      </c>
      <c r="DP13" s="59">
        <v>300</v>
      </c>
      <c r="DQ13" s="58">
        <v>1416</v>
      </c>
      <c r="DR13" s="59">
        <v>310</v>
      </c>
      <c r="DS13" s="58">
        <v>1227</v>
      </c>
      <c r="DT13" s="59">
        <v>310</v>
      </c>
      <c r="DU13" s="58">
        <v>1256</v>
      </c>
      <c r="DV13" s="59">
        <v>300</v>
      </c>
      <c r="DW13" s="58">
        <v>1322</v>
      </c>
      <c r="DX13" s="59">
        <v>310</v>
      </c>
      <c r="DY13" s="58">
        <v>1352</v>
      </c>
      <c r="DZ13" s="59">
        <v>315</v>
      </c>
      <c r="EA13" s="58">
        <v>1277</v>
      </c>
      <c r="EB13" s="59">
        <v>310</v>
      </c>
      <c r="EC13" s="58">
        <v>1333</v>
      </c>
      <c r="ED13" s="59">
        <v>310</v>
      </c>
      <c r="EE13" s="58">
        <v>1385</v>
      </c>
      <c r="EF13" s="59">
        <v>320</v>
      </c>
      <c r="EG13" s="58">
        <v>1476</v>
      </c>
      <c r="EH13" s="59">
        <v>330</v>
      </c>
      <c r="EI13" s="58">
        <v>1351</v>
      </c>
      <c r="EJ13" s="59">
        <v>320</v>
      </c>
      <c r="EK13" s="58">
        <v>1377</v>
      </c>
      <c r="EL13" s="59">
        <v>320</v>
      </c>
      <c r="EM13" s="58">
        <v>1382</v>
      </c>
      <c r="EN13" s="59">
        <v>320</v>
      </c>
      <c r="EO13" s="58">
        <v>1462</v>
      </c>
      <c r="EP13" s="59">
        <v>330</v>
      </c>
      <c r="EQ13" s="58">
        <v>1310</v>
      </c>
      <c r="ER13" s="59">
        <v>330</v>
      </c>
      <c r="ES13" s="58">
        <v>1306</v>
      </c>
      <c r="ET13" s="59">
        <v>330</v>
      </c>
      <c r="EU13" s="58">
        <v>1332</v>
      </c>
      <c r="EV13" s="59">
        <v>340</v>
      </c>
      <c r="EW13" s="58">
        <v>1385</v>
      </c>
      <c r="EX13" s="59">
        <v>345</v>
      </c>
      <c r="EY13" s="58">
        <v>1237</v>
      </c>
      <c r="EZ13" s="59">
        <v>350</v>
      </c>
      <c r="FA13" s="58">
        <v>1262</v>
      </c>
      <c r="FB13" s="59">
        <v>350</v>
      </c>
      <c r="FC13" s="58">
        <v>1183</v>
      </c>
      <c r="FD13" s="59">
        <v>350</v>
      </c>
      <c r="FE13" s="58">
        <v>1260</v>
      </c>
      <c r="FF13" s="59">
        <v>360</v>
      </c>
      <c r="FG13" s="58">
        <v>1190</v>
      </c>
      <c r="FH13" s="59">
        <v>365</v>
      </c>
      <c r="FI13" s="58">
        <v>1310</v>
      </c>
      <c r="FJ13" s="59">
        <v>360</v>
      </c>
      <c r="FK13" s="58">
        <v>1227</v>
      </c>
      <c r="FL13" s="59">
        <v>370</v>
      </c>
      <c r="FM13" s="58">
        <v>1348</v>
      </c>
      <c r="FN13" s="59">
        <v>370</v>
      </c>
      <c r="FO13" s="58">
        <v>1144</v>
      </c>
      <c r="FP13" s="59">
        <v>365</v>
      </c>
      <c r="FQ13" s="58">
        <v>1255</v>
      </c>
      <c r="FR13" s="59">
        <v>370</v>
      </c>
      <c r="FS13" s="58">
        <v>1089</v>
      </c>
      <c r="FT13" s="59">
        <v>380</v>
      </c>
      <c r="FU13" s="58">
        <v>1055</v>
      </c>
      <c r="FV13" s="59">
        <v>400</v>
      </c>
      <c r="FW13" s="58">
        <v>1032</v>
      </c>
      <c r="FX13" s="59">
        <v>410</v>
      </c>
      <c r="FY13" s="58">
        <v>1158</v>
      </c>
      <c r="FZ13" s="59">
        <v>400</v>
      </c>
      <c r="GA13" s="58">
        <v>1143</v>
      </c>
      <c r="GB13" s="59">
        <v>410</v>
      </c>
      <c r="GC13" s="58">
        <v>1065</v>
      </c>
      <c r="GD13" s="59">
        <v>440</v>
      </c>
      <c r="GE13" s="58">
        <v>1093</v>
      </c>
      <c r="GF13" s="59">
        <v>435</v>
      </c>
      <c r="GG13" s="58">
        <v>1117</v>
      </c>
      <c r="GH13" s="59">
        <v>440</v>
      </c>
      <c r="GI13" s="58">
        <v>1055</v>
      </c>
      <c r="GJ13" s="59">
        <v>440</v>
      </c>
      <c r="GK13" s="58">
        <v>1125</v>
      </c>
      <c r="GL13" s="59">
        <v>450</v>
      </c>
      <c r="GM13" s="58">
        <v>1069</v>
      </c>
      <c r="GN13" s="59">
        <v>450</v>
      </c>
      <c r="GO13" s="58">
        <v>1205</v>
      </c>
      <c r="GP13" s="59">
        <v>450</v>
      </c>
      <c r="GQ13" s="58">
        <v>995</v>
      </c>
      <c r="GR13" s="59">
        <v>470</v>
      </c>
      <c r="GS13" s="58">
        <v>1046</v>
      </c>
      <c r="GT13" s="59">
        <v>470</v>
      </c>
      <c r="GU13" s="58">
        <v>1106</v>
      </c>
      <c r="GV13" s="59">
        <v>470</v>
      </c>
      <c r="GW13" s="58">
        <v>1115</v>
      </c>
      <c r="GX13" s="59">
        <v>480</v>
      </c>
      <c r="GY13" s="58">
        <v>1137</v>
      </c>
      <c r="GZ13" s="59">
        <v>480</v>
      </c>
      <c r="HA13" s="6">
        <v>1140</v>
      </c>
      <c r="HB13" s="59">
        <v>490</v>
      </c>
      <c r="HC13" s="6">
        <v>1119</v>
      </c>
      <c r="HD13" s="59">
        <v>495</v>
      </c>
      <c r="HE13" s="6">
        <v>1127</v>
      </c>
      <c r="HF13" s="59">
        <v>500</v>
      </c>
      <c r="HG13" s="25"/>
    </row>
    <row r="14" spans="1:215" s="10" customFormat="1" x14ac:dyDescent="0.25">
      <c r="A14" s="53" t="s">
        <v>753</v>
      </c>
      <c r="B14" s="54" t="s">
        <v>754</v>
      </c>
      <c r="C14" s="55">
        <v>49</v>
      </c>
      <c r="D14" s="56">
        <v>110</v>
      </c>
      <c r="E14" s="55">
        <v>25</v>
      </c>
      <c r="F14" s="56">
        <v>110</v>
      </c>
      <c r="G14" s="55">
        <v>38</v>
      </c>
      <c r="H14" s="56">
        <v>110</v>
      </c>
      <c r="I14" s="55">
        <v>41</v>
      </c>
      <c r="J14" s="56">
        <v>110</v>
      </c>
      <c r="K14" s="55">
        <v>31</v>
      </c>
      <c r="L14" s="56">
        <v>100</v>
      </c>
      <c r="M14" s="55">
        <v>32</v>
      </c>
      <c r="N14" s="56">
        <v>105</v>
      </c>
      <c r="O14" s="55">
        <v>26</v>
      </c>
      <c r="P14" s="56">
        <v>113</v>
      </c>
      <c r="Q14" s="55">
        <v>31</v>
      </c>
      <c r="R14" s="56">
        <v>110</v>
      </c>
      <c r="S14" s="55">
        <v>24</v>
      </c>
      <c r="T14" s="56">
        <v>110</v>
      </c>
      <c r="U14" s="55">
        <v>23</v>
      </c>
      <c r="V14" s="56">
        <v>110</v>
      </c>
      <c r="W14" s="55">
        <v>19</v>
      </c>
      <c r="X14" s="56">
        <v>120</v>
      </c>
      <c r="Y14" s="55">
        <v>26</v>
      </c>
      <c r="Z14" s="56">
        <v>110</v>
      </c>
      <c r="AA14" s="55">
        <v>24</v>
      </c>
      <c r="AB14" s="56">
        <v>120</v>
      </c>
      <c r="AC14" s="55">
        <v>21</v>
      </c>
      <c r="AD14" s="56">
        <v>120</v>
      </c>
      <c r="AE14" s="55">
        <v>19</v>
      </c>
      <c r="AF14" s="56">
        <v>120</v>
      </c>
      <c r="AG14" s="55">
        <v>36</v>
      </c>
      <c r="AH14" s="56">
        <v>128</v>
      </c>
      <c r="AI14" s="55">
        <v>21</v>
      </c>
      <c r="AJ14" s="56">
        <v>125</v>
      </c>
      <c r="AK14" s="55">
        <v>25</v>
      </c>
      <c r="AL14" s="56">
        <v>130</v>
      </c>
      <c r="AM14" s="55">
        <v>23</v>
      </c>
      <c r="AN14" s="56">
        <v>140</v>
      </c>
      <c r="AO14" s="55">
        <v>31</v>
      </c>
      <c r="AP14" s="56">
        <v>130</v>
      </c>
      <c r="AQ14" s="55">
        <v>25</v>
      </c>
      <c r="AR14" s="56">
        <v>125</v>
      </c>
      <c r="AS14" s="55">
        <v>35</v>
      </c>
      <c r="AT14" s="56">
        <v>135</v>
      </c>
      <c r="AU14" s="55">
        <v>33</v>
      </c>
      <c r="AV14" s="56">
        <v>135</v>
      </c>
      <c r="AW14" s="55">
        <v>25</v>
      </c>
      <c r="AX14" s="56">
        <v>135</v>
      </c>
      <c r="AY14" s="55">
        <v>28</v>
      </c>
      <c r="AZ14" s="56">
        <v>143</v>
      </c>
      <c r="BA14" s="55">
        <v>22</v>
      </c>
      <c r="BB14" s="56">
        <v>145</v>
      </c>
      <c r="BC14" s="55">
        <v>23</v>
      </c>
      <c r="BD14" s="56">
        <v>150</v>
      </c>
      <c r="BE14" s="55">
        <v>23</v>
      </c>
      <c r="BF14" s="56">
        <v>140</v>
      </c>
      <c r="BG14" s="55">
        <v>26</v>
      </c>
      <c r="BH14" s="56">
        <v>140</v>
      </c>
      <c r="BI14" s="55">
        <v>19</v>
      </c>
      <c r="BJ14" s="56">
        <v>155</v>
      </c>
      <c r="BK14" s="55">
        <v>17</v>
      </c>
      <c r="BL14" s="56">
        <v>170</v>
      </c>
      <c r="BM14" s="55">
        <v>36</v>
      </c>
      <c r="BN14" s="56">
        <v>150</v>
      </c>
      <c r="BO14" s="55">
        <v>21</v>
      </c>
      <c r="BP14" s="56">
        <v>160</v>
      </c>
      <c r="BQ14" s="55">
        <v>20</v>
      </c>
      <c r="BR14" s="56">
        <v>150</v>
      </c>
      <c r="BS14" s="55">
        <v>24</v>
      </c>
      <c r="BT14" s="56">
        <v>160</v>
      </c>
      <c r="BU14" s="55">
        <v>24</v>
      </c>
      <c r="BV14" s="56">
        <v>163</v>
      </c>
      <c r="BW14" s="55">
        <v>27</v>
      </c>
      <c r="BX14" s="56">
        <v>150</v>
      </c>
      <c r="BY14" s="55">
        <v>25</v>
      </c>
      <c r="BZ14" s="56">
        <v>165</v>
      </c>
      <c r="CA14" s="55">
        <v>18</v>
      </c>
      <c r="CB14" s="56">
        <v>168</v>
      </c>
      <c r="CC14" s="55">
        <v>39</v>
      </c>
      <c r="CD14" s="56">
        <v>160</v>
      </c>
      <c r="CE14" s="55">
        <v>32</v>
      </c>
      <c r="CF14" s="56">
        <v>183</v>
      </c>
      <c r="CG14" s="55">
        <v>34</v>
      </c>
      <c r="CH14" s="56">
        <v>170</v>
      </c>
      <c r="CI14" s="55">
        <v>31</v>
      </c>
      <c r="CJ14" s="56">
        <v>170</v>
      </c>
      <c r="CK14" s="55">
        <v>31</v>
      </c>
      <c r="CL14" s="56">
        <v>195</v>
      </c>
      <c r="CM14" s="55">
        <v>37</v>
      </c>
      <c r="CN14" s="56">
        <v>185</v>
      </c>
      <c r="CO14" s="55">
        <v>47</v>
      </c>
      <c r="CP14" s="56">
        <v>200</v>
      </c>
      <c r="CQ14" s="55">
        <v>31</v>
      </c>
      <c r="CR14" s="56">
        <v>175</v>
      </c>
      <c r="CS14" s="55">
        <v>45</v>
      </c>
      <c r="CT14" s="56">
        <v>210</v>
      </c>
      <c r="CU14" s="55">
        <v>32</v>
      </c>
      <c r="CV14" s="56">
        <v>223</v>
      </c>
      <c r="CW14" s="55">
        <v>47</v>
      </c>
      <c r="CX14" s="56">
        <v>230</v>
      </c>
      <c r="CY14" s="55">
        <v>30</v>
      </c>
      <c r="CZ14" s="56">
        <v>220</v>
      </c>
      <c r="DA14" s="55">
        <v>40</v>
      </c>
      <c r="DB14" s="56">
        <v>220</v>
      </c>
      <c r="DC14" s="55">
        <v>36</v>
      </c>
      <c r="DD14" s="56">
        <v>235</v>
      </c>
      <c r="DE14" s="55">
        <v>39</v>
      </c>
      <c r="DF14" s="56">
        <v>220</v>
      </c>
      <c r="DG14" s="55">
        <v>45</v>
      </c>
      <c r="DH14" s="56">
        <v>220</v>
      </c>
      <c r="DI14" s="55">
        <v>49</v>
      </c>
      <c r="DJ14" s="56">
        <v>230</v>
      </c>
      <c r="DK14" s="55">
        <v>38</v>
      </c>
      <c r="DL14" s="56">
        <v>265</v>
      </c>
      <c r="DM14" s="55">
        <v>30</v>
      </c>
      <c r="DN14" s="56">
        <v>245</v>
      </c>
      <c r="DO14" s="55">
        <v>30</v>
      </c>
      <c r="DP14" s="56">
        <v>225</v>
      </c>
      <c r="DQ14" s="55">
        <v>40</v>
      </c>
      <c r="DR14" s="56">
        <v>250</v>
      </c>
      <c r="DS14" s="55">
        <v>26</v>
      </c>
      <c r="DT14" s="56">
        <v>248</v>
      </c>
      <c r="DU14" s="55">
        <v>50</v>
      </c>
      <c r="DV14" s="56">
        <v>250</v>
      </c>
      <c r="DW14" s="55">
        <v>39</v>
      </c>
      <c r="DX14" s="56">
        <v>240</v>
      </c>
      <c r="DY14" s="55">
        <v>53</v>
      </c>
      <c r="DZ14" s="56">
        <v>250</v>
      </c>
      <c r="EA14" s="55">
        <v>35</v>
      </c>
      <c r="EB14" s="56">
        <v>250</v>
      </c>
      <c r="EC14" s="55">
        <v>44</v>
      </c>
      <c r="ED14" s="56">
        <v>238</v>
      </c>
      <c r="EE14" s="55">
        <v>46</v>
      </c>
      <c r="EF14" s="56">
        <v>250</v>
      </c>
      <c r="EG14" s="55">
        <v>35</v>
      </c>
      <c r="EH14" s="56">
        <v>240</v>
      </c>
      <c r="EI14" s="55">
        <v>44</v>
      </c>
      <c r="EJ14" s="56">
        <v>235</v>
      </c>
      <c r="EK14" s="55">
        <v>48</v>
      </c>
      <c r="EL14" s="56">
        <v>270</v>
      </c>
      <c r="EM14" s="55">
        <v>35</v>
      </c>
      <c r="EN14" s="56">
        <v>240</v>
      </c>
      <c r="EO14" s="55">
        <v>40</v>
      </c>
      <c r="EP14" s="56">
        <v>260</v>
      </c>
      <c r="EQ14" s="55">
        <v>42</v>
      </c>
      <c r="ER14" s="56">
        <v>250</v>
      </c>
      <c r="ES14" s="55">
        <v>34</v>
      </c>
      <c r="ET14" s="56">
        <v>260</v>
      </c>
      <c r="EU14" s="55">
        <v>49</v>
      </c>
      <c r="EV14" s="56">
        <v>250</v>
      </c>
      <c r="EW14" s="55">
        <v>30</v>
      </c>
      <c r="EX14" s="56">
        <v>250</v>
      </c>
      <c r="EY14" s="55">
        <v>52</v>
      </c>
      <c r="EZ14" s="56">
        <v>260</v>
      </c>
      <c r="FA14" s="55">
        <v>41</v>
      </c>
      <c r="FB14" s="56">
        <v>270</v>
      </c>
      <c r="FC14" s="55">
        <v>36</v>
      </c>
      <c r="FD14" s="56">
        <v>270</v>
      </c>
      <c r="FE14" s="55">
        <v>31</v>
      </c>
      <c r="FF14" s="56">
        <v>300</v>
      </c>
      <c r="FG14" s="55">
        <v>41</v>
      </c>
      <c r="FH14" s="56">
        <v>280</v>
      </c>
      <c r="FI14" s="55">
        <v>34</v>
      </c>
      <c r="FJ14" s="56">
        <v>270</v>
      </c>
      <c r="FK14" s="55">
        <v>30</v>
      </c>
      <c r="FL14" s="56">
        <v>270</v>
      </c>
      <c r="FM14" s="55">
        <v>36</v>
      </c>
      <c r="FN14" s="56">
        <v>280</v>
      </c>
      <c r="FO14" s="55">
        <v>34</v>
      </c>
      <c r="FP14" s="56">
        <v>280</v>
      </c>
      <c r="FQ14" s="55">
        <v>31</v>
      </c>
      <c r="FR14" s="56">
        <v>290</v>
      </c>
      <c r="FS14" s="55">
        <v>32</v>
      </c>
      <c r="FT14" s="56">
        <v>280</v>
      </c>
      <c r="FU14" s="55">
        <v>40</v>
      </c>
      <c r="FV14" s="56">
        <v>300</v>
      </c>
      <c r="FW14" s="55">
        <v>22</v>
      </c>
      <c r="FX14" s="56">
        <v>290</v>
      </c>
      <c r="FY14" s="55">
        <v>40</v>
      </c>
      <c r="FZ14" s="56">
        <v>310</v>
      </c>
      <c r="GA14" s="55">
        <v>31</v>
      </c>
      <c r="GB14" s="56">
        <v>300</v>
      </c>
      <c r="GC14" s="55">
        <v>41</v>
      </c>
      <c r="GD14" s="56">
        <v>320</v>
      </c>
      <c r="GE14" s="55">
        <v>25</v>
      </c>
      <c r="GF14" s="56">
        <v>360</v>
      </c>
      <c r="GG14" s="55">
        <v>29</v>
      </c>
      <c r="GH14" s="56">
        <v>350</v>
      </c>
      <c r="GI14" s="55">
        <v>24</v>
      </c>
      <c r="GJ14" s="56">
        <v>345</v>
      </c>
      <c r="GK14" s="55">
        <v>42</v>
      </c>
      <c r="GL14" s="56">
        <v>345</v>
      </c>
      <c r="GM14" s="55">
        <v>30</v>
      </c>
      <c r="GN14" s="56">
        <v>365</v>
      </c>
      <c r="GO14" s="55">
        <v>31</v>
      </c>
      <c r="GP14" s="56">
        <v>360</v>
      </c>
      <c r="GQ14" s="55">
        <v>30</v>
      </c>
      <c r="GR14" s="56">
        <v>380</v>
      </c>
      <c r="GS14" s="55">
        <v>46</v>
      </c>
      <c r="GT14" s="56">
        <v>358</v>
      </c>
      <c r="GU14" s="55">
        <v>31</v>
      </c>
      <c r="GV14" s="56">
        <v>360</v>
      </c>
      <c r="GW14" s="55">
        <v>41</v>
      </c>
      <c r="GX14" s="56">
        <v>380</v>
      </c>
      <c r="GY14" s="55">
        <v>36</v>
      </c>
      <c r="GZ14" s="56">
        <v>388</v>
      </c>
      <c r="HA14" s="7">
        <v>36</v>
      </c>
      <c r="HB14" s="56">
        <v>390</v>
      </c>
      <c r="HC14" s="7">
        <v>30</v>
      </c>
      <c r="HD14" s="56">
        <v>368</v>
      </c>
      <c r="HE14" s="7">
        <v>32</v>
      </c>
      <c r="HF14" s="56">
        <v>430</v>
      </c>
    </row>
    <row r="15" spans="1:215" x14ac:dyDescent="0.25">
      <c r="A15" s="53"/>
      <c r="B15" s="54" t="s">
        <v>755</v>
      </c>
      <c r="C15" s="55">
        <v>270</v>
      </c>
      <c r="D15" s="56">
        <v>140</v>
      </c>
      <c r="E15" s="55">
        <v>288</v>
      </c>
      <c r="F15" s="56">
        <v>140</v>
      </c>
      <c r="G15" s="55">
        <v>260</v>
      </c>
      <c r="H15" s="56">
        <v>145</v>
      </c>
      <c r="I15" s="55">
        <v>443</v>
      </c>
      <c r="J15" s="56">
        <v>145</v>
      </c>
      <c r="K15" s="55">
        <v>274</v>
      </c>
      <c r="L15" s="56">
        <v>150</v>
      </c>
      <c r="M15" s="55">
        <v>312</v>
      </c>
      <c r="N15" s="56">
        <v>150</v>
      </c>
      <c r="O15" s="55">
        <v>282</v>
      </c>
      <c r="P15" s="56">
        <v>150</v>
      </c>
      <c r="Q15" s="55">
        <v>356</v>
      </c>
      <c r="R15" s="56">
        <v>155</v>
      </c>
      <c r="S15" s="55">
        <v>235</v>
      </c>
      <c r="T15" s="56">
        <v>160</v>
      </c>
      <c r="U15" s="55">
        <v>255</v>
      </c>
      <c r="V15" s="56">
        <v>165</v>
      </c>
      <c r="W15" s="55">
        <v>279</v>
      </c>
      <c r="X15" s="56">
        <v>160</v>
      </c>
      <c r="Y15" s="55">
        <v>355</v>
      </c>
      <c r="Z15" s="56">
        <v>165</v>
      </c>
      <c r="AA15" s="55">
        <v>295</v>
      </c>
      <c r="AB15" s="56">
        <v>175</v>
      </c>
      <c r="AC15" s="55">
        <v>265</v>
      </c>
      <c r="AD15" s="56">
        <v>170</v>
      </c>
      <c r="AE15" s="55">
        <v>297</v>
      </c>
      <c r="AF15" s="56">
        <v>170</v>
      </c>
      <c r="AG15" s="55">
        <v>401</v>
      </c>
      <c r="AH15" s="56">
        <v>175</v>
      </c>
      <c r="AI15" s="55">
        <v>332</v>
      </c>
      <c r="AJ15" s="56">
        <v>180</v>
      </c>
      <c r="AK15" s="55">
        <v>310</v>
      </c>
      <c r="AL15" s="56">
        <v>180</v>
      </c>
      <c r="AM15" s="55">
        <v>314</v>
      </c>
      <c r="AN15" s="56">
        <v>180</v>
      </c>
      <c r="AO15" s="55">
        <v>405</v>
      </c>
      <c r="AP15" s="56">
        <v>185</v>
      </c>
      <c r="AQ15" s="55">
        <v>284</v>
      </c>
      <c r="AR15" s="56">
        <v>180</v>
      </c>
      <c r="AS15" s="55">
        <v>298</v>
      </c>
      <c r="AT15" s="56">
        <v>180</v>
      </c>
      <c r="AU15" s="55">
        <v>311</v>
      </c>
      <c r="AV15" s="56">
        <v>190</v>
      </c>
      <c r="AW15" s="55">
        <v>446</v>
      </c>
      <c r="AX15" s="56">
        <v>190</v>
      </c>
      <c r="AY15" s="55">
        <v>318</v>
      </c>
      <c r="AZ15" s="56">
        <v>190</v>
      </c>
      <c r="BA15" s="55">
        <v>343</v>
      </c>
      <c r="BB15" s="56">
        <v>190</v>
      </c>
      <c r="BC15" s="55">
        <v>296</v>
      </c>
      <c r="BD15" s="56">
        <v>190</v>
      </c>
      <c r="BE15" s="55">
        <v>402</v>
      </c>
      <c r="BF15" s="56">
        <v>195</v>
      </c>
      <c r="BG15" s="55">
        <v>297</v>
      </c>
      <c r="BH15" s="56">
        <v>195</v>
      </c>
      <c r="BI15" s="55">
        <v>330</v>
      </c>
      <c r="BJ15" s="56">
        <v>198</v>
      </c>
      <c r="BK15" s="55">
        <v>284</v>
      </c>
      <c r="BL15" s="56">
        <v>210</v>
      </c>
      <c r="BM15" s="55">
        <v>379</v>
      </c>
      <c r="BN15" s="56">
        <v>200</v>
      </c>
      <c r="BO15" s="55">
        <v>300</v>
      </c>
      <c r="BP15" s="56">
        <v>210</v>
      </c>
      <c r="BQ15" s="55">
        <v>326</v>
      </c>
      <c r="BR15" s="56">
        <v>200</v>
      </c>
      <c r="BS15" s="55">
        <v>338</v>
      </c>
      <c r="BT15" s="56">
        <v>200</v>
      </c>
      <c r="BU15" s="55">
        <v>422</v>
      </c>
      <c r="BV15" s="56">
        <v>220</v>
      </c>
      <c r="BW15" s="55">
        <v>351</v>
      </c>
      <c r="BX15" s="56">
        <v>220</v>
      </c>
      <c r="BY15" s="55">
        <v>325</v>
      </c>
      <c r="BZ15" s="56">
        <v>225</v>
      </c>
      <c r="CA15" s="55">
        <v>341</v>
      </c>
      <c r="CB15" s="56">
        <v>230</v>
      </c>
      <c r="CC15" s="55">
        <v>432</v>
      </c>
      <c r="CD15" s="56">
        <v>230</v>
      </c>
      <c r="CE15" s="55">
        <v>368</v>
      </c>
      <c r="CF15" s="56">
        <v>230</v>
      </c>
      <c r="CG15" s="55">
        <v>347</v>
      </c>
      <c r="CH15" s="56">
        <v>230</v>
      </c>
      <c r="CI15" s="55">
        <v>368</v>
      </c>
      <c r="CJ15" s="56">
        <v>240</v>
      </c>
      <c r="CK15" s="55">
        <v>430</v>
      </c>
      <c r="CL15" s="56">
        <v>240</v>
      </c>
      <c r="CM15" s="55">
        <v>363</v>
      </c>
      <c r="CN15" s="56">
        <v>250</v>
      </c>
      <c r="CO15" s="55">
        <v>352</v>
      </c>
      <c r="CP15" s="56">
        <v>250</v>
      </c>
      <c r="CQ15" s="55">
        <v>393</v>
      </c>
      <c r="CR15" s="56">
        <v>255</v>
      </c>
      <c r="CS15" s="55">
        <v>456</v>
      </c>
      <c r="CT15" s="56">
        <v>260</v>
      </c>
      <c r="CU15" s="55">
        <v>374</v>
      </c>
      <c r="CV15" s="56">
        <v>270</v>
      </c>
      <c r="CW15" s="55">
        <v>381</v>
      </c>
      <c r="CX15" s="56">
        <v>265</v>
      </c>
      <c r="CY15" s="55">
        <v>417</v>
      </c>
      <c r="CZ15" s="56">
        <v>269</v>
      </c>
      <c r="DA15" s="55">
        <v>474</v>
      </c>
      <c r="DB15" s="56">
        <v>270</v>
      </c>
      <c r="DC15" s="55">
        <v>436</v>
      </c>
      <c r="DD15" s="56">
        <v>270</v>
      </c>
      <c r="DE15" s="55">
        <v>430</v>
      </c>
      <c r="DF15" s="56">
        <v>270</v>
      </c>
      <c r="DG15" s="55">
        <v>456</v>
      </c>
      <c r="DH15" s="56">
        <v>270</v>
      </c>
      <c r="DI15" s="55">
        <v>490</v>
      </c>
      <c r="DJ15" s="56">
        <v>270</v>
      </c>
      <c r="DK15" s="55">
        <v>472</v>
      </c>
      <c r="DL15" s="56">
        <v>275</v>
      </c>
      <c r="DM15" s="55">
        <v>450</v>
      </c>
      <c r="DN15" s="56">
        <v>270</v>
      </c>
      <c r="DO15" s="55">
        <v>442</v>
      </c>
      <c r="DP15" s="56">
        <v>275</v>
      </c>
      <c r="DQ15" s="55">
        <v>502</v>
      </c>
      <c r="DR15" s="56">
        <v>280</v>
      </c>
      <c r="DS15" s="55">
        <v>431</v>
      </c>
      <c r="DT15" s="56">
        <v>270</v>
      </c>
      <c r="DU15" s="55">
        <v>457</v>
      </c>
      <c r="DV15" s="56">
        <v>275</v>
      </c>
      <c r="DW15" s="55">
        <v>501</v>
      </c>
      <c r="DX15" s="56">
        <v>275</v>
      </c>
      <c r="DY15" s="55">
        <v>519</v>
      </c>
      <c r="DZ15" s="56">
        <v>280</v>
      </c>
      <c r="EA15" s="55">
        <v>452</v>
      </c>
      <c r="EB15" s="56">
        <v>275</v>
      </c>
      <c r="EC15" s="55">
        <v>449</v>
      </c>
      <c r="ED15" s="56">
        <v>280</v>
      </c>
      <c r="EE15" s="55">
        <v>501</v>
      </c>
      <c r="EF15" s="56">
        <v>280</v>
      </c>
      <c r="EG15" s="55">
        <v>540</v>
      </c>
      <c r="EH15" s="56">
        <v>280</v>
      </c>
      <c r="EI15" s="55">
        <v>452</v>
      </c>
      <c r="EJ15" s="56">
        <v>280</v>
      </c>
      <c r="EK15" s="55">
        <v>497</v>
      </c>
      <c r="EL15" s="56">
        <v>290</v>
      </c>
      <c r="EM15" s="55">
        <v>458</v>
      </c>
      <c r="EN15" s="56">
        <v>285</v>
      </c>
      <c r="EO15" s="55">
        <v>533</v>
      </c>
      <c r="EP15" s="56">
        <v>290</v>
      </c>
      <c r="EQ15" s="55">
        <v>448</v>
      </c>
      <c r="ER15" s="56">
        <v>290</v>
      </c>
      <c r="ES15" s="55">
        <v>477</v>
      </c>
      <c r="ET15" s="56">
        <v>290</v>
      </c>
      <c r="EU15" s="55">
        <v>458</v>
      </c>
      <c r="EV15" s="56">
        <v>295</v>
      </c>
      <c r="EW15" s="55">
        <v>529</v>
      </c>
      <c r="EX15" s="56">
        <v>300</v>
      </c>
      <c r="EY15" s="55">
        <v>415</v>
      </c>
      <c r="EZ15" s="56">
        <v>300</v>
      </c>
      <c r="FA15" s="55">
        <v>418</v>
      </c>
      <c r="FB15" s="56">
        <v>310</v>
      </c>
      <c r="FC15" s="55">
        <v>420</v>
      </c>
      <c r="FD15" s="56">
        <v>320</v>
      </c>
      <c r="FE15" s="55">
        <v>449</v>
      </c>
      <c r="FF15" s="56">
        <v>330</v>
      </c>
      <c r="FG15" s="55">
        <v>428</v>
      </c>
      <c r="FH15" s="56">
        <v>320</v>
      </c>
      <c r="FI15" s="55">
        <v>445</v>
      </c>
      <c r="FJ15" s="56">
        <v>320</v>
      </c>
      <c r="FK15" s="55">
        <v>457</v>
      </c>
      <c r="FL15" s="56">
        <v>330</v>
      </c>
      <c r="FM15" s="55">
        <v>497</v>
      </c>
      <c r="FN15" s="56">
        <v>330</v>
      </c>
      <c r="FO15" s="55">
        <v>447</v>
      </c>
      <c r="FP15" s="56">
        <v>320</v>
      </c>
      <c r="FQ15" s="55">
        <v>505</v>
      </c>
      <c r="FR15" s="56">
        <v>330</v>
      </c>
      <c r="FS15" s="55">
        <v>397</v>
      </c>
      <c r="FT15" s="56">
        <v>340</v>
      </c>
      <c r="FU15" s="55">
        <v>484</v>
      </c>
      <c r="FV15" s="56">
        <v>340</v>
      </c>
      <c r="FW15" s="55">
        <v>400</v>
      </c>
      <c r="FX15" s="56">
        <v>340</v>
      </c>
      <c r="FY15" s="55">
        <v>425</v>
      </c>
      <c r="FZ15" s="56">
        <v>350</v>
      </c>
      <c r="GA15" s="55">
        <v>421</v>
      </c>
      <c r="GB15" s="56">
        <v>360</v>
      </c>
      <c r="GC15" s="55">
        <v>402</v>
      </c>
      <c r="GD15" s="56">
        <v>370</v>
      </c>
      <c r="GE15" s="55">
        <v>409</v>
      </c>
      <c r="GF15" s="56">
        <v>365</v>
      </c>
      <c r="GG15" s="55">
        <v>397</v>
      </c>
      <c r="GH15" s="56">
        <v>370</v>
      </c>
      <c r="GI15" s="55">
        <v>361</v>
      </c>
      <c r="GJ15" s="56">
        <v>380</v>
      </c>
      <c r="GK15" s="55">
        <v>399</v>
      </c>
      <c r="GL15" s="56">
        <v>380</v>
      </c>
      <c r="GM15" s="55">
        <v>386</v>
      </c>
      <c r="GN15" s="56">
        <v>383</v>
      </c>
      <c r="GO15" s="55">
        <v>410</v>
      </c>
      <c r="GP15" s="56">
        <v>380</v>
      </c>
      <c r="GQ15" s="55">
        <v>334</v>
      </c>
      <c r="GR15" s="56">
        <v>390</v>
      </c>
      <c r="GS15" s="55">
        <v>386</v>
      </c>
      <c r="GT15" s="56">
        <v>400</v>
      </c>
      <c r="GU15" s="55">
        <v>362</v>
      </c>
      <c r="GV15" s="56">
        <v>400</v>
      </c>
      <c r="GW15" s="55">
        <v>420</v>
      </c>
      <c r="GX15" s="56">
        <v>400</v>
      </c>
      <c r="GY15" s="55">
        <v>357</v>
      </c>
      <c r="GZ15" s="56">
        <v>400</v>
      </c>
      <c r="HA15">
        <v>405</v>
      </c>
      <c r="HB15" s="56">
        <v>400</v>
      </c>
      <c r="HC15">
        <v>400</v>
      </c>
      <c r="HD15" s="56">
        <v>410</v>
      </c>
      <c r="HE15">
        <v>386</v>
      </c>
      <c r="HF15" s="56">
        <v>410</v>
      </c>
    </row>
    <row r="16" spans="1:215" x14ac:dyDescent="0.25">
      <c r="A16" s="53"/>
      <c r="B16" s="54" t="s">
        <v>756</v>
      </c>
      <c r="C16" s="55">
        <v>17</v>
      </c>
      <c r="D16" s="56">
        <v>140</v>
      </c>
      <c r="E16" s="55">
        <v>18</v>
      </c>
      <c r="F16" s="56">
        <v>130</v>
      </c>
      <c r="G16" s="55">
        <v>11</v>
      </c>
      <c r="H16" s="56">
        <v>125</v>
      </c>
      <c r="I16" s="55">
        <v>9</v>
      </c>
      <c r="J16" s="56">
        <v>120</v>
      </c>
      <c r="K16" s="55">
        <v>6</v>
      </c>
      <c r="L16" s="56">
        <v>130</v>
      </c>
      <c r="M16" s="55">
        <v>12</v>
      </c>
      <c r="N16" s="56">
        <v>135</v>
      </c>
      <c r="O16" s="55">
        <v>11</v>
      </c>
      <c r="P16" s="56">
        <v>130</v>
      </c>
      <c r="Q16" s="55">
        <v>13</v>
      </c>
      <c r="R16" s="56">
        <v>135</v>
      </c>
      <c r="S16" s="55">
        <v>15</v>
      </c>
      <c r="T16" s="56">
        <v>140</v>
      </c>
      <c r="U16" s="55">
        <v>9</v>
      </c>
      <c r="V16" s="56">
        <v>140</v>
      </c>
      <c r="W16" s="55">
        <v>9</v>
      </c>
      <c r="X16" s="56">
        <v>140</v>
      </c>
      <c r="Y16" s="55">
        <v>6</v>
      </c>
      <c r="Z16" s="56">
        <v>155</v>
      </c>
      <c r="AA16" s="55">
        <v>15</v>
      </c>
      <c r="AB16" s="56">
        <v>150</v>
      </c>
      <c r="AC16" s="55">
        <v>18</v>
      </c>
      <c r="AD16" s="56">
        <v>163</v>
      </c>
      <c r="AE16" s="55">
        <v>10</v>
      </c>
      <c r="AF16" s="56">
        <v>165</v>
      </c>
      <c r="AG16" s="55">
        <v>15</v>
      </c>
      <c r="AH16" s="56">
        <v>160</v>
      </c>
      <c r="AI16" s="55">
        <v>9</v>
      </c>
      <c r="AJ16" s="56">
        <v>150</v>
      </c>
      <c r="AK16" s="55">
        <v>13</v>
      </c>
      <c r="AL16" s="56">
        <v>185</v>
      </c>
      <c r="AM16" s="55">
        <v>17</v>
      </c>
      <c r="AN16" s="56">
        <v>180</v>
      </c>
      <c r="AO16" s="55">
        <v>16</v>
      </c>
      <c r="AP16" s="56">
        <v>175</v>
      </c>
      <c r="AQ16" s="55">
        <v>9</v>
      </c>
      <c r="AR16" s="56">
        <v>220</v>
      </c>
      <c r="AS16" s="55">
        <v>15</v>
      </c>
      <c r="AT16" s="56">
        <v>194</v>
      </c>
      <c r="AU16" s="55">
        <v>18</v>
      </c>
      <c r="AV16" s="56">
        <v>183</v>
      </c>
      <c r="AW16" s="55">
        <v>21</v>
      </c>
      <c r="AX16" s="56">
        <v>200</v>
      </c>
      <c r="AY16" s="55">
        <v>10</v>
      </c>
      <c r="AZ16" s="56">
        <v>200</v>
      </c>
      <c r="BA16" s="55">
        <v>15</v>
      </c>
      <c r="BB16" s="56">
        <v>200</v>
      </c>
      <c r="BC16" s="55">
        <v>14</v>
      </c>
      <c r="BD16" s="56">
        <v>183</v>
      </c>
      <c r="BE16" s="55">
        <v>18</v>
      </c>
      <c r="BF16" s="56">
        <v>218</v>
      </c>
      <c r="BG16" s="55">
        <v>16</v>
      </c>
      <c r="BH16" s="56">
        <v>200</v>
      </c>
      <c r="BI16" s="55">
        <v>14</v>
      </c>
      <c r="BJ16" s="56">
        <v>198</v>
      </c>
      <c r="BK16" s="55">
        <v>21</v>
      </c>
      <c r="BL16" s="56">
        <v>210</v>
      </c>
      <c r="BM16" s="55">
        <v>16</v>
      </c>
      <c r="BN16" s="56">
        <v>240</v>
      </c>
      <c r="BO16" s="55">
        <v>15</v>
      </c>
      <c r="BP16" s="56">
        <v>200</v>
      </c>
      <c r="BQ16" s="55">
        <v>16</v>
      </c>
      <c r="BR16" s="56">
        <v>210</v>
      </c>
      <c r="BS16" s="55">
        <v>21</v>
      </c>
      <c r="BT16" s="56">
        <v>230</v>
      </c>
      <c r="BU16" s="55">
        <v>21</v>
      </c>
      <c r="BV16" s="56">
        <v>231</v>
      </c>
      <c r="BW16" s="55">
        <v>14</v>
      </c>
      <c r="BX16" s="56">
        <v>250</v>
      </c>
      <c r="BY16" s="55">
        <v>22</v>
      </c>
      <c r="BZ16" s="56">
        <v>240</v>
      </c>
      <c r="CA16" s="55">
        <v>17</v>
      </c>
      <c r="CB16" s="56">
        <v>250</v>
      </c>
      <c r="CC16" s="55">
        <v>16</v>
      </c>
      <c r="CD16" s="56">
        <v>245</v>
      </c>
      <c r="CE16" s="55">
        <v>22</v>
      </c>
      <c r="CF16" s="56">
        <v>250</v>
      </c>
      <c r="CG16" s="55">
        <v>18</v>
      </c>
      <c r="CH16" s="56">
        <v>265</v>
      </c>
      <c r="CI16" s="55">
        <v>9</v>
      </c>
      <c r="CJ16" s="56">
        <v>250</v>
      </c>
      <c r="CK16" s="55">
        <v>22</v>
      </c>
      <c r="CL16" s="56">
        <v>240</v>
      </c>
      <c r="CM16" s="55">
        <v>16</v>
      </c>
      <c r="CN16" s="56">
        <v>280</v>
      </c>
      <c r="CO16" s="55">
        <v>17</v>
      </c>
      <c r="CP16" s="56">
        <v>250</v>
      </c>
      <c r="CQ16" s="55">
        <v>20</v>
      </c>
      <c r="CR16" s="56">
        <v>263</v>
      </c>
      <c r="CS16" s="55">
        <v>30</v>
      </c>
      <c r="CT16" s="56">
        <v>285</v>
      </c>
      <c r="CU16" s="55">
        <v>20</v>
      </c>
      <c r="CV16" s="56">
        <v>305</v>
      </c>
      <c r="CW16" s="55">
        <v>16</v>
      </c>
      <c r="CX16" s="56">
        <v>273</v>
      </c>
      <c r="CY16" s="55">
        <v>22</v>
      </c>
      <c r="CZ16" s="56">
        <v>320</v>
      </c>
      <c r="DA16" s="55">
        <v>18</v>
      </c>
      <c r="DB16" s="56">
        <v>315</v>
      </c>
      <c r="DC16" s="55">
        <v>23</v>
      </c>
      <c r="DD16" s="56">
        <v>300</v>
      </c>
      <c r="DE16" s="55">
        <v>18</v>
      </c>
      <c r="DF16" s="56">
        <v>335</v>
      </c>
      <c r="DG16" s="55">
        <v>23</v>
      </c>
      <c r="DH16" s="56">
        <v>330</v>
      </c>
      <c r="DI16" s="55">
        <v>22</v>
      </c>
      <c r="DJ16" s="56">
        <v>288</v>
      </c>
      <c r="DK16" s="55">
        <v>11</v>
      </c>
      <c r="DL16" s="56">
        <v>295</v>
      </c>
      <c r="DM16" s="55">
        <v>25</v>
      </c>
      <c r="DN16" s="56">
        <v>300</v>
      </c>
      <c r="DO16" s="55">
        <v>23</v>
      </c>
      <c r="DP16" s="56">
        <v>315</v>
      </c>
      <c r="DQ16" s="55">
        <v>25</v>
      </c>
      <c r="DR16" s="56">
        <v>320</v>
      </c>
      <c r="DS16" s="55">
        <v>18</v>
      </c>
      <c r="DT16" s="56">
        <v>280</v>
      </c>
      <c r="DU16" s="55">
        <v>18</v>
      </c>
      <c r="DV16" s="56">
        <v>340</v>
      </c>
      <c r="DW16" s="55">
        <v>18</v>
      </c>
      <c r="DX16" s="56">
        <v>330</v>
      </c>
      <c r="DY16" s="55">
        <v>26</v>
      </c>
      <c r="DZ16" s="56">
        <v>313</v>
      </c>
      <c r="EA16" s="55">
        <v>30</v>
      </c>
      <c r="EB16" s="56">
        <v>320</v>
      </c>
      <c r="EC16" s="55">
        <v>20</v>
      </c>
      <c r="ED16" s="56">
        <v>310</v>
      </c>
      <c r="EE16" s="55">
        <v>23</v>
      </c>
      <c r="EF16" s="56">
        <v>315</v>
      </c>
      <c r="EG16" s="55">
        <v>19</v>
      </c>
      <c r="EH16" s="56">
        <v>330</v>
      </c>
      <c r="EI16" s="55">
        <v>20</v>
      </c>
      <c r="EJ16" s="56">
        <v>338</v>
      </c>
      <c r="EK16" s="55">
        <v>28</v>
      </c>
      <c r="EL16" s="56">
        <v>338</v>
      </c>
      <c r="EM16" s="55">
        <v>17</v>
      </c>
      <c r="EN16" s="56">
        <v>335</v>
      </c>
      <c r="EO16" s="55">
        <v>17</v>
      </c>
      <c r="EP16" s="56">
        <v>350</v>
      </c>
      <c r="EQ16" s="55">
        <v>23</v>
      </c>
      <c r="ER16" s="56">
        <v>340</v>
      </c>
      <c r="ES16" s="55">
        <v>30</v>
      </c>
      <c r="ET16" s="56">
        <v>338</v>
      </c>
      <c r="EU16" s="55">
        <v>11</v>
      </c>
      <c r="EV16" s="56">
        <v>350</v>
      </c>
      <c r="EW16" s="55">
        <v>17</v>
      </c>
      <c r="EX16" s="56">
        <v>330</v>
      </c>
      <c r="EY16" s="55">
        <v>21</v>
      </c>
      <c r="EZ16" s="56">
        <v>370</v>
      </c>
      <c r="FA16" s="55">
        <v>15</v>
      </c>
      <c r="FB16" s="56">
        <v>380</v>
      </c>
      <c r="FC16" s="55">
        <v>9</v>
      </c>
      <c r="FD16" s="56">
        <v>390</v>
      </c>
      <c r="FE16" s="55">
        <v>20</v>
      </c>
      <c r="FF16" s="56">
        <v>365</v>
      </c>
      <c r="FG16" s="55">
        <v>17</v>
      </c>
      <c r="FH16" s="56">
        <v>365</v>
      </c>
      <c r="FI16" s="55">
        <v>24</v>
      </c>
      <c r="FJ16" s="56">
        <v>395</v>
      </c>
      <c r="FK16" s="55">
        <v>10</v>
      </c>
      <c r="FL16" s="56">
        <v>370</v>
      </c>
      <c r="FM16" s="55">
        <v>20</v>
      </c>
      <c r="FN16" s="56">
        <v>388</v>
      </c>
      <c r="FO16" s="55">
        <v>21</v>
      </c>
      <c r="FP16" s="56">
        <v>360</v>
      </c>
      <c r="FQ16" s="55">
        <v>24</v>
      </c>
      <c r="FR16" s="56">
        <v>400</v>
      </c>
      <c r="FS16" s="55">
        <v>26</v>
      </c>
      <c r="FT16" s="56">
        <v>391</v>
      </c>
      <c r="FU16" s="55">
        <v>15</v>
      </c>
      <c r="FV16" s="56">
        <v>430</v>
      </c>
      <c r="FW16" s="55">
        <v>18</v>
      </c>
      <c r="FX16" s="56">
        <v>405</v>
      </c>
      <c r="FY16" s="55">
        <v>16</v>
      </c>
      <c r="FZ16" s="56">
        <v>398</v>
      </c>
      <c r="GA16" s="55">
        <v>22</v>
      </c>
      <c r="GB16" s="56">
        <v>425</v>
      </c>
      <c r="GC16" s="55">
        <v>15</v>
      </c>
      <c r="GD16" s="56">
        <v>450</v>
      </c>
      <c r="GE16" s="55">
        <v>12</v>
      </c>
      <c r="GF16" s="56">
        <v>450</v>
      </c>
      <c r="GG16" s="55">
        <v>14</v>
      </c>
      <c r="GH16" s="56">
        <v>450</v>
      </c>
      <c r="GI16" s="55">
        <v>15</v>
      </c>
      <c r="GJ16" s="56">
        <v>450</v>
      </c>
      <c r="GK16" s="55">
        <v>12</v>
      </c>
      <c r="GL16" s="56">
        <v>455</v>
      </c>
      <c r="GM16" s="55">
        <v>20</v>
      </c>
      <c r="GN16" s="56">
        <v>450</v>
      </c>
      <c r="GO16" s="55">
        <v>26</v>
      </c>
      <c r="GP16" s="56">
        <v>465</v>
      </c>
      <c r="GQ16" s="55">
        <v>13</v>
      </c>
      <c r="GR16" s="56">
        <v>520</v>
      </c>
      <c r="GS16" s="55">
        <v>19</v>
      </c>
      <c r="GT16" s="56">
        <v>440</v>
      </c>
      <c r="GU16" s="55">
        <v>8</v>
      </c>
      <c r="GV16" s="56">
        <v>455</v>
      </c>
      <c r="GW16" s="55">
        <v>20</v>
      </c>
      <c r="GX16" s="56">
        <v>468</v>
      </c>
      <c r="GY16" s="55">
        <v>15</v>
      </c>
      <c r="GZ16" s="56">
        <v>450</v>
      </c>
      <c r="HA16">
        <v>19</v>
      </c>
      <c r="HB16" s="56">
        <v>550</v>
      </c>
      <c r="HC16">
        <v>21</v>
      </c>
      <c r="HD16" s="56">
        <v>450</v>
      </c>
      <c r="HE16">
        <v>17</v>
      </c>
      <c r="HF16" s="56">
        <v>480</v>
      </c>
    </row>
    <row r="17" spans="1:214" x14ac:dyDescent="0.25">
      <c r="A17" s="53"/>
      <c r="B17" s="54" t="s">
        <v>757</v>
      </c>
      <c r="C17" s="55">
        <v>30</v>
      </c>
      <c r="D17" s="56">
        <v>133</v>
      </c>
      <c r="E17" s="55">
        <v>27</v>
      </c>
      <c r="F17" s="56">
        <v>140</v>
      </c>
      <c r="G17" s="55">
        <v>32</v>
      </c>
      <c r="H17" s="56">
        <v>130</v>
      </c>
      <c r="I17" s="55">
        <v>32</v>
      </c>
      <c r="J17" s="56">
        <v>140</v>
      </c>
      <c r="K17" s="55">
        <v>24</v>
      </c>
      <c r="L17" s="56">
        <v>130</v>
      </c>
      <c r="M17" s="55">
        <v>34</v>
      </c>
      <c r="N17" s="56">
        <v>143</v>
      </c>
      <c r="O17" s="55">
        <v>23</v>
      </c>
      <c r="P17" s="56">
        <v>140</v>
      </c>
      <c r="Q17" s="55">
        <v>28</v>
      </c>
      <c r="R17" s="56">
        <v>148</v>
      </c>
      <c r="S17" s="55">
        <v>18</v>
      </c>
      <c r="T17" s="56">
        <v>150</v>
      </c>
      <c r="U17" s="55">
        <v>25</v>
      </c>
      <c r="V17" s="56">
        <v>150</v>
      </c>
      <c r="W17" s="55">
        <v>24</v>
      </c>
      <c r="X17" s="56">
        <v>150</v>
      </c>
      <c r="Y17" s="55">
        <v>25</v>
      </c>
      <c r="Z17" s="56">
        <v>160</v>
      </c>
      <c r="AA17" s="55">
        <v>19</v>
      </c>
      <c r="AB17" s="56">
        <v>150</v>
      </c>
      <c r="AC17" s="55">
        <v>33</v>
      </c>
      <c r="AD17" s="56">
        <v>160</v>
      </c>
      <c r="AE17" s="55">
        <v>23</v>
      </c>
      <c r="AF17" s="56">
        <v>160</v>
      </c>
      <c r="AG17" s="55">
        <v>25</v>
      </c>
      <c r="AH17" s="56">
        <v>165</v>
      </c>
      <c r="AI17" s="55">
        <v>34</v>
      </c>
      <c r="AJ17" s="56">
        <v>160</v>
      </c>
      <c r="AK17" s="55">
        <v>21</v>
      </c>
      <c r="AL17" s="56">
        <v>175</v>
      </c>
      <c r="AM17" s="55">
        <v>39</v>
      </c>
      <c r="AN17" s="56">
        <v>165</v>
      </c>
      <c r="AO17" s="55">
        <v>31</v>
      </c>
      <c r="AP17" s="56">
        <v>170</v>
      </c>
      <c r="AQ17" s="55">
        <v>23</v>
      </c>
      <c r="AR17" s="56">
        <v>165</v>
      </c>
      <c r="AS17" s="55">
        <v>34</v>
      </c>
      <c r="AT17" s="56">
        <v>168</v>
      </c>
      <c r="AU17" s="55">
        <v>31</v>
      </c>
      <c r="AV17" s="56">
        <v>170</v>
      </c>
      <c r="AW17" s="55">
        <v>42</v>
      </c>
      <c r="AX17" s="56">
        <v>178</v>
      </c>
      <c r="AY17" s="55">
        <v>31</v>
      </c>
      <c r="AZ17" s="56">
        <v>180</v>
      </c>
      <c r="BA17" s="55">
        <v>30</v>
      </c>
      <c r="BB17" s="56">
        <v>188</v>
      </c>
      <c r="BC17" s="55">
        <v>32</v>
      </c>
      <c r="BD17" s="56">
        <v>183</v>
      </c>
      <c r="BE17" s="55">
        <v>29</v>
      </c>
      <c r="BF17" s="56">
        <v>190</v>
      </c>
      <c r="BG17" s="55">
        <v>38</v>
      </c>
      <c r="BH17" s="56">
        <v>180</v>
      </c>
      <c r="BI17" s="55">
        <v>29</v>
      </c>
      <c r="BJ17" s="56">
        <v>180</v>
      </c>
      <c r="BK17" s="55">
        <v>38</v>
      </c>
      <c r="BL17" s="56">
        <v>193</v>
      </c>
      <c r="BM17" s="55">
        <v>34</v>
      </c>
      <c r="BN17" s="56">
        <v>180</v>
      </c>
      <c r="BO17" s="55">
        <v>25</v>
      </c>
      <c r="BP17" s="56">
        <v>200</v>
      </c>
      <c r="BQ17" s="55">
        <v>33</v>
      </c>
      <c r="BR17" s="56">
        <v>200</v>
      </c>
      <c r="BS17" s="55">
        <v>26</v>
      </c>
      <c r="BT17" s="56">
        <v>203</v>
      </c>
      <c r="BU17" s="55">
        <v>34</v>
      </c>
      <c r="BV17" s="56">
        <v>200</v>
      </c>
      <c r="BW17" s="55">
        <v>35</v>
      </c>
      <c r="BX17" s="56">
        <v>200</v>
      </c>
      <c r="BY17" s="55">
        <v>32</v>
      </c>
      <c r="BZ17" s="56">
        <v>223</v>
      </c>
      <c r="CA17" s="55">
        <v>32</v>
      </c>
      <c r="CB17" s="56">
        <v>213</v>
      </c>
      <c r="CC17" s="55">
        <v>41</v>
      </c>
      <c r="CD17" s="56">
        <v>240</v>
      </c>
      <c r="CE17" s="55">
        <v>36</v>
      </c>
      <c r="CF17" s="56">
        <v>230</v>
      </c>
      <c r="CG17" s="55">
        <v>30</v>
      </c>
      <c r="CH17" s="56">
        <v>225</v>
      </c>
      <c r="CI17" s="55">
        <v>25</v>
      </c>
      <c r="CJ17" s="56">
        <v>240</v>
      </c>
      <c r="CK17" s="55">
        <v>34</v>
      </c>
      <c r="CL17" s="56">
        <v>250</v>
      </c>
      <c r="CM17" s="55">
        <v>29</v>
      </c>
      <c r="CN17" s="56">
        <v>235</v>
      </c>
      <c r="CO17" s="55">
        <v>50</v>
      </c>
      <c r="CP17" s="56">
        <v>250</v>
      </c>
      <c r="CQ17" s="55">
        <v>29</v>
      </c>
      <c r="CR17" s="56">
        <v>250</v>
      </c>
      <c r="CS17" s="55">
        <v>29</v>
      </c>
      <c r="CT17" s="56">
        <v>275</v>
      </c>
      <c r="CU17" s="55">
        <v>37</v>
      </c>
      <c r="CV17" s="56">
        <v>280</v>
      </c>
      <c r="CW17" s="55">
        <v>51</v>
      </c>
      <c r="CX17" s="56">
        <v>260</v>
      </c>
      <c r="CY17" s="55">
        <v>25</v>
      </c>
      <c r="CZ17" s="56">
        <v>300</v>
      </c>
      <c r="DA17" s="55">
        <v>41</v>
      </c>
      <c r="DB17" s="56">
        <v>300</v>
      </c>
      <c r="DC17" s="55">
        <v>42</v>
      </c>
      <c r="DD17" s="56">
        <v>288</v>
      </c>
      <c r="DE17" s="55">
        <v>39</v>
      </c>
      <c r="DF17" s="56">
        <v>295</v>
      </c>
      <c r="DG17" s="55">
        <v>40</v>
      </c>
      <c r="DH17" s="56">
        <v>283</v>
      </c>
      <c r="DI17" s="55">
        <v>39</v>
      </c>
      <c r="DJ17" s="56">
        <v>280</v>
      </c>
      <c r="DK17" s="55">
        <v>40</v>
      </c>
      <c r="DL17" s="56">
        <v>280</v>
      </c>
      <c r="DM17" s="55">
        <v>39</v>
      </c>
      <c r="DN17" s="56">
        <v>290</v>
      </c>
      <c r="DO17" s="55">
        <v>30</v>
      </c>
      <c r="DP17" s="56">
        <v>295</v>
      </c>
      <c r="DQ17" s="55">
        <v>46</v>
      </c>
      <c r="DR17" s="56">
        <v>300</v>
      </c>
      <c r="DS17" s="55">
        <v>37</v>
      </c>
      <c r="DT17" s="56">
        <v>285</v>
      </c>
      <c r="DU17" s="55">
        <v>31</v>
      </c>
      <c r="DV17" s="56">
        <v>310</v>
      </c>
      <c r="DW17" s="55">
        <v>38</v>
      </c>
      <c r="DX17" s="56">
        <v>300</v>
      </c>
      <c r="DY17" s="55">
        <v>38</v>
      </c>
      <c r="DZ17" s="56">
        <v>300</v>
      </c>
      <c r="EA17" s="55">
        <v>33</v>
      </c>
      <c r="EB17" s="56">
        <v>290</v>
      </c>
      <c r="EC17" s="55">
        <v>37</v>
      </c>
      <c r="ED17" s="56">
        <v>310</v>
      </c>
      <c r="EE17" s="55">
        <v>40</v>
      </c>
      <c r="EF17" s="56">
        <v>318</v>
      </c>
      <c r="EG17" s="55">
        <v>33</v>
      </c>
      <c r="EH17" s="56">
        <v>320</v>
      </c>
      <c r="EI17" s="55">
        <v>39</v>
      </c>
      <c r="EJ17" s="56">
        <v>320</v>
      </c>
      <c r="EK17" s="55">
        <v>30</v>
      </c>
      <c r="EL17" s="56">
        <v>310</v>
      </c>
      <c r="EM17" s="55">
        <v>43</v>
      </c>
      <c r="EN17" s="56">
        <v>310</v>
      </c>
      <c r="EO17" s="55">
        <v>43</v>
      </c>
      <c r="EP17" s="56">
        <v>320</v>
      </c>
      <c r="EQ17" s="55">
        <v>31</v>
      </c>
      <c r="ER17" s="56">
        <v>340</v>
      </c>
      <c r="ES17" s="55">
        <v>41</v>
      </c>
      <c r="ET17" s="56">
        <v>340</v>
      </c>
      <c r="EU17" s="55">
        <v>25</v>
      </c>
      <c r="EV17" s="56">
        <v>330</v>
      </c>
      <c r="EW17" s="55">
        <v>37</v>
      </c>
      <c r="EX17" s="56">
        <v>350</v>
      </c>
      <c r="EY17" s="55">
        <v>30</v>
      </c>
      <c r="EZ17" s="56">
        <v>340</v>
      </c>
      <c r="FA17" s="55">
        <v>39</v>
      </c>
      <c r="FB17" s="56">
        <v>350</v>
      </c>
      <c r="FC17" s="55">
        <v>31</v>
      </c>
      <c r="FD17" s="56">
        <v>375</v>
      </c>
      <c r="FE17" s="55">
        <v>46</v>
      </c>
      <c r="FF17" s="56">
        <v>365</v>
      </c>
      <c r="FG17" s="55">
        <v>36</v>
      </c>
      <c r="FH17" s="56">
        <v>380</v>
      </c>
      <c r="FI17" s="55">
        <v>30</v>
      </c>
      <c r="FJ17" s="56">
        <v>340</v>
      </c>
      <c r="FK17" s="55">
        <v>36</v>
      </c>
      <c r="FL17" s="56">
        <v>380</v>
      </c>
      <c r="FM17" s="55">
        <v>29</v>
      </c>
      <c r="FN17" s="56">
        <v>380</v>
      </c>
      <c r="FO17" s="55">
        <v>46</v>
      </c>
      <c r="FP17" s="56">
        <v>360</v>
      </c>
      <c r="FQ17" s="55">
        <v>30</v>
      </c>
      <c r="FR17" s="56">
        <v>363</v>
      </c>
      <c r="FS17" s="55">
        <v>27</v>
      </c>
      <c r="FT17" s="56">
        <v>420</v>
      </c>
      <c r="FU17" s="55">
        <v>34</v>
      </c>
      <c r="FV17" s="56">
        <v>388</v>
      </c>
      <c r="FW17" s="55">
        <v>37</v>
      </c>
      <c r="FX17" s="56">
        <v>350</v>
      </c>
      <c r="FY17" s="55">
        <v>32</v>
      </c>
      <c r="FZ17" s="56">
        <v>400</v>
      </c>
      <c r="GA17" s="55">
        <v>24</v>
      </c>
      <c r="GB17" s="56">
        <v>410</v>
      </c>
      <c r="GC17" s="55">
        <v>25</v>
      </c>
      <c r="GD17" s="56">
        <v>385</v>
      </c>
      <c r="GE17" s="55">
        <v>33</v>
      </c>
      <c r="GF17" s="56">
        <v>460</v>
      </c>
      <c r="GG17" s="55">
        <v>33</v>
      </c>
      <c r="GH17" s="56">
        <v>430</v>
      </c>
      <c r="GI17" s="55">
        <v>29</v>
      </c>
      <c r="GJ17" s="56">
        <v>400</v>
      </c>
      <c r="GK17" s="55">
        <v>30</v>
      </c>
      <c r="GL17" s="56">
        <v>405</v>
      </c>
      <c r="GM17" s="55">
        <v>36</v>
      </c>
      <c r="GN17" s="56">
        <v>488</v>
      </c>
      <c r="GO17" s="55">
        <v>42</v>
      </c>
      <c r="GP17" s="56">
        <v>450</v>
      </c>
      <c r="GQ17" s="55">
        <v>26</v>
      </c>
      <c r="GR17" s="56">
        <v>445</v>
      </c>
      <c r="GS17" s="55">
        <v>25</v>
      </c>
      <c r="GT17" s="56">
        <v>450</v>
      </c>
      <c r="GU17" s="55">
        <v>36</v>
      </c>
      <c r="GV17" s="56">
        <v>500</v>
      </c>
      <c r="GW17" s="55">
        <v>32</v>
      </c>
      <c r="GX17" s="56">
        <v>483</v>
      </c>
      <c r="GY17" s="55">
        <v>38</v>
      </c>
      <c r="GZ17" s="56">
        <v>465</v>
      </c>
      <c r="HA17">
        <v>33</v>
      </c>
      <c r="HB17" s="56">
        <v>540</v>
      </c>
      <c r="HC17">
        <v>35</v>
      </c>
      <c r="HD17" s="56">
        <v>480</v>
      </c>
      <c r="HE17">
        <v>29</v>
      </c>
      <c r="HF17" s="56">
        <v>550</v>
      </c>
    </row>
    <row r="18" spans="1:214" x14ac:dyDescent="0.25">
      <c r="A18" s="53"/>
      <c r="B18" s="54" t="s">
        <v>758</v>
      </c>
      <c r="C18" s="55">
        <v>7</v>
      </c>
      <c r="D18" s="56">
        <v>100</v>
      </c>
      <c r="E18" s="55">
        <v>11</v>
      </c>
      <c r="F18" s="56">
        <v>90</v>
      </c>
      <c r="G18" s="55">
        <v>10</v>
      </c>
      <c r="H18" s="56">
        <v>100</v>
      </c>
      <c r="I18" s="55">
        <v>11</v>
      </c>
      <c r="J18" s="56">
        <v>110</v>
      </c>
      <c r="K18" s="55">
        <v>12</v>
      </c>
      <c r="L18" s="56">
        <v>103</v>
      </c>
      <c r="M18" s="55">
        <v>9</v>
      </c>
      <c r="N18" s="56">
        <v>100</v>
      </c>
      <c r="O18" s="55">
        <v>9</v>
      </c>
      <c r="P18" s="56">
        <v>100</v>
      </c>
      <c r="Q18" s="55">
        <v>12</v>
      </c>
      <c r="R18" s="56">
        <v>100</v>
      </c>
      <c r="S18" s="55">
        <v>5</v>
      </c>
      <c r="T18" s="56">
        <v>110</v>
      </c>
      <c r="U18" s="55">
        <v>14</v>
      </c>
      <c r="V18" s="56">
        <v>98</v>
      </c>
      <c r="W18" s="55">
        <v>7</v>
      </c>
      <c r="X18" s="56">
        <v>110</v>
      </c>
      <c r="Y18" s="55">
        <v>14</v>
      </c>
      <c r="Z18" s="56">
        <v>100</v>
      </c>
      <c r="AA18" s="55" t="s">
        <v>2</v>
      </c>
      <c r="AB18" s="56" t="s">
        <v>2</v>
      </c>
      <c r="AC18" s="55">
        <v>9</v>
      </c>
      <c r="AD18" s="56">
        <v>100</v>
      </c>
      <c r="AE18" s="55">
        <v>8</v>
      </c>
      <c r="AF18" s="56">
        <v>118</v>
      </c>
      <c r="AG18" s="55">
        <v>11</v>
      </c>
      <c r="AH18" s="56">
        <v>110</v>
      </c>
      <c r="AI18" s="55">
        <v>11</v>
      </c>
      <c r="AJ18" s="56">
        <v>120</v>
      </c>
      <c r="AK18" s="55">
        <v>10</v>
      </c>
      <c r="AL18" s="56">
        <v>120</v>
      </c>
      <c r="AM18" s="55">
        <v>12</v>
      </c>
      <c r="AN18" s="56">
        <v>128</v>
      </c>
      <c r="AO18" s="55">
        <v>22</v>
      </c>
      <c r="AP18" s="56">
        <v>130</v>
      </c>
      <c r="AQ18" s="55">
        <v>9</v>
      </c>
      <c r="AR18" s="56">
        <v>130</v>
      </c>
      <c r="AS18" s="55">
        <v>12</v>
      </c>
      <c r="AT18" s="56">
        <v>130</v>
      </c>
      <c r="AU18" s="55">
        <v>13</v>
      </c>
      <c r="AV18" s="56">
        <v>125</v>
      </c>
      <c r="AW18" s="55">
        <v>13</v>
      </c>
      <c r="AX18" s="56">
        <v>130</v>
      </c>
      <c r="AY18" s="55">
        <v>8</v>
      </c>
      <c r="AZ18" s="56">
        <v>135</v>
      </c>
      <c r="BA18" s="55">
        <v>11</v>
      </c>
      <c r="BB18" s="56">
        <v>130</v>
      </c>
      <c r="BC18" s="55">
        <v>13</v>
      </c>
      <c r="BD18" s="56">
        <v>130</v>
      </c>
      <c r="BE18" s="55">
        <v>9</v>
      </c>
      <c r="BF18" s="56">
        <v>125</v>
      </c>
      <c r="BG18" s="55">
        <v>11</v>
      </c>
      <c r="BH18" s="56">
        <v>135</v>
      </c>
      <c r="BI18" s="55">
        <v>18</v>
      </c>
      <c r="BJ18" s="56">
        <v>130</v>
      </c>
      <c r="BK18" s="55">
        <v>7</v>
      </c>
      <c r="BL18" s="56">
        <v>140</v>
      </c>
      <c r="BM18" s="55">
        <v>22</v>
      </c>
      <c r="BN18" s="56">
        <v>133</v>
      </c>
      <c r="BO18" s="55">
        <v>19</v>
      </c>
      <c r="BP18" s="56">
        <v>135</v>
      </c>
      <c r="BQ18" s="55">
        <v>22</v>
      </c>
      <c r="BR18" s="56">
        <v>138</v>
      </c>
      <c r="BS18" s="55">
        <v>12</v>
      </c>
      <c r="BT18" s="56">
        <v>150</v>
      </c>
      <c r="BU18" s="55">
        <v>23</v>
      </c>
      <c r="BV18" s="56">
        <v>135</v>
      </c>
      <c r="BW18" s="55">
        <v>20</v>
      </c>
      <c r="BX18" s="56">
        <v>145</v>
      </c>
      <c r="BY18" s="55">
        <v>14</v>
      </c>
      <c r="BZ18" s="56">
        <v>148</v>
      </c>
      <c r="CA18" s="55">
        <v>16</v>
      </c>
      <c r="CB18" s="56">
        <v>135</v>
      </c>
      <c r="CC18" s="55">
        <v>15</v>
      </c>
      <c r="CD18" s="56">
        <v>145</v>
      </c>
      <c r="CE18" s="55">
        <v>18</v>
      </c>
      <c r="CF18" s="56">
        <v>150</v>
      </c>
      <c r="CG18" s="55">
        <v>15</v>
      </c>
      <c r="CH18" s="56">
        <v>150</v>
      </c>
      <c r="CI18" s="55">
        <v>14</v>
      </c>
      <c r="CJ18" s="56">
        <v>143</v>
      </c>
      <c r="CK18" s="55">
        <v>16</v>
      </c>
      <c r="CL18" s="56">
        <v>148</v>
      </c>
      <c r="CM18" s="55">
        <v>12</v>
      </c>
      <c r="CN18" s="56">
        <v>150</v>
      </c>
      <c r="CO18" s="55">
        <v>14</v>
      </c>
      <c r="CP18" s="56">
        <v>155</v>
      </c>
      <c r="CQ18" s="55">
        <v>16</v>
      </c>
      <c r="CR18" s="56">
        <v>150</v>
      </c>
      <c r="CS18" s="55">
        <v>11</v>
      </c>
      <c r="CT18" s="56">
        <v>160</v>
      </c>
      <c r="CU18" s="55">
        <v>7</v>
      </c>
      <c r="CV18" s="56">
        <v>150</v>
      </c>
      <c r="CW18" s="55">
        <v>20</v>
      </c>
      <c r="CX18" s="56">
        <v>150</v>
      </c>
      <c r="CY18" s="55">
        <v>10</v>
      </c>
      <c r="CZ18" s="56">
        <v>155</v>
      </c>
      <c r="DA18" s="55">
        <v>15</v>
      </c>
      <c r="DB18" s="56">
        <v>175</v>
      </c>
      <c r="DC18" s="55">
        <v>11</v>
      </c>
      <c r="DD18" s="56">
        <v>155</v>
      </c>
      <c r="DE18" s="55">
        <v>15</v>
      </c>
      <c r="DF18" s="56">
        <v>160</v>
      </c>
      <c r="DG18" s="55">
        <v>14</v>
      </c>
      <c r="DH18" s="56">
        <v>168</v>
      </c>
      <c r="DI18" s="55">
        <v>17</v>
      </c>
      <c r="DJ18" s="56">
        <v>155</v>
      </c>
      <c r="DK18" s="55">
        <v>13</v>
      </c>
      <c r="DL18" s="56">
        <v>185</v>
      </c>
      <c r="DM18" s="55">
        <v>13</v>
      </c>
      <c r="DN18" s="56">
        <v>160</v>
      </c>
      <c r="DO18" s="55">
        <v>11</v>
      </c>
      <c r="DP18" s="56">
        <v>190</v>
      </c>
      <c r="DQ18" s="55">
        <v>14</v>
      </c>
      <c r="DR18" s="56">
        <v>175</v>
      </c>
      <c r="DS18" s="55">
        <v>12</v>
      </c>
      <c r="DT18" s="56">
        <v>153</v>
      </c>
      <c r="DU18" s="55">
        <v>21</v>
      </c>
      <c r="DV18" s="56">
        <v>160</v>
      </c>
      <c r="DW18" s="55">
        <v>21</v>
      </c>
      <c r="DX18" s="56">
        <v>190</v>
      </c>
      <c r="DY18" s="55">
        <v>22</v>
      </c>
      <c r="DZ18" s="56">
        <v>170</v>
      </c>
      <c r="EA18" s="55">
        <v>17</v>
      </c>
      <c r="EB18" s="56">
        <v>175</v>
      </c>
      <c r="EC18" s="55">
        <v>11</v>
      </c>
      <c r="ED18" s="56">
        <v>170</v>
      </c>
      <c r="EE18" s="55">
        <v>13</v>
      </c>
      <c r="EF18" s="56">
        <v>170</v>
      </c>
      <c r="EG18" s="55">
        <v>22</v>
      </c>
      <c r="EH18" s="56">
        <v>185</v>
      </c>
      <c r="EI18" s="55">
        <v>15</v>
      </c>
      <c r="EJ18" s="56">
        <v>185</v>
      </c>
      <c r="EK18" s="55">
        <v>9</v>
      </c>
      <c r="EL18" s="56">
        <v>190</v>
      </c>
      <c r="EM18" s="55">
        <v>23</v>
      </c>
      <c r="EN18" s="56">
        <v>180</v>
      </c>
      <c r="EO18" s="55">
        <v>24</v>
      </c>
      <c r="EP18" s="56">
        <v>195</v>
      </c>
      <c r="EQ18" s="55">
        <v>19</v>
      </c>
      <c r="ER18" s="56">
        <v>190</v>
      </c>
      <c r="ES18" s="55">
        <v>15</v>
      </c>
      <c r="ET18" s="56">
        <v>200</v>
      </c>
      <c r="EU18" s="55">
        <v>15</v>
      </c>
      <c r="EV18" s="56">
        <v>180</v>
      </c>
      <c r="EW18" s="55">
        <v>16</v>
      </c>
      <c r="EX18" s="56">
        <v>208</v>
      </c>
      <c r="EY18" s="55">
        <v>18</v>
      </c>
      <c r="EZ18" s="56">
        <v>178</v>
      </c>
      <c r="FA18" s="55">
        <v>16</v>
      </c>
      <c r="FB18" s="56">
        <v>198</v>
      </c>
      <c r="FC18" s="55">
        <v>12</v>
      </c>
      <c r="FD18" s="56">
        <v>205</v>
      </c>
      <c r="FE18" s="55">
        <v>13</v>
      </c>
      <c r="FF18" s="56">
        <v>190</v>
      </c>
      <c r="FG18" s="55">
        <v>15</v>
      </c>
      <c r="FH18" s="56">
        <v>200</v>
      </c>
      <c r="FI18" s="55">
        <v>18</v>
      </c>
      <c r="FJ18" s="56">
        <v>220</v>
      </c>
      <c r="FK18" s="55">
        <v>9</v>
      </c>
      <c r="FL18" s="56">
        <v>230</v>
      </c>
      <c r="FM18" s="55">
        <v>15</v>
      </c>
      <c r="FN18" s="56">
        <v>210</v>
      </c>
      <c r="FO18" s="55">
        <v>14</v>
      </c>
      <c r="FP18" s="56">
        <v>210</v>
      </c>
      <c r="FQ18" s="55">
        <v>14</v>
      </c>
      <c r="FR18" s="56">
        <v>205</v>
      </c>
      <c r="FS18" s="55">
        <v>11</v>
      </c>
      <c r="FT18" s="56">
        <v>200</v>
      </c>
      <c r="FU18" s="55">
        <v>14</v>
      </c>
      <c r="FV18" s="56">
        <v>225</v>
      </c>
      <c r="FW18" s="55">
        <v>20</v>
      </c>
      <c r="FX18" s="56">
        <v>230</v>
      </c>
      <c r="FY18" s="55">
        <v>15</v>
      </c>
      <c r="FZ18" s="56">
        <v>230</v>
      </c>
      <c r="GA18" s="55">
        <v>14</v>
      </c>
      <c r="GB18" s="56">
        <v>260</v>
      </c>
      <c r="GC18" s="55">
        <v>13</v>
      </c>
      <c r="GD18" s="56">
        <v>250</v>
      </c>
      <c r="GE18" s="55">
        <v>15</v>
      </c>
      <c r="GF18" s="56">
        <v>260</v>
      </c>
      <c r="GG18" s="55">
        <v>10</v>
      </c>
      <c r="GH18" s="56">
        <v>265</v>
      </c>
      <c r="GI18" s="55">
        <v>6</v>
      </c>
      <c r="GJ18" s="56">
        <v>270</v>
      </c>
      <c r="GK18" s="55">
        <v>15</v>
      </c>
      <c r="GL18" s="56">
        <v>280</v>
      </c>
      <c r="GM18" s="55">
        <v>22</v>
      </c>
      <c r="GN18" s="56">
        <v>275</v>
      </c>
      <c r="GO18" s="55">
        <v>9</v>
      </c>
      <c r="GP18" s="56">
        <v>300</v>
      </c>
      <c r="GQ18" s="55">
        <v>9</v>
      </c>
      <c r="GR18" s="56">
        <v>290</v>
      </c>
      <c r="GS18" s="55">
        <v>11</v>
      </c>
      <c r="GT18" s="56">
        <v>320</v>
      </c>
      <c r="GU18" s="55">
        <v>11</v>
      </c>
      <c r="GV18" s="56">
        <v>300</v>
      </c>
      <c r="GW18" s="55">
        <v>15</v>
      </c>
      <c r="GX18" s="56">
        <v>330</v>
      </c>
      <c r="GY18" s="55">
        <v>8</v>
      </c>
      <c r="GZ18" s="56">
        <v>300</v>
      </c>
      <c r="HA18">
        <v>16</v>
      </c>
      <c r="HB18" s="56">
        <v>318</v>
      </c>
      <c r="HC18">
        <v>9</v>
      </c>
      <c r="HD18" s="56">
        <v>310</v>
      </c>
      <c r="HE18">
        <v>16</v>
      </c>
      <c r="HF18" s="56">
        <v>320</v>
      </c>
    </row>
    <row r="19" spans="1:214" x14ac:dyDescent="0.25">
      <c r="A19" s="53"/>
      <c r="B19" s="54" t="s">
        <v>759</v>
      </c>
      <c r="C19" s="55">
        <v>45</v>
      </c>
      <c r="D19" s="56">
        <v>130</v>
      </c>
      <c r="E19" s="55">
        <v>72</v>
      </c>
      <c r="F19" s="56">
        <v>125</v>
      </c>
      <c r="G19" s="55">
        <v>67</v>
      </c>
      <c r="H19" s="56">
        <v>130</v>
      </c>
      <c r="I19" s="55">
        <v>87</v>
      </c>
      <c r="J19" s="56">
        <v>125</v>
      </c>
      <c r="K19" s="55">
        <v>78</v>
      </c>
      <c r="L19" s="56">
        <v>130</v>
      </c>
      <c r="M19" s="55">
        <v>68</v>
      </c>
      <c r="N19" s="56">
        <v>125</v>
      </c>
      <c r="O19" s="55">
        <v>71</v>
      </c>
      <c r="P19" s="56">
        <v>140</v>
      </c>
      <c r="Q19" s="55">
        <v>81</v>
      </c>
      <c r="R19" s="56">
        <v>130</v>
      </c>
      <c r="S19" s="55">
        <v>56</v>
      </c>
      <c r="T19" s="56">
        <v>140</v>
      </c>
      <c r="U19" s="55">
        <v>57</v>
      </c>
      <c r="V19" s="56">
        <v>135</v>
      </c>
      <c r="W19" s="55">
        <v>65</v>
      </c>
      <c r="X19" s="56">
        <v>135</v>
      </c>
      <c r="Y19" s="55">
        <v>58</v>
      </c>
      <c r="Z19" s="56">
        <v>138</v>
      </c>
      <c r="AA19" s="55">
        <v>53</v>
      </c>
      <c r="AB19" s="56">
        <v>145</v>
      </c>
      <c r="AC19" s="55">
        <v>55</v>
      </c>
      <c r="AD19" s="56">
        <v>160</v>
      </c>
      <c r="AE19" s="55">
        <v>57</v>
      </c>
      <c r="AF19" s="56">
        <v>145</v>
      </c>
      <c r="AG19" s="55">
        <v>80</v>
      </c>
      <c r="AH19" s="56">
        <v>160</v>
      </c>
      <c r="AI19" s="55">
        <v>72</v>
      </c>
      <c r="AJ19" s="56">
        <v>158</v>
      </c>
      <c r="AK19" s="55">
        <v>64</v>
      </c>
      <c r="AL19" s="56">
        <v>160</v>
      </c>
      <c r="AM19" s="55">
        <v>75</v>
      </c>
      <c r="AN19" s="56">
        <v>155</v>
      </c>
      <c r="AO19" s="55">
        <v>83</v>
      </c>
      <c r="AP19" s="56">
        <v>160</v>
      </c>
      <c r="AQ19" s="55">
        <v>61</v>
      </c>
      <c r="AR19" s="56">
        <v>155</v>
      </c>
      <c r="AS19" s="55">
        <v>69</v>
      </c>
      <c r="AT19" s="56">
        <v>170</v>
      </c>
      <c r="AU19" s="55">
        <v>77</v>
      </c>
      <c r="AV19" s="56">
        <v>180</v>
      </c>
      <c r="AW19" s="55">
        <v>63</v>
      </c>
      <c r="AX19" s="56">
        <v>165</v>
      </c>
      <c r="AY19" s="55">
        <v>72</v>
      </c>
      <c r="AZ19" s="56">
        <v>155</v>
      </c>
      <c r="BA19" s="55">
        <v>82</v>
      </c>
      <c r="BB19" s="56">
        <v>180</v>
      </c>
      <c r="BC19" s="55">
        <v>63</v>
      </c>
      <c r="BD19" s="56">
        <v>170</v>
      </c>
      <c r="BE19" s="55">
        <v>66</v>
      </c>
      <c r="BF19" s="56">
        <v>178</v>
      </c>
      <c r="BG19" s="55">
        <v>68</v>
      </c>
      <c r="BH19" s="56">
        <v>168</v>
      </c>
      <c r="BI19" s="55">
        <v>72</v>
      </c>
      <c r="BJ19" s="56">
        <v>175</v>
      </c>
      <c r="BK19" s="55">
        <v>82</v>
      </c>
      <c r="BL19" s="56">
        <v>165</v>
      </c>
      <c r="BM19" s="55">
        <v>91</v>
      </c>
      <c r="BN19" s="56">
        <v>175</v>
      </c>
      <c r="BO19" s="55">
        <v>65</v>
      </c>
      <c r="BP19" s="56">
        <v>180</v>
      </c>
      <c r="BQ19" s="55">
        <v>80</v>
      </c>
      <c r="BR19" s="56">
        <v>180</v>
      </c>
      <c r="BS19" s="55">
        <v>89</v>
      </c>
      <c r="BT19" s="56">
        <v>190</v>
      </c>
      <c r="BU19" s="55">
        <v>103</v>
      </c>
      <c r="BV19" s="56">
        <v>190</v>
      </c>
      <c r="BW19" s="55">
        <v>79</v>
      </c>
      <c r="BX19" s="56">
        <v>200</v>
      </c>
      <c r="BY19" s="55">
        <v>92</v>
      </c>
      <c r="BZ19" s="56">
        <v>180</v>
      </c>
      <c r="CA19" s="55">
        <v>92</v>
      </c>
      <c r="CB19" s="56">
        <v>180</v>
      </c>
      <c r="CC19" s="55">
        <v>104</v>
      </c>
      <c r="CD19" s="56">
        <v>210</v>
      </c>
      <c r="CE19" s="55">
        <v>77</v>
      </c>
      <c r="CF19" s="56">
        <v>200</v>
      </c>
      <c r="CG19" s="55">
        <v>67</v>
      </c>
      <c r="CH19" s="56">
        <v>205</v>
      </c>
      <c r="CI19" s="55">
        <v>85</v>
      </c>
      <c r="CJ19" s="56">
        <v>220</v>
      </c>
      <c r="CK19" s="55">
        <v>97</v>
      </c>
      <c r="CL19" s="56">
        <v>210</v>
      </c>
      <c r="CM19" s="55">
        <v>88</v>
      </c>
      <c r="CN19" s="56">
        <v>210</v>
      </c>
      <c r="CO19" s="55">
        <v>94</v>
      </c>
      <c r="CP19" s="56">
        <v>210</v>
      </c>
      <c r="CQ19" s="55">
        <v>80</v>
      </c>
      <c r="CR19" s="56">
        <v>223</v>
      </c>
      <c r="CS19" s="55">
        <v>101</v>
      </c>
      <c r="CT19" s="56">
        <v>210</v>
      </c>
      <c r="CU19" s="55">
        <v>90</v>
      </c>
      <c r="CV19" s="56">
        <v>230</v>
      </c>
      <c r="CW19" s="55">
        <v>80</v>
      </c>
      <c r="CX19" s="56">
        <v>210</v>
      </c>
      <c r="CY19" s="55">
        <v>75</v>
      </c>
      <c r="CZ19" s="56">
        <v>225</v>
      </c>
      <c r="DA19" s="55">
        <v>92</v>
      </c>
      <c r="DB19" s="56">
        <v>235</v>
      </c>
      <c r="DC19" s="55">
        <v>75</v>
      </c>
      <c r="DD19" s="56">
        <v>230</v>
      </c>
      <c r="DE19" s="55">
        <v>70</v>
      </c>
      <c r="DF19" s="56">
        <v>235</v>
      </c>
      <c r="DG19" s="55">
        <v>78</v>
      </c>
      <c r="DH19" s="56">
        <v>238</v>
      </c>
      <c r="DI19" s="55">
        <v>85</v>
      </c>
      <c r="DJ19" s="56">
        <v>245</v>
      </c>
      <c r="DK19" s="55">
        <v>70</v>
      </c>
      <c r="DL19" s="56">
        <v>235</v>
      </c>
      <c r="DM19" s="55">
        <v>84</v>
      </c>
      <c r="DN19" s="56">
        <v>263</v>
      </c>
      <c r="DO19" s="55">
        <v>73</v>
      </c>
      <c r="DP19" s="56">
        <v>250</v>
      </c>
      <c r="DQ19" s="55">
        <v>74</v>
      </c>
      <c r="DR19" s="56">
        <v>270</v>
      </c>
      <c r="DS19" s="55">
        <v>65</v>
      </c>
      <c r="DT19" s="56">
        <v>250</v>
      </c>
      <c r="DU19" s="55">
        <v>104</v>
      </c>
      <c r="DV19" s="56">
        <v>260</v>
      </c>
      <c r="DW19" s="55">
        <v>76</v>
      </c>
      <c r="DX19" s="56">
        <v>265</v>
      </c>
      <c r="DY19" s="55">
        <v>74</v>
      </c>
      <c r="DZ19" s="56">
        <v>265</v>
      </c>
      <c r="EA19" s="55">
        <v>58</v>
      </c>
      <c r="EB19" s="56">
        <v>273</v>
      </c>
      <c r="EC19" s="55">
        <v>82</v>
      </c>
      <c r="ED19" s="56">
        <v>260</v>
      </c>
      <c r="EE19" s="55">
        <v>64</v>
      </c>
      <c r="EF19" s="56">
        <v>260</v>
      </c>
      <c r="EG19" s="55">
        <v>110</v>
      </c>
      <c r="EH19" s="56">
        <v>253</v>
      </c>
      <c r="EI19" s="55">
        <v>83</v>
      </c>
      <c r="EJ19" s="56">
        <v>255</v>
      </c>
      <c r="EK19" s="55">
        <v>108</v>
      </c>
      <c r="EL19" s="56">
        <v>270</v>
      </c>
      <c r="EM19" s="55">
        <v>70</v>
      </c>
      <c r="EN19" s="56">
        <v>265</v>
      </c>
      <c r="EO19" s="55">
        <v>103</v>
      </c>
      <c r="EP19" s="56">
        <v>260</v>
      </c>
      <c r="EQ19" s="55">
        <v>59</v>
      </c>
      <c r="ER19" s="56">
        <v>260</v>
      </c>
      <c r="ES19" s="55">
        <v>78</v>
      </c>
      <c r="ET19" s="56">
        <v>245</v>
      </c>
      <c r="EU19" s="55">
        <v>73</v>
      </c>
      <c r="EV19" s="56">
        <v>280</v>
      </c>
      <c r="EW19" s="55">
        <v>91</v>
      </c>
      <c r="EX19" s="56">
        <v>270</v>
      </c>
      <c r="EY19" s="55">
        <v>68</v>
      </c>
      <c r="EZ19" s="56">
        <v>268</v>
      </c>
      <c r="FA19" s="55">
        <v>89</v>
      </c>
      <c r="FB19" s="56">
        <v>280</v>
      </c>
      <c r="FC19" s="55">
        <v>85</v>
      </c>
      <c r="FD19" s="56">
        <v>285</v>
      </c>
      <c r="FE19" s="55">
        <v>73</v>
      </c>
      <c r="FF19" s="56">
        <v>280</v>
      </c>
      <c r="FG19" s="55">
        <v>78</v>
      </c>
      <c r="FH19" s="56">
        <v>295</v>
      </c>
      <c r="FI19" s="55">
        <v>85</v>
      </c>
      <c r="FJ19" s="56">
        <v>285</v>
      </c>
      <c r="FK19" s="55">
        <v>75</v>
      </c>
      <c r="FL19" s="56">
        <v>270</v>
      </c>
      <c r="FM19" s="55">
        <v>74</v>
      </c>
      <c r="FN19" s="56">
        <v>298</v>
      </c>
      <c r="FO19" s="55">
        <v>82</v>
      </c>
      <c r="FP19" s="56">
        <v>290</v>
      </c>
      <c r="FQ19" s="55">
        <v>78</v>
      </c>
      <c r="FR19" s="56">
        <v>305</v>
      </c>
      <c r="FS19" s="55">
        <v>69</v>
      </c>
      <c r="FT19" s="56">
        <v>300</v>
      </c>
      <c r="FU19" s="55">
        <v>58</v>
      </c>
      <c r="FV19" s="56">
        <v>320</v>
      </c>
      <c r="FW19" s="55">
        <v>70</v>
      </c>
      <c r="FX19" s="56">
        <v>343</v>
      </c>
      <c r="FY19" s="55">
        <v>57</v>
      </c>
      <c r="FZ19" s="56">
        <v>340</v>
      </c>
      <c r="GA19" s="55">
        <v>77</v>
      </c>
      <c r="GB19" s="56">
        <v>340</v>
      </c>
      <c r="GC19" s="55">
        <v>57</v>
      </c>
      <c r="GD19" s="56">
        <v>350</v>
      </c>
      <c r="GE19" s="55">
        <v>58</v>
      </c>
      <c r="GF19" s="56">
        <v>350</v>
      </c>
      <c r="GG19" s="55">
        <v>85</v>
      </c>
      <c r="GH19" s="56">
        <v>360</v>
      </c>
      <c r="GI19" s="55">
        <v>70</v>
      </c>
      <c r="GJ19" s="56">
        <v>348</v>
      </c>
      <c r="GK19" s="55">
        <v>60</v>
      </c>
      <c r="GL19" s="56">
        <v>368</v>
      </c>
      <c r="GM19" s="55">
        <v>48</v>
      </c>
      <c r="GN19" s="56">
        <v>385</v>
      </c>
      <c r="GO19" s="55">
        <v>51</v>
      </c>
      <c r="GP19" s="56">
        <v>400</v>
      </c>
      <c r="GQ19" s="55">
        <v>54</v>
      </c>
      <c r="GR19" s="56">
        <v>365</v>
      </c>
      <c r="GS19" s="55">
        <v>55</v>
      </c>
      <c r="GT19" s="56">
        <v>400</v>
      </c>
      <c r="GU19" s="55">
        <v>64</v>
      </c>
      <c r="GV19" s="56">
        <v>390</v>
      </c>
      <c r="GW19" s="55">
        <v>74</v>
      </c>
      <c r="GX19" s="56">
        <v>393</v>
      </c>
      <c r="GY19" s="55">
        <v>66</v>
      </c>
      <c r="GZ19" s="56">
        <v>400</v>
      </c>
      <c r="HA19">
        <v>59</v>
      </c>
      <c r="HB19" s="56">
        <v>440</v>
      </c>
      <c r="HC19">
        <v>62</v>
      </c>
      <c r="HD19" s="56">
        <v>420</v>
      </c>
      <c r="HE19">
        <v>53</v>
      </c>
      <c r="HF19" s="56">
        <v>450</v>
      </c>
    </row>
    <row r="20" spans="1:214" x14ac:dyDescent="0.25">
      <c r="A20" s="53"/>
      <c r="B20" s="54" t="s">
        <v>760</v>
      </c>
      <c r="C20" s="55">
        <v>52</v>
      </c>
      <c r="D20" s="56">
        <v>150</v>
      </c>
      <c r="E20" s="55">
        <v>61</v>
      </c>
      <c r="F20" s="56">
        <v>150</v>
      </c>
      <c r="G20" s="55">
        <v>45</v>
      </c>
      <c r="H20" s="56">
        <v>155</v>
      </c>
      <c r="I20" s="55">
        <v>49</v>
      </c>
      <c r="J20" s="56">
        <v>155</v>
      </c>
      <c r="K20" s="55">
        <v>32</v>
      </c>
      <c r="L20" s="56">
        <v>155</v>
      </c>
      <c r="M20" s="55">
        <v>46</v>
      </c>
      <c r="N20" s="56">
        <v>160</v>
      </c>
      <c r="O20" s="55">
        <v>40</v>
      </c>
      <c r="P20" s="56">
        <v>155</v>
      </c>
      <c r="Q20" s="55">
        <v>48</v>
      </c>
      <c r="R20" s="56">
        <v>160</v>
      </c>
      <c r="S20" s="55">
        <v>29</v>
      </c>
      <c r="T20" s="56">
        <v>160</v>
      </c>
      <c r="U20" s="55">
        <v>31</v>
      </c>
      <c r="V20" s="56">
        <v>160</v>
      </c>
      <c r="W20" s="55">
        <v>48</v>
      </c>
      <c r="X20" s="56">
        <v>165</v>
      </c>
      <c r="Y20" s="55">
        <v>42</v>
      </c>
      <c r="Z20" s="56">
        <v>160</v>
      </c>
      <c r="AA20" s="55">
        <v>38</v>
      </c>
      <c r="AB20" s="56">
        <v>170</v>
      </c>
      <c r="AC20" s="55">
        <v>47</v>
      </c>
      <c r="AD20" s="56">
        <v>170</v>
      </c>
      <c r="AE20" s="55">
        <v>50</v>
      </c>
      <c r="AF20" s="56">
        <v>170</v>
      </c>
      <c r="AG20" s="55">
        <v>54</v>
      </c>
      <c r="AH20" s="56">
        <v>170</v>
      </c>
      <c r="AI20" s="55">
        <v>48</v>
      </c>
      <c r="AJ20" s="56">
        <v>175</v>
      </c>
      <c r="AK20" s="55">
        <v>54</v>
      </c>
      <c r="AL20" s="56">
        <v>175</v>
      </c>
      <c r="AM20" s="55">
        <v>54</v>
      </c>
      <c r="AN20" s="56">
        <v>180</v>
      </c>
      <c r="AO20" s="55">
        <v>41</v>
      </c>
      <c r="AP20" s="56">
        <v>185</v>
      </c>
      <c r="AQ20" s="55">
        <v>43</v>
      </c>
      <c r="AR20" s="56">
        <v>175</v>
      </c>
      <c r="AS20" s="55">
        <v>49</v>
      </c>
      <c r="AT20" s="56">
        <v>180</v>
      </c>
      <c r="AU20" s="55">
        <v>42</v>
      </c>
      <c r="AV20" s="56">
        <v>185</v>
      </c>
      <c r="AW20" s="55">
        <v>50</v>
      </c>
      <c r="AX20" s="56">
        <v>185</v>
      </c>
      <c r="AY20" s="55">
        <v>58</v>
      </c>
      <c r="AZ20" s="56">
        <v>185</v>
      </c>
      <c r="BA20" s="55">
        <v>47</v>
      </c>
      <c r="BB20" s="56">
        <v>180</v>
      </c>
      <c r="BC20" s="55">
        <v>49</v>
      </c>
      <c r="BD20" s="56">
        <v>185</v>
      </c>
      <c r="BE20" s="55">
        <v>54</v>
      </c>
      <c r="BF20" s="56">
        <v>198</v>
      </c>
      <c r="BG20" s="55">
        <v>44</v>
      </c>
      <c r="BH20" s="56">
        <v>188</v>
      </c>
      <c r="BI20" s="55">
        <v>48</v>
      </c>
      <c r="BJ20" s="56">
        <v>190</v>
      </c>
      <c r="BK20" s="55">
        <v>55</v>
      </c>
      <c r="BL20" s="56">
        <v>190</v>
      </c>
      <c r="BM20" s="55">
        <v>58</v>
      </c>
      <c r="BN20" s="56">
        <v>200</v>
      </c>
      <c r="BO20" s="55">
        <v>39</v>
      </c>
      <c r="BP20" s="56">
        <v>195</v>
      </c>
      <c r="BQ20" s="55">
        <v>42</v>
      </c>
      <c r="BR20" s="56">
        <v>220</v>
      </c>
      <c r="BS20" s="55">
        <v>46</v>
      </c>
      <c r="BT20" s="56">
        <v>205</v>
      </c>
      <c r="BU20" s="55">
        <v>44</v>
      </c>
      <c r="BV20" s="56">
        <v>220</v>
      </c>
      <c r="BW20" s="55">
        <v>42</v>
      </c>
      <c r="BX20" s="56">
        <v>230</v>
      </c>
      <c r="BY20" s="55">
        <v>35</v>
      </c>
      <c r="BZ20" s="56">
        <v>240</v>
      </c>
      <c r="CA20" s="55">
        <v>39</v>
      </c>
      <c r="CB20" s="56">
        <v>240</v>
      </c>
      <c r="CC20" s="55">
        <v>51</v>
      </c>
      <c r="CD20" s="56">
        <v>230</v>
      </c>
      <c r="CE20" s="55">
        <v>51</v>
      </c>
      <c r="CF20" s="56">
        <v>240</v>
      </c>
      <c r="CG20" s="55">
        <v>42</v>
      </c>
      <c r="CH20" s="56">
        <v>250</v>
      </c>
      <c r="CI20" s="55">
        <v>53</v>
      </c>
      <c r="CJ20" s="56">
        <v>250</v>
      </c>
      <c r="CK20" s="55">
        <v>42</v>
      </c>
      <c r="CL20" s="56">
        <v>250</v>
      </c>
      <c r="CM20" s="55">
        <v>53</v>
      </c>
      <c r="CN20" s="56">
        <v>250</v>
      </c>
      <c r="CO20" s="55">
        <v>52</v>
      </c>
      <c r="CP20" s="56">
        <v>260</v>
      </c>
      <c r="CQ20" s="55">
        <v>43</v>
      </c>
      <c r="CR20" s="56">
        <v>270</v>
      </c>
      <c r="CS20" s="55">
        <v>48</v>
      </c>
      <c r="CT20" s="56">
        <v>280</v>
      </c>
      <c r="CU20" s="55">
        <v>54</v>
      </c>
      <c r="CV20" s="56">
        <v>270</v>
      </c>
      <c r="CW20" s="55">
        <v>69</v>
      </c>
      <c r="CX20" s="56">
        <v>270</v>
      </c>
      <c r="CY20" s="55">
        <v>45</v>
      </c>
      <c r="CZ20" s="56">
        <v>280</v>
      </c>
      <c r="DA20" s="55">
        <v>61</v>
      </c>
      <c r="DB20" s="56">
        <v>280</v>
      </c>
      <c r="DC20" s="55">
        <v>52</v>
      </c>
      <c r="DD20" s="56">
        <v>288</v>
      </c>
      <c r="DE20" s="55">
        <v>50</v>
      </c>
      <c r="DF20" s="56">
        <v>283</v>
      </c>
      <c r="DG20" s="55">
        <v>68</v>
      </c>
      <c r="DH20" s="56">
        <v>290</v>
      </c>
      <c r="DI20" s="55">
        <v>77</v>
      </c>
      <c r="DJ20" s="56">
        <v>280</v>
      </c>
      <c r="DK20" s="55">
        <v>67</v>
      </c>
      <c r="DL20" s="56">
        <v>280</v>
      </c>
      <c r="DM20" s="55">
        <v>72</v>
      </c>
      <c r="DN20" s="56">
        <v>285</v>
      </c>
      <c r="DO20" s="55">
        <v>58</v>
      </c>
      <c r="DP20" s="56">
        <v>290</v>
      </c>
      <c r="DQ20" s="55">
        <v>51</v>
      </c>
      <c r="DR20" s="56">
        <v>290</v>
      </c>
      <c r="DS20" s="55">
        <v>69</v>
      </c>
      <c r="DT20" s="56">
        <v>290</v>
      </c>
      <c r="DU20" s="55">
        <v>67</v>
      </c>
      <c r="DV20" s="56">
        <v>290</v>
      </c>
      <c r="DW20" s="55">
        <v>55</v>
      </c>
      <c r="DX20" s="56">
        <v>295</v>
      </c>
      <c r="DY20" s="55">
        <v>65</v>
      </c>
      <c r="DZ20" s="56">
        <v>300</v>
      </c>
      <c r="EA20" s="55">
        <v>69</v>
      </c>
      <c r="EB20" s="56">
        <v>300</v>
      </c>
      <c r="EC20" s="55">
        <v>74</v>
      </c>
      <c r="ED20" s="56">
        <v>300</v>
      </c>
      <c r="EE20" s="55">
        <v>61</v>
      </c>
      <c r="EF20" s="56">
        <v>300</v>
      </c>
      <c r="EG20" s="55">
        <v>59</v>
      </c>
      <c r="EH20" s="56">
        <v>300</v>
      </c>
      <c r="EI20" s="55">
        <v>64</v>
      </c>
      <c r="EJ20" s="56">
        <v>310</v>
      </c>
      <c r="EK20" s="55">
        <v>58</v>
      </c>
      <c r="EL20" s="56">
        <v>310</v>
      </c>
      <c r="EM20" s="55">
        <v>62</v>
      </c>
      <c r="EN20" s="56">
        <v>310</v>
      </c>
      <c r="EO20" s="55">
        <v>61</v>
      </c>
      <c r="EP20" s="56">
        <v>310</v>
      </c>
      <c r="EQ20" s="55">
        <v>69</v>
      </c>
      <c r="ER20" s="56">
        <v>325</v>
      </c>
      <c r="ES20" s="55">
        <v>63</v>
      </c>
      <c r="ET20" s="56">
        <v>340</v>
      </c>
      <c r="EU20" s="55">
        <v>55</v>
      </c>
      <c r="EV20" s="56">
        <v>330</v>
      </c>
      <c r="EW20" s="55">
        <v>55</v>
      </c>
      <c r="EX20" s="56">
        <v>340</v>
      </c>
      <c r="EY20" s="55">
        <v>72</v>
      </c>
      <c r="EZ20" s="56">
        <v>340</v>
      </c>
      <c r="FA20" s="55">
        <v>65</v>
      </c>
      <c r="FB20" s="56">
        <v>350</v>
      </c>
      <c r="FC20" s="55">
        <v>51</v>
      </c>
      <c r="FD20" s="56">
        <v>360</v>
      </c>
      <c r="FE20" s="55">
        <v>60</v>
      </c>
      <c r="FF20" s="56">
        <v>350</v>
      </c>
      <c r="FG20" s="55">
        <v>67</v>
      </c>
      <c r="FH20" s="56">
        <v>360</v>
      </c>
      <c r="FI20" s="55">
        <v>73</v>
      </c>
      <c r="FJ20" s="56">
        <v>350</v>
      </c>
      <c r="FK20" s="55">
        <v>63</v>
      </c>
      <c r="FL20" s="56">
        <v>350</v>
      </c>
      <c r="FM20" s="55">
        <v>53</v>
      </c>
      <c r="FN20" s="56">
        <v>350</v>
      </c>
      <c r="FO20" s="55">
        <v>67</v>
      </c>
      <c r="FP20" s="56">
        <v>360</v>
      </c>
      <c r="FQ20" s="55">
        <v>54</v>
      </c>
      <c r="FR20" s="56">
        <v>360</v>
      </c>
      <c r="FS20" s="55">
        <v>43</v>
      </c>
      <c r="FT20" s="56">
        <v>360</v>
      </c>
      <c r="FU20" s="55">
        <v>55</v>
      </c>
      <c r="FV20" s="56">
        <v>380</v>
      </c>
      <c r="FW20" s="55">
        <v>56</v>
      </c>
      <c r="FX20" s="56">
        <v>390</v>
      </c>
      <c r="FY20" s="55">
        <v>57</v>
      </c>
      <c r="FZ20" s="56">
        <v>380</v>
      </c>
      <c r="GA20" s="55">
        <v>61</v>
      </c>
      <c r="GB20" s="56">
        <v>390</v>
      </c>
      <c r="GC20" s="55">
        <v>48</v>
      </c>
      <c r="GD20" s="56">
        <v>390</v>
      </c>
      <c r="GE20" s="55">
        <v>47</v>
      </c>
      <c r="GF20" s="56">
        <v>410</v>
      </c>
      <c r="GG20" s="55">
        <v>76</v>
      </c>
      <c r="GH20" s="56">
        <v>393</v>
      </c>
      <c r="GI20" s="55">
        <v>62</v>
      </c>
      <c r="GJ20" s="56">
        <v>400</v>
      </c>
      <c r="GK20" s="55">
        <v>66</v>
      </c>
      <c r="GL20" s="56">
        <v>425</v>
      </c>
      <c r="GM20" s="55">
        <v>64</v>
      </c>
      <c r="GN20" s="56">
        <v>420</v>
      </c>
      <c r="GO20" s="55">
        <v>67</v>
      </c>
      <c r="GP20" s="56">
        <v>430</v>
      </c>
      <c r="GQ20" s="55">
        <v>54</v>
      </c>
      <c r="GR20" s="56">
        <v>435</v>
      </c>
      <c r="GS20" s="55">
        <v>44</v>
      </c>
      <c r="GT20" s="56">
        <v>458</v>
      </c>
      <c r="GU20" s="55">
        <v>70</v>
      </c>
      <c r="GV20" s="56">
        <v>450</v>
      </c>
      <c r="GW20" s="55">
        <v>74</v>
      </c>
      <c r="GX20" s="56">
        <v>458</v>
      </c>
      <c r="GY20" s="55">
        <v>53</v>
      </c>
      <c r="GZ20" s="56">
        <v>455</v>
      </c>
      <c r="HA20">
        <v>63</v>
      </c>
      <c r="HB20" s="56">
        <v>450</v>
      </c>
      <c r="HC20">
        <v>57</v>
      </c>
      <c r="HD20" s="56">
        <v>470</v>
      </c>
      <c r="HE20">
        <v>38</v>
      </c>
      <c r="HF20" s="56">
        <v>480</v>
      </c>
    </row>
    <row r="21" spans="1:214" x14ac:dyDescent="0.25">
      <c r="A21" s="53"/>
      <c r="B21" s="54" t="s">
        <v>761</v>
      </c>
      <c r="C21" s="55">
        <v>26</v>
      </c>
      <c r="D21" s="56">
        <v>115</v>
      </c>
      <c r="E21" s="55">
        <v>29</v>
      </c>
      <c r="F21" s="56">
        <v>115</v>
      </c>
      <c r="G21" s="55">
        <v>28</v>
      </c>
      <c r="H21" s="56">
        <v>123</v>
      </c>
      <c r="I21" s="55">
        <v>38</v>
      </c>
      <c r="J21" s="56">
        <v>120</v>
      </c>
      <c r="K21" s="55">
        <v>26</v>
      </c>
      <c r="L21" s="56">
        <v>120</v>
      </c>
      <c r="M21" s="55">
        <v>21</v>
      </c>
      <c r="N21" s="56">
        <v>120</v>
      </c>
      <c r="O21" s="55">
        <v>23</v>
      </c>
      <c r="P21" s="56">
        <v>125</v>
      </c>
      <c r="Q21" s="55">
        <v>33</v>
      </c>
      <c r="R21" s="56">
        <v>125</v>
      </c>
      <c r="S21" s="55">
        <v>42</v>
      </c>
      <c r="T21" s="56">
        <v>120</v>
      </c>
      <c r="U21" s="55">
        <v>30</v>
      </c>
      <c r="V21" s="56">
        <v>125</v>
      </c>
      <c r="W21" s="55">
        <v>31</v>
      </c>
      <c r="X21" s="56">
        <v>130</v>
      </c>
      <c r="Y21" s="55">
        <v>33</v>
      </c>
      <c r="Z21" s="56">
        <v>125</v>
      </c>
      <c r="AA21" s="55">
        <v>28</v>
      </c>
      <c r="AB21" s="56">
        <v>128</v>
      </c>
      <c r="AC21" s="55">
        <v>36</v>
      </c>
      <c r="AD21" s="56">
        <v>125</v>
      </c>
      <c r="AE21" s="55">
        <v>24</v>
      </c>
      <c r="AF21" s="56">
        <v>132</v>
      </c>
      <c r="AG21" s="55">
        <v>40</v>
      </c>
      <c r="AH21" s="56">
        <v>125</v>
      </c>
      <c r="AI21" s="55">
        <v>28</v>
      </c>
      <c r="AJ21" s="56">
        <v>130</v>
      </c>
      <c r="AK21" s="55">
        <v>35</v>
      </c>
      <c r="AL21" s="56">
        <v>135</v>
      </c>
      <c r="AM21" s="55">
        <v>48</v>
      </c>
      <c r="AN21" s="56">
        <v>130</v>
      </c>
      <c r="AO21" s="55">
        <v>32</v>
      </c>
      <c r="AP21" s="56">
        <v>135</v>
      </c>
      <c r="AQ21" s="55">
        <v>32</v>
      </c>
      <c r="AR21" s="56">
        <v>140</v>
      </c>
      <c r="AS21" s="55">
        <v>32</v>
      </c>
      <c r="AT21" s="56">
        <v>145</v>
      </c>
      <c r="AU21" s="55">
        <v>30</v>
      </c>
      <c r="AV21" s="56">
        <v>140</v>
      </c>
      <c r="AW21" s="55">
        <v>36</v>
      </c>
      <c r="AX21" s="56">
        <v>140</v>
      </c>
      <c r="AY21" s="55">
        <v>33</v>
      </c>
      <c r="AZ21" s="56">
        <v>150</v>
      </c>
      <c r="BA21" s="55">
        <v>40</v>
      </c>
      <c r="BB21" s="56">
        <v>150</v>
      </c>
      <c r="BC21" s="55">
        <v>25</v>
      </c>
      <c r="BD21" s="56">
        <v>135</v>
      </c>
      <c r="BE21" s="55">
        <v>38</v>
      </c>
      <c r="BF21" s="56">
        <v>150</v>
      </c>
      <c r="BG21" s="55">
        <v>28</v>
      </c>
      <c r="BH21" s="56">
        <v>143</v>
      </c>
      <c r="BI21" s="55">
        <v>32</v>
      </c>
      <c r="BJ21" s="56">
        <v>150</v>
      </c>
      <c r="BK21" s="55">
        <v>37</v>
      </c>
      <c r="BL21" s="56">
        <v>150</v>
      </c>
      <c r="BM21" s="55">
        <v>46</v>
      </c>
      <c r="BN21" s="56">
        <v>155</v>
      </c>
      <c r="BO21" s="55">
        <v>32</v>
      </c>
      <c r="BP21" s="56">
        <v>145</v>
      </c>
      <c r="BQ21" s="55">
        <v>43</v>
      </c>
      <c r="BR21" s="56">
        <v>150</v>
      </c>
      <c r="BS21" s="55">
        <v>36</v>
      </c>
      <c r="BT21" s="56">
        <v>150</v>
      </c>
      <c r="BU21" s="55">
        <v>48</v>
      </c>
      <c r="BV21" s="56">
        <v>150</v>
      </c>
      <c r="BW21" s="55">
        <v>33</v>
      </c>
      <c r="BX21" s="56">
        <v>150</v>
      </c>
      <c r="BY21" s="55">
        <v>31</v>
      </c>
      <c r="BZ21" s="56">
        <v>145</v>
      </c>
      <c r="CA21" s="55">
        <v>31</v>
      </c>
      <c r="CB21" s="56">
        <v>170</v>
      </c>
      <c r="CC21" s="55">
        <v>38</v>
      </c>
      <c r="CD21" s="56">
        <v>155</v>
      </c>
      <c r="CE21" s="55">
        <v>34</v>
      </c>
      <c r="CF21" s="56">
        <v>160</v>
      </c>
      <c r="CG21" s="55">
        <v>39</v>
      </c>
      <c r="CH21" s="56">
        <v>160</v>
      </c>
      <c r="CI21" s="55">
        <v>39</v>
      </c>
      <c r="CJ21" s="56">
        <v>165</v>
      </c>
      <c r="CK21" s="55">
        <v>32</v>
      </c>
      <c r="CL21" s="56">
        <v>165</v>
      </c>
      <c r="CM21" s="55">
        <v>38</v>
      </c>
      <c r="CN21" s="56">
        <v>170</v>
      </c>
      <c r="CO21" s="55">
        <v>39</v>
      </c>
      <c r="CP21" s="56">
        <v>170</v>
      </c>
      <c r="CQ21" s="55">
        <v>38</v>
      </c>
      <c r="CR21" s="56">
        <v>168</v>
      </c>
      <c r="CS21" s="55">
        <v>36</v>
      </c>
      <c r="CT21" s="56">
        <v>180</v>
      </c>
      <c r="CU21" s="55">
        <v>34</v>
      </c>
      <c r="CV21" s="56">
        <v>180</v>
      </c>
      <c r="CW21" s="55">
        <v>29</v>
      </c>
      <c r="CX21" s="56">
        <v>180</v>
      </c>
      <c r="CY21" s="55">
        <v>24</v>
      </c>
      <c r="CZ21" s="56">
        <v>200</v>
      </c>
      <c r="DA21" s="55">
        <v>26</v>
      </c>
      <c r="DB21" s="56">
        <v>190</v>
      </c>
      <c r="DC21" s="55">
        <v>38</v>
      </c>
      <c r="DD21" s="56">
        <v>205</v>
      </c>
      <c r="DE21" s="55">
        <v>33</v>
      </c>
      <c r="DF21" s="56">
        <v>200</v>
      </c>
      <c r="DG21" s="55">
        <v>33</v>
      </c>
      <c r="DH21" s="56">
        <v>210</v>
      </c>
      <c r="DI21" s="55">
        <v>38</v>
      </c>
      <c r="DJ21" s="56">
        <v>210</v>
      </c>
      <c r="DK21" s="55">
        <v>37</v>
      </c>
      <c r="DL21" s="56">
        <v>185</v>
      </c>
      <c r="DM21" s="55">
        <v>32</v>
      </c>
      <c r="DN21" s="56">
        <v>200</v>
      </c>
      <c r="DO21" s="55">
        <v>20</v>
      </c>
      <c r="DP21" s="56">
        <v>198</v>
      </c>
      <c r="DQ21" s="55">
        <v>24</v>
      </c>
      <c r="DR21" s="56">
        <v>210</v>
      </c>
      <c r="DS21" s="55">
        <v>25</v>
      </c>
      <c r="DT21" s="56">
        <v>230</v>
      </c>
      <c r="DU21" s="55">
        <v>36</v>
      </c>
      <c r="DV21" s="56">
        <v>210</v>
      </c>
      <c r="DW21" s="55">
        <v>29</v>
      </c>
      <c r="DX21" s="56">
        <v>210</v>
      </c>
      <c r="DY21" s="55">
        <v>33</v>
      </c>
      <c r="DZ21" s="56">
        <v>220</v>
      </c>
      <c r="EA21" s="55">
        <v>23</v>
      </c>
      <c r="EB21" s="56">
        <v>220</v>
      </c>
      <c r="EC21" s="55">
        <v>34</v>
      </c>
      <c r="ED21" s="56">
        <v>213</v>
      </c>
      <c r="EE21" s="55">
        <v>38</v>
      </c>
      <c r="EF21" s="56">
        <v>230</v>
      </c>
      <c r="EG21" s="55">
        <v>29</v>
      </c>
      <c r="EH21" s="56">
        <v>200</v>
      </c>
      <c r="EI21" s="55">
        <v>30</v>
      </c>
      <c r="EJ21" s="56">
        <v>240</v>
      </c>
      <c r="EK21" s="55">
        <v>34</v>
      </c>
      <c r="EL21" s="56">
        <v>220</v>
      </c>
      <c r="EM21" s="55">
        <v>34</v>
      </c>
      <c r="EN21" s="56">
        <v>220</v>
      </c>
      <c r="EO21" s="55">
        <v>40</v>
      </c>
      <c r="EP21" s="56">
        <v>220</v>
      </c>
      <c r="EQ21" s="55">
        <v>32</v>
      </c>
      <c r="ER21" s="56">
        <v>240</v>
      </c>
      <c r="ES21" s="55">
        <v>23</v>
      </c>
      <c r="ET21" s="56">
        <v>220</v>
      </c>
      <c r="EU21" s="55">
        <v>26</v>
      </c>
      <c r="EV21" s="56">
        <v>233</v>
      </c>
      <c r="EW21" s="55">
        <v>33</v>
      </c>
      <c r="EX21" s="56">
        <v>230</v>
      </c>
      <c r="EY21" s="55">
        <v>37</v>
      </c>
      <c r="EZ21" s="56">
        <v>230</v>
      </c>
      <c r="FA21" s="55">
        <v>47</v>
      </c>
      <c r="FB21" s="56">
        <v>255</v>
      </c>
      <c r="FC21" s="55">
        <v>27</v>
      </c>
      <c r="FD21" s="56">
        <v>250</v>
      </c>
      <c r="FE21" s="55">
        <v>46</v>
      </c>
      <c r="FF21" s="56">
        <v>250</v>
      </c>
      <c r="FG21" s="55">
        <v>27</v>
      </c>
      <c r="FH21" s="56">
        <v>250</v>
      </c>
      <c r="FI21" s="55">
        <v>21</v>
      </c>
      <c r="FJ21" s="56">
        <v>270</v>
      </c>
      <c r="FK21" s="55">
        <v>36</v>
      </c>
      <c r="FL21" s="56">
        <v>265</v>
      </c>
      <c r="FM21" s="55">
        <v>32</v>
      </c>
      <c r="FN21" s="56">
        <v>250</v>
      </c>
      <c r="FO21" s="55">
        <v>34</v>
      </c>
      <c r="FP21" s="56">
        <v>263</v>
      </c>
      <c r="FQ21" s="55">
        <v>24</v>
      </c>
      <c r="FR21" s="56">
        <v>253</v>
      </c>
      <c r="FS21" s="55">
        <v>21</v>
      </c>
      <c r="FT21" s="56">
        <v>285</v>
      </c>
      <c r="FU21" s="55">
        <v>21</v>
      </c>
      <c r="FV21" s="56">
        <v>270</v>
      </c>
      <c r="FW21" s="55">
        <v>19</v>
      </c>
      <c r="FX21" s="56">
        <v>290</v>
      </c>
      <c r="FY21" s="55">
        <v>21</v>
      </c>
      <c r="FZ21" s="56">
        <v>300</v>
      </c>
      <c r="GA21" s="55">
        <v>30</v>
      </c>
      <c r="GB21" s="56">
        <v>323</v>
      </c>
      <c r="GC21" s="55">
        <v>23</v>
      </c>
      <c r="GD21" s="56">
        <v>340</v>
      </c>
      <c r="GE21" s="55">
        <v>27</v>
      </c>
      <c r="GF21" s="56">
        <v>350</v>
      </c>
      <c r="GG21" s="55">
        <v>28</v>
      </c>
      <c r="GH21" s="56">
        <v>348</v>
      </c>
      <c r="GI21" s="55">
        <v>36</v>
      </c>
      <c r="GJ21" s="56">
        <v>345</v>
      </c>
      <c r="GK21" s="55">
        <v>23</v>
      </c>
      <c r="GL21" s="56">
        <v>330</v>
      </c>
      <c r="GM21" s="55">
        <v>36</v>
      </c>
      <c r="GN21" s="56">
        <v>373</v>
      </c>
      <c r="GO21" s="55">
        <v>18</v>
      </c>
      <c r="GP21" s="56">
        <v>340</v>
      </c>
      <c r="GQ21" s="55">
        <v>25</v>
      </c>
      <c r="GR21" s="56">
        <v>380</v>
      </c>
      <c r="GS21" s="55">
        <v>27</v>
      </c>
      <c r="GT21" s="56">
        <v>370</v>
      </c>
      <c r="GU21" s="55">
        <v>22</v>
      </c>
      <c r="GV21" s="56">
        <v>370</v>
      </c>
      <c r="GW21" s="55">
        <v>22</v>
      </c>
      <c r="GX21" s="56">
        <v>380</v>
      </c>
      <c r="GY21" s="55">
        <v>29</v>
      </c>
      <c r="GZ21" s="56">
        <v>400</v>
      </c>
      <c r="HA21">
        <v>25</v>
      </c>
      <c r="HB21" s="56">
        <v>400</v>
      </c>
      <c r="HC21">
        <v>24</v>
      </c>
      <c r="HD21" s="56">
        <v>400</v>
      </c>
      <c r="HE21">
        <v>18</v>
      </c>
      <c r="HF21" s="56">
        <v>420</v>
      </c>
    </row>
    <row r="22" spans="1:214" x14ac:dyDescent="0.25">
      <c r="A22" s="53"/>
      <c r="B22" s="54" t="s">
        <v>762</v>
      </c>
      <c r="C22" s="55">
        <v>6</v>
      </c>
      <c r="D22" s="56">
        <v>115</v>
      </c>
      <c r="E22" s="55">
        <v>8</v>
      </c>
      <c r="F22" s="56">
        <v>120</v>
      </c>
      <c r="G22" s="55">
        <v>6</v>
      </c>
      <c r="H22" s="56">
        <v>90</v>
      </c>
      <c r="I22" s="55">
        <v>11</v>
      </c>
      <c r="J22" s="56">
        <v>120</v>
      </c>
      <c r="K22" s="55">
        <v>6</v>
      </c>
      <c r="L22" s="56">
        <v>113</v>
      </c>
      <c r="M22" s="55">
        <v>6</v>
      </c>
      <c r="N22" s="56">
        <v>125</v>
      </c>
      <c r="O22" s="55">
        <v>6</v>
      </c>
      <c r="P22" s="56">
        <v>120</v>
      </c>
      <c r="Q22" s="55">
        <v>5</v>
      </c>
      <c r="R22" s="56">
        <v>130</v>
      </c>
      <c r="S22" s="55">
        <v>5</v>
      </c>
      <c r="T22" s="56">
        <v>110</v>
      </c>
      <c r="U22" s="55" t="s">
        <v>2</v>
      </c>
      <c r="V22" s="56" t="s">
        <v>2</v>
      </c>
      <c r="W22" s="55">
        <v>6</v>
      </c>
      <c r="X22" s="56">
        <v>130</v>
      </c>
      <c r="Y22" s="55" t="s">
        <v>2</v>
      </c>
      <c r="Z22" s="56" t="s">
        <v>2</v>
      </c>
      <c r="AA22" s="55">
        <v>6</v>
      </c>
      <c r="AB22" s="56">
        <v>110</v>
      </c>
      <c r="AC22" s="55">
        <v>6</v>
      </c>
      <c r="AD22" s="56">
        <v>155</v>
      </c>
      <c r="AE22" s="55">
        <v>8</v>
      </c>
      <c r="AF22" s="56">
        <v>145</v>
      </c>
      <c r="AG22" s="55" t="s">
        <v>2</v>
      </c>
      <c r="AH22" s="56" t="s">
        <v>2</v>
      </c>
      <c r="AI22" s="55">
        <v>5</v>
      </c>
      <c r="AJ22" s="56">
        <v>140</v>
      </c>
      <c r="AK22" s="55">
        <v>6</v>
      </c>
      <c r="AL22" s="56">
        <v>100</v>
      </c>
      <c r="AM22" s="55" t="s">
        <v>2</v>
      </c>
      <c r="AN22" s="56" t="s">
        <v>2</v>
      </c>
      <c r="AO22" s="55" t="s">
        <v>2</v>
      </c>
      <c r="AP22" s="56" t="s">
        <v>2</v>
      </c>
      <c r="AQ22" s="55" t="s">
        <v>2</v>
      </c>
      <c r="AR22" s="56" t="s">
        <v>2</v>
      </c>
      <c r="AS22" s="55">
        <v>6</v>
      </c>
      <c r="AT22" s="56">
        <v>160</v>
      </c>
      <c r="AU22" s="55">
        <v>5</v>
      </c>
      <c r="AV22" s="56">
        <v>150</v>
      </c>
      <c r="AW22" s="55">
        <v>6</v>
      </c>
      <c r="AX22" s="56">
        <v>168</v>
      </c>
      <c r="AY22" s="55">
        <v>6</v>
      </c>
      <c r="AZ22" s="56">
        <v>148</v>
      </c>
      <c r="BA22" s="55">
        <v>6</v>
      </c>
      <c r="BB22" s="56">
        <v>155</v>
      </c>
      <c r="BC22" s="55">
        <v>9</v>
      </c>
      <c r="BD22" s="56">
        <v>130</v>
      </c>
      <c r="BE22" s="55" t="s">
        <v>2</v>
      </c>
      <c r="BF22" s="56" t="s">
        <v>2</v>
      </c>
      <c r="BG22" s="55" t="s">
        <v>2</v>
      </c>
      <c r="BH22" s="56" t="s">
        <v>2</v>
      </c>
      <c r="BI22" s="55">
        <v>5</v>
      </c>
      <c r="BJ22" s="56">
        <v>210</v>
      </c>
      <c r="BK22" s="55">
        <v>6</v>
      </c>
      <c r="BL22" s="56">
        <v>175</v>
      </c>
      <c r="BM22" s="55">
        <v>5</v>
      </c>
      <c r="BN22" s="56">
        <v>140</v>
      </c>
      <c r="BO22" s="55" t="s">
        <v>2</v>
      </c>
      <c r="BP22" s="56" t="s">
        <v>2</v>
      </c>
      <c r="BQ22" s="55">
        <v>5</v>
      </c>
      <c r="BR22" s="56">
        <v>170</v>
      </c>
      <c r="BS22" s="55" t="s">
        <v>2</v>
      </c>
      <c r="BT22" s="56" t="s">
        <v>2</v>
      </c>
      <c r="BU22" s="55">
        <v>5</v>
      </c>
      <c r="BV22" s="56">
        <v>150</v>
      </c>
      <c r="BW22" s="55" t="s">
        <v>2</v>
      </c>
      <c r="BX22" s="56" t="s">
        <v>2</v>
      </c>
      <c r="BY22" s="55" t="s">
        <v>2</v>
      </c>
      <c r="BZ22" s="56" t="s">
        <v>2</v>
      </c>
      <c r="CA22" s="55" t="s">
        <v>2</v>
      </c>
      <c r="CB22" s="56" t="s">
        <v>2</v>
      </c>
      <c r="CC22" s="55" t="s">
        <v>2</v>
      </c>
      <c r="CD22" s="56" t="s">
        <v>2</v>
      </c>
      <c r="CE22" s="55" t="s">
        <v>2</v>
      </c>
      <c r="CF22" s="56" t="s">
        <v>2</v>
      </c>
      <c r="CG22" s="55" t="s">
        <v>2</v>
      </c>
      <c r="CH22" s="56" t="s">
        <v>2</v>
      </c>
      <c r="CI22" s="55" t="s">
        <v>2</v>
      </c>
      <c r="CJ22" s="56" t="s">
        <v>2</v>
      </c>
      <c r="CK22" s="55">
        <v>5</v>
      </c>
      <c r="CL22" s="56">
        <v>160</v>
      </c>
      <c r="CM22" s="55">
        <v>8</v>
      </c>
      <c r="CN22" s="56">
        <v>200</v>
      </c>
      <c r="CO22" s="55">
        <v>8</v>
      </c>
      <c r="CP22" s="56">
        <v>203</v>
      </c>
      <c r="CQ22" s="55">
        <v>7</v>
      </c>
      <c r="CR22" s="56">
        <v>170</v>
      </c>
      <c r="CS22" s="55">
        <v>11</v>
      </c>
      <c r="CT22" s="56">
        <v>200</v>
      </c>
      <c r="CU22" s="55">
        <v>6</v>
      </c>
      <c r="CV22" s="56">
        <v>193</v>
      </c>
      <c r="CW22" s="55">
        <v>8</v>
      </c>
      <c r="CX22" s="56">
        <v>210</v>
      </c>
      <c r="CY22" s="55">
        <v>8</v>
      </c>
      <c r="CZ22" s="56">
        <v>235</v>
      </c>
      <c r="DA22" s="55">
        <v>11</v>
      </c>
      <c r="DB22" s="56">
        <v>250</v>
      </c>
      <c r="DC22" s="55">
        <v>9</v>
      </c>
      <c r="DD22" s="56">
        <v>210</v>
      </c>
      <c r="DE22" s="55">
        <v>10</v>
      </c>
      <c r="DF22" s="56">
        <v>220</v>
      </c>
      <c r="DG22" s="55">
        <v>5</v>
      </c>
      <c r="DH22" s="56">
        <v>200</v>
      </c>
      <c r="DI22" s="55">
        <v>10</v>
      </c>
      <c r="DJ22" s="56">
        <v>255</v>
      </c>
      <c r="DK22" s="55">
        <v>13</v>
      </c>
      <c r="DL22" s="56">
        <v>185</v>
      </c>
      <c r="DM22" s="55">
        <v>8</v>
      </c>
      <c r="DN22" s="56">
        <v>245</v>
      </c>
      <c r="DO22" s="55">
        <v>12</v>
      </c>
      <c r="DP22" s="56">
        <v>220</v>
      </c>
      <c r="DQ22" s="55">
        <v>6</v>
      </c>
      <c r="DR22" s="56">
        <v>235</v>
      </c>
      <c r="DS22" s="55">
        <v>10</v>
      </c>
      <c r="DT22" s="56">
        <v>250</v>
      </c>
      <c r="DU22" s="55">
        <v>12</v>
      </c>
      <c r="DV22" s="56">
        <v>245</v>
      </c>
      <c r="DW22" s="55">
        <v>10</v>
      </c>
      <c r="DX22" s="56">
        <v>250</v>
      </c>
      <c r="DY22" s="55">
        <v>11</v>
      </c>
      <c r="DZ22" s="56">
        <v>230</v>
      </c>
      <c r="EA22" s="55">
        <v>11</v>
      </c>
      <c r="EB22" s="56">
        <v>250</v>
      </c>
      <c r="EC22" s="55">
        <v>10</v>
      </c>
      <c r="ED22" s="56">
        <v>260</v>
      </c>
      <c r="EE22" s="55">
        <v>10</v>
      </c>
      <c r="EF22" s="56">
        <v>255</v>
      </c>
      <c r="EG22" s="55">
        <v>8</v>
      </c>
      <c r="EH22" s="56">
        <v>228</v>
      </c>
      <c r="EI22" s="55">
        <v>12</v>
      </c>
      <c r="EJ22" s="56">
        <v>250</v>
      </c>
      <c r="EK22" s="55">
        <v>14</v>
      </c>
      <c r="EL22" s="56">
        <v>250</v>
      </c>
      <c r="EM22" s="55">
        <v>11</v>
      </c>
      <c r="EN22" s="56">
        <v>250</v>
      </c>
      <c r="EO22" s="55">
        <v>14</v>
      </c>
      <c r="EP22" s="56">
        <v>250</v>
      </c>
      <c r="EQ22" s="55">
        <v>14</v>
      </c>
      <c r="ER22" s="56">
        <v>250</v>
      </c>
      <c r="ES22" s="55">
        <v>5</v>
      </c>
      <c r="ET22" s="56">
        <v>255</v>
      </c>
      <c r="EU22" s="55">
        <v>6</v>
      </c>
      <c r="EV22" s="56">
        <v>250</v>
      </c>
      <c r="EW22" s="55">
        <v>10</v>
      </c>
      <c r="EX22" s="56">
        <v>255</v>
      </c>
      <c r="EY22" s="55">
        <v>10</v>
      </c>
      <c r="EZ22" s="56">
        <v>290</v>
      </c>
      <c r="FA22" s="55">
        <v>16</v>
      </c>
      <c r="FB22" s="56">
        <v>255</v>
      </c>
      <c r="FC22" s="55">
        <v>13</v>
      </c>
      <c r="FD22" s="56">
        <v>260</v>
      </c>
      <c r="FE22" s="55">
        <v>8</v>
      </c>
      <c r="FF22" s="56">
        <v>268</v>
      </c>
      <c r="FG22" s="55">
        <v>5</v>
      </c>
      <c r="FH22" s="56">
        <v>300</v>
      </c>
      <c r="FI22" s="55">
        <v>11</v>
      </c>
      <c r="FJ22" s="56">
        <v>340</v>
      </c>
      <c r="FK22" s="55">
        <v>14</v>
      </c>
      <c r="FL22" s="56">
        <v>300</v>
      </c>
      <c r="FM22" s="55">
        <v>6</v>
      </c>
      <c r="FN22" s="56">
        <v>287</v>
      </c>
      <c r="FO22" s="55">
        <v>11</v>
      </c>
      <c r="FP22" s="56">
        <v>270</v>
      </c>
      <c r="FQ22" s="55">
        <v>9</v>
      </c>
      <c r="FR22" s="56">
        <v>300</v>
      </c>
      <c r="FS22" s="55">
        <v>11</v>
      </c>
      <c r="FT22" s="56">
        <v>320</v>
      </c>
      <c r="FU22" s="55">
        <v>13</v>
      </c>
      <c r="FV22" s="56">
        <v>280</v>
      </c>
      <c r="FW22" s="55">
        <v>9</v>
      </c>
      <c r="FX22" s="56">
        <v>300</v>
      </c>
      <c r="FY22" s="55" t="s">
        <v>2</v>
      </c>
      <c r="FZ22" s="56" t="s">
        <v>2</v>
      </c>
      <c r="GA22" s="55" t="s">
        <v>2</v>
      </c>
      <c r="GB22" s="56" t="s">
        <v>2</v>
      </c>
      <c r="GC22" s="55">
        <v>13</v>
      </c>
      <c r="GD22" s="56">
        <v>310</v>
      </c>
      <c r="GE22" s="55" t="s">
        <v>2</v>
      </c>
      <c r="GF22" s="56" t="s">
        <v>2</v>
      </c>
      <c r="GG22" s="55">
        <v>8</v>
      </c>
      <c r="GH22" s="56">
        <v>350</v>
      </c>
      <c r="GI22" s="55">
        <v>7</v>
      </c>
      <c r="GJ22" s="56">
        <v>350</v>
      </c>
      <c r="GK22" s="55">
        <v>11</v>
      </c>
      <c r="GL22" s="56">
        <v>300</v>
      </c>
      <c r="GM22" s="55">
        <v>5</v>
      </c>
      <c r="GN22" s="56">
        <v>350</v>
      </c>
      <c r="GO22" s="55" t="s">
        <v>2</v>
      </c>
      <c r="GP22" s="56" t="s">
        <v>2</v>
      </c>
      <c r="GQ22" s="55">
        <v>6</v>
      </c>
      <c r="GR22" s="56">
        <v>370</v>
      </c>
      <c r="GS22" s="55">
        <v>13</v>
      </c>
      <c r="GT22" s="56">
        <v>360</v>
      </c>
      <c r="GU22" s="55">
        <v>10</v>
      </c>
      <c r="GV22" s="56">
        <v>360</v>
      </c>
      <c r="GW22" s="55">
        <v>13</v>
      </c>
      <c r="GX22" s="56">
        <v>400</v>
      </c>
      <c r="GY22" s="55">
        <v>9</v>
      </c>
      <c r="GZ22" s="56">
        <v>400</v>
      </c>
      <c r="HA22">
        <v>6</v>
      </c>
      <c r="HB22" s="56">
        <v>388</v>
      </c>
      <c r="HC22">
        <v>10</v>
      </c>
      <c r="HD22" s="56">
        <v>400</v>
      </c>
      <c r="HE22">
        <v>5</v>
      </c>
      <c r="HF22" s="56">
        <v>370</v>
      </c>
    </row>
    <row r="23" spans="1:214" x14ac:dyDescent="0.25">
      <c r="A23" s="53"/>
      <c r="B23" s="54" t="s">
        <v>763</v>
      </c>
      <c r="C23" s="55">
        <v>5</v>
      </c>
      <c r="D23" s="56">
        <v>80</v>
      </c>
      <c r="E23" s="55">
        <v>7</v>
      </c>
      <c r="F23" s="56">
        <v>90</v>
      </c>
      <c r="G23" s="55" t="s">
        <v>2</v>
      </c>
      <c r="H23" s="56" t="s">
        <v>2</v>
      </c>
      <c r="I23" s="55" t="s">
        <v>2</v>
      </c>
      <c r="J23" s="56" t="s">
        <v>2</v>
      </c>
      <c r="K23" s="55" t="s">
        <v>2</v>
      </c>
      <c r="L23" s="56" t="s">
        <v>2</v>
      </c>
      <c r="M23" s="55" t="s">
        <v>2</v>
      </c>
      <c r="N23" s="56" t="s">
        <v>2</v>
      </c>
      <c r="O23" s="55" t="s">
        <v>2</v>
      </c>
      <c r="P23" s="56" t="s">
        <v>2</v>
      </c>
      <c r="Q23" s="55" t="s">
        <v>2</v>
      </c>
      <c r="R23" s="56" t="s">
        <v>2</v>
      </c>
      <c r="S23" s="55" t="s">
        <v>2</v>
      </c>
      <c r="T23" s="56" t="s">
        <v>2</v>
      </c>
      <c r="U23" s="55">
        <v>5</v>
      </c>
      <c r="V23" s="56">
        <v>85</v>
      </c>
      <c r="W23" s="55" t="s">
        <v>2</v>
      </c>
      <c r="X23" s="56" t="s">
        <v>2</v>
      </c>
      <c r="Y23" s="55" t="s">
        <v>2</v>
      </c>
      <c r="Z23" s="56" t="s">
        <v>2</v>
      </c>
      <c r="AA23" s="55" t="s">
        <v>2</v>
      </c>
      <c r="AB23" s="56" t="s">
        <v>2</v>
      </c>
      <c r="AC23" s="55" t="s">
        <v>2</v>
      </c>
      <c r="AD23" s="56" t="s">
        <v>2</v>
      </c>
      <c r="AE23" s="55">
        <v>6</v>
      </c>
      <c r="AF23" s="56">
        <v>98</v>
      </c>
      <c r="AG23" s="55" t="s">
        <v>2</v>
      </c>
      <c r="AH23" s="56" t="s">
        <v>2</v>
      </c>
      <c r="AI23" s="55" t="s">
        <v>2</v>
      </c>
      <c r="AJ23" s="56" t="s">
        <v>2</v>
      </c>
      <c r="AK23" s="55" t="s">
        <v>2</v>
      </c>
      <c r="AL23" s="56" t="s">
        <v>2</v>
      </c>
      <c r="AM23" s="55" t="s">
        <v>2</v>
      </c>
      <c r="AN23" s="56" t="s">
        <v>2</v>
      </c>
      <c r="AO23" s="55" t="s">
        <v>2</v>
      </c>
      <c r="AP23" s="56" t="s">
        <v>2</v>
      </c>
      <c r="AQ23" s="55" t="s">
        <v>2</v>
      </c>
      <c r="AR23" s="56" t="s">
        <v>2</v>
      </c>
      <c r="AS23" s="55">
        <v>6</v>
      </c>
      <c r="AT23" s="56">
        <v>110</v>
      </c>
      <c r="AU23" s="55" t="s">
        <v>2</v>
      </c>
      <c r="AV23" s="56" t="s">
        <v>2</v>
      </c>
      <c r="AW23" s="55">
        <v>5</v>
      </c>
      <c r="AX23" s="56">
        <v>115</v>
      </c>
      <c r="AY23" s="55">
        <v>5</v>
      </c>
      <c r="AZ23" s="56">
        <v>110</v>
      </c>
      <c r="BA23" s="55" t="s">
        <v>2</v>
      </c>
      <c r="BB23" s="56" t="s">
        <v>2</v>
      </c>
      <c r="BC23" s="55" t="s">
        <v>2</v>
      </c>
      <c r="BD23" s="56" t="s">
        <v>2</v>
      </c>
      <c r="BE23" s="55" t="s">
        <v>2</v>
      </c>
      <c r="BF23" s="56" t="s">
        <v>2</v>
      </c>
      <c r="BG23" s="55">
        <v>5</v>
      </c>
      <c r="BH23" s="56">
        <v>120</v>
      </c>
      <c r="BI23" s="55" t="s">
        <v>2</v>
      </c>
      <c r="BJ23" s="56" t="s">
        <v>2</v>
      </c>
      <c r="BK23" s="55">
        <v>5</v>
      </c>
      <c r="BL23" s="56">
        <v>120</v>
      </c>
      <c r="BM23" s="55" t="s">
        <v>2</v>
      </c>
      <c r="BN23" s="56" t="s">
        <v>2</v>
      </c>
      <c r="BO23" s="55" t="s">
        <v>2</v>
      </c>
      <c r="BP23" s="56" t="s">
        <v>2</v>
      </c>
      <c r="BQ23" s="55">
        <v>6</v>
      </c>
      <c r="BR23" s="56">
        <v>120</v>
      </c>
      <c r="BS23" s="55" t="s">
        <v>2</v>
      </c>
      <c r="BT23" s="56" t="s">
        <v>2</v>
      </c>
      <c r="BU23" s="55">
        <v>5</v>
      </c>
      <c r="BV23" s="56">
        <v>130</v>
      </c>
      <c r="BW23" s="55" t="s">
        <v>2</v>
      </c>
      <c r="BX23" s="56" t="s">
        <v>2</v>
      </c>
      <c r="BY23" s="55" t="s">
        <v>2</v>
      </c>
      <c r="BZ23" s="56" t="s">
        <v>2</v>
      </c>
      <c r="CA23" s="55" t="s">
        <v>2</v>
      </c>
      <c r="CB23" s="56" t="s">
        <v>2</v>
      </c>
      <c r="CC23" s="55" t="s">
        <v>2</v>
      </c>
      <c r="CD23" s="56" t="s">
        <v>2</v>
      </c>
      <c r="CE23" s="55" t="s">
        <v>2</v>
      </c>
      <c r="CF23" s="56" t="s">
        <v>2</v>
      </c>
      <c r="CG23" s="55" t="s">
        <v>2</v>
      </c>
      <c r="CH23" s="56" t="s">
        <v>2</v>
      </c>
      <c r="CI23" s="55">
        <v>5</v>
      </c>
      <c r="CJ23" s="56">
        <v>150</v>
      </c>
      <c r="CK23" s="55" t="s">
        <v>2</v>
      </c>
      <c r="CL23" s="56" t="s">
        <v>2</v>
      </c>
      <c r="CM23" s="55" t="s">
        <v>2</v>
      </c>
      <c r="CN23" s="56" t="s">
        <v>2</v>
      </c>
      <c r="CO23" s="55" t="s">
        <v>2</v>
      </c>
      <c r="CP23" s="56" t="s">
        <v>2</v>
      </c>
      <c r="CQ23" s="55">
        <v>7</v>
      </c>
      <c r="CR23" s="56">
        <v>145</v>
      </c>
      <c r="CS23" s="55">
        <v>6</v>
      </c>
      <c r="CT23" s="56">
        <v>150</v>
      </c>
      <c r="CU23" s="55" t="s">
        <v>2</v>
      </c>
      <c r="CV23" s="56" t="s">
        <v>2</v>
      </c>
      <c r="CW23" s="55">
        <v>6</v>
      </c>
      <c r="CX23" s="56">
        <v>151</v>
      </c>
      <c r="CY23" s="55" t="s">
        <v>2</v>
      </c>
      <c r="CZ23" s="56" t="s">
        <v>2</v>
      </c>
      <c r="DA23" s="55" t="s">
        <v>2</v>
      </c>
      <c r="DB23" s="56" t="s">
        <v>2</v>
      </c>
      <c r="DC23" s="55" t="s">
        <v>2</v>
      </c>
      <c r="DD23" s="56" t="s">
        <v>2</v>
      </c>
      <c r="DE23" s="55" t="s">
        <v>2</v>
      </c>
      <c r="DF23" s="56" t="s">
        <v>2</v>
      </c>
      <c r="DG23" s="55" t="s">
        <v>2</v>
      </c>
      <c r="DH23" s="56" t="s">
        <v>2</v>
      </c>
      <c r="DI23" s="55" t="s">
        <v>2</v>
      </c>
      <c r="DJ23" s="56" t="s">
        <v>2</v>
      </c>
      <c r="DK23" s="55" t="s">
        <v>2</v>
      </c>
      <c r="DL23" s="56" t="s">
        <v>2</v>
      </c>
      <c r="DM23" s="55" t="s">
        <v>2</v>
      </c>
      <c r="DN23" s="56" t="s">
        <v>2</v>
      </c>
      <c r="DO23" s="55" t="s">
        <v>2</v>
      </c>
      <c r="DP23" s="56" t="s">
        <v>2</v>
      </c>
      <c r="DQ23" s="55" t="s">
        <v>2</v>
      </c>
      <c r="DR23" s="56" t="s">
        <v>2</v>
      </c>
      <c r="DS23" s="55" t="s">
        <v>2</v>
      </c>
      <c r="DT23" s="56" t="s">
        <v>2</v>
      </c>
      <c r="DU23" s="55" t="s">
        <v>2</v>
      </c>
      <c r="DV23" s="56" t="s">
        <v>2</v>
      </c>
      <c r="DW23" s="55">
        <v>5</v>
      </c>
      <c r="DX23" s="56">
        <v>165</v>
      </c>
      <c r="DY23" s="55" t="s">
        <v>2</v>
      </c>
      <c r="DZ23" s="56" t="s">
        <v>2</v>
      </c>
      <c r="EA23" s="55" t="s">
        <v>2</v>
      </c>
      <c r="EB23" s="56" t="s">
        <v>2</v>
      </c>
      <c r="EC23" s="55" t="s">
        <v>2</v>
      </c>
      <c r="ED23" s="56" t="s">
        <v>2</v>
      </c>
      <c r="EE23" s="55" t="s">
        <v>2</v>
      </c>
      <c r="EF23" s="56" t="s">
        <v>2</v>
      </c>
      <c r="EG23" s="55" t="s">
        <v>2</v>
      </c>
      <c r="EH23" s="56" t="s">
        <v>2</v>
      </c>
      <c r="EI23" s="55" t="s">
        <v>2</v>
      </c>
      <c r="EJ23" s="56" t="s">
        <v>2</v>
      </c>
      <c r="EK23" s="55" t="s">
        <v>2</v>
      </c>
      <c r="EL23" s="56" t="s">
        <v>2</v>
      </c>
      <c r="EM23" s="55" t="s">
        <v>2</v>
      </c>
      <c r="EN23" s="56" t="s">
        <v>2</v>
      </c>
      <c r="EO23" s="55" t="s">
        <v>2</v>
      </c>
      <c r="EP23" s="56" t="s">
        <v>2</v>
      </c>
      <c r="EQ23" s="55">
        <v>5</v>
      </c>
      <c r="ER23" s="56">
        <v>200</v>
      </c>
      <c r="ES23" s="55" t="s">
        <v>2</v>
      </c>
      <c r="ET23" s="56" t="s">
        <v>2</v>
      </c>
      <c r="EU23" s="55">
        <v>5</v>
      </c>
      <c r="EV23" s="56">
        <v>175</v>
      </c>
      <c r="EW23" s="55">
        <v>7</v>
      </c>
      <c r="EX23" s="56">
        <v>180</v>
      </c>
      <c r="EY23" s="55">
        <v>5</v>
      </c>
      <c r="EZ23" s="56">
        <v>200</v>
      </c>
      <c r="FA23" s="55">
        <v>5</v>
      </c>
      <c r="FB23" s="56">
        <v>180</v>
      </c>
      <c r="FC23" s="55" t="s">
        <v>2</v>
      </c>
      <c r="FD23" s="56" t="s">
        <v>2</v>
      </c>
      <c r="FE23" s="55" t="s">
        <v>2</v>
      </c>
      <c r="FF23" s="56" t="s">
        <v>2</v>
      </c>
      <c r="FG23" s="55">
        <v>7</v>
      </c>
      <c r="FH23" s="56">
        <v>200</v>
      </c>
      <c r="FI23" s="55" t="s">
        <v>2</v>
      </c>
      <c r="FJ23" s="56" t="s">
        <v>2</v>
      </c>
      <c r="FK23" s="55" t="s">
        <v>2</v>
      </c>
      <c r="FL23" s="56" t="s">
        <v>2</v>
      </c>
      <c r="FM23" s="55">
        <v>9</v>
      </c>
      <c r="FN23" s="56">
        <v>180</v>
      </c>
      <c r="FO23" s="55" t="s">
        <v>2</v>
      </c>
      <c r="FP23" s="56" t="s">
        <v>2</v>
      </c>
      <c r="FQ23" s="55" t="s">
        <v>2</v>
      </c>
      <c r="FR23" s="56" t="s">
        <v>2</v>
      </c>
      <c r="FS23" s="55">
        <v>7</v>
      </c>
      <c r="FT23" s="56">
        <v>240</v>
      </c>
      <c r="FU23" s="55">
        <v>6</v>
      </c>
      <c r="FV23" s="56">
        <v>238</v>
      </c>
      <c r="FW23" s="55">
        <v>7</v>
      </c>
      <c r="FX23" s="56">
        <v>220</v>
      </c>
      <c r="FY23" s="55">
        <v>7</v>
      </c>
      <c r="FZ23" s="56">
        <v>230</v>
      </c>
      <c r="GA23" s="55">
        <v>8</v>
      </c>
      <c r="GB23" s="56">
        <v>213</v>
      </c>
      <c r="GC23" s="55" t="s">
        <v>2</v>
      </c>
      <c r="GD23" s="56" t="s">
        <v>2</v>
      </c>
      <c r="GE23" s="55" t="s">
        <v>2</v>
      </c>
      <c r="GF23" s="56" t="s">
        <v>2</v>
      </c>
      <c r="GG23" s="55">
        <v>5</v>
      </c>
      <c r="GH23" s="56">
        <v>230</v>
      </c>
      <c r="GI23" s="55" t="s">
        <v>2</v>
      </c>
      <c r="GJ23" s="56" t="s">
        <v>2</v>
      </c>
      <c r="GK23" s="55">
        <v>8</v>
      </c>
      <c r="GL23" s="56">
        <v>295</v>
      </c>
      <c r="GM23" s="55">
        <v>7</v>
      </c>
      <c r="GN23" s="56">
        <v>290</v>
      </c>
      <c r="GO23" s="55" t="s">
        <v>2</v>
      </c>
      <c r="GP23" s="56" t="s">
        <v>2</v>
      </c>
      <c r="GQ23" s="55" t="s">
        <v>2</v>
      </c>
      <c r="GR23" s="56" t="s">
        <v>2</v>
      </c>
      <c r="GS23" s="55">
        <v>6</v>
      </c>
      <c r="GT23" s="56">
        <v>258</v>
      </c>
      <c r="GU23" s="55">
        <v>5</v>
      </c>
      <c r="GV23" s="56">
        <v>315</v>
      </c>
      <c r="GW23" s="55" t="s">
        <v>2</v>
      </c>
      <c r="GX23" s="56" t="s">
        <v>2</v>
      </c>
      <c r="GY23" s="55">
        <v>5</v>
      </c>
      <c r="GZ23" s="56">
        <v>315</v>
      </c>
      <c r="HA23">
        <v>6</v>
      </c>
      <c r="HB23" s="56">
        <v>285</v>
      </c>
      <c r="HC23" t="s">
        <v>2</v>
      </c>
      <c r="HD23" s="56" t="s">
        <v>2</v>
      </c>
      <c r="HE23">
        <v>5</v>
      </c>
      <c r="HF23" s="56">
        <v>340</v>
      </c>
    </row>
    <row r="24" spans="1:214" x14ac:dyDescent="0.25">
      <c r="A24" s="53"/>
      <c r="B24" s="54" t="s">
        <v>764</v>
      </c>
      <c r="C24" s="55">
        <v>9</v>
      </c>
      <c r="D24" s="56">
        <v>90</v>
      </c>
      <c r="E24" s="55">
        <v>8</v>
      </c>
      <c r="F24" s="56">
        <v>80</v>
      </c>
      <c r="G24" s="55">
        <v>7</v>
      </c>
      <c r="H24" s="56">
        <v>80</v>
      </c>
      <c r="I24" s="55">
        <v>7</v>
      </c>
      <c r="J24" s="56">
        <v>90</v>
      </c>
      <c r="K24" s="55">
        <v>7</v>
      </c>
      <c r="L24" s="56">
        <v>80</v>
      </c>
      <c r="M24" s="55">
        <v>5</v>
      </c>
      <c r="N24" s="56">
        <v>90</v>
      </c>
      <c r="O24" s="55">
        <v>8</v>
      </c>
      <c r="P24" s="56">
        <v>90</v>
      </c>
      <c r="Q24" s="55">
        <v>14</v>
      </c>
      <c r="R24" s="56">
        <v>90</v>
      </c>
      <c r="S24" s="55" t="s">
        <v>2</v>
      </c>
      <c r="T24" s="56" t="s">
        <v>2</v>
      </c>
      <c r="U24" s="55" t="s">
        <v>2</v>
      </c>
      <c r="V24" s="56" t="s">
        <v>2</v>
      </c>
      <c r="W24" s="55" t="s">
        <v>2</v>
      </c>
      <c r="X24" s="56" t="s">
        <v>2</v>
      </c>
      <c r="Y24" s="55">
        <v>11</v>
      </c>
      <c r="Z24" s="56">
        <v>100</v>
      </c>
      <c r="AA24" s="55">
        <v>5</v>
      </c>
      <c r="AB24" s="56">
        <v>90</v>
      </c>
      <c r="AC24" s="55" t="s">
        <v>2</v>
      </c>
      <c r="AD24" s="56" t="s">
        <v>2</v>
      </c>
      <c r="AE24" s="55">
        <v>8</v>
      </c>
      <c r="AF24" s="56">
        <v>108</v>
      </c>
      <c r="AG24" s="55" t="s">
        <v>2</v>
      </c>
      <c r="AH24" s="56" t="s">
        <v>2</v>
      </c>
      <c r="AI24" s="55">
        <v>12</v>
      </c>
      <c r="AJ24" s="56">
        <v>100</v>
      </c>
      <c r="AK24" s="55">
        <v>8</v>
      </c>
      <c r="AL24" s="56">
        <v>100</v>
      </c>
      <c r="AM24" s="55">
        <v>6</v>
      </c>
      <c r="AN24" s="56">
        <v>118</v>
      </c>
      <c r="AO24" s="55">
        <v>12</v>
      </c>
      <c r="AP24" s="56">
        <v>105</v>
      </c>
      <c r="AQ24" s="55">
        <v>11</v>
      </c>
      <c r="AR24" s="56">
        <v>110</v>
      </c>
      <c r="AS24" s="55">
        <v>9</v>
      </c>
      <c r="AT24" s="56">
        <v>110</v>
      </c>
      <c r="AU24" s="55">
        <v>12</v>
      </c>
      <c r="AV24" s="56">
        <v>111</v>
      </c>
      <c r="AW24" s="55">
        <v>9</v>
      </c>
      <c r="AX24" s="56">
        <v>110</v>
      </c>
      <c r="AY24" s="55">
        <v>8</v>
      </c>
      <c r="AZ24" s="56">
        <v>110</v>
      </c>
      <c r="BA24" s="55">
        <v>13</v>
      </c>
      <c r="BB24" s="56">
        <v>110</v>
      </c>
      <c r="BC24" s="55">
        <v>11</v>
      </c>
      <c r="BD24" s="56">
        <v>110</v>
      </c>
      <c r="BE24" s="55">
        <v>9</v>
      </c>
      <c r="BF24" s="56">
        <v>120</v>
      </c>
      <c r="BG24" s="55">
        <v>11</v>
      </c>
      <c r="BH24" s="56">
        <v>110</v>
      </c>
      <c r="BI24" s="55">
        <v>12</v>
      </c>
      <c r="BJ24" s="56">
        <v>138</v>
      </c>
      <c r="BK24" s="55">
        <v>12</v>
      </c>
      <c r="BL24" s="56">
        <v>135</v>
      </c>
      <c r="BM24" s="55">
        <v>17</v>
      </c>
      <c r="BN24" s="56">
        <v>130</v>
      </c>
      <c r="BO24" s="55">
        <v>14</v>
      </c>
      <c r="BP24" s="56">
        <v>130</v>
      </c>
      <c r="BQ24" s="55">
        <v>8</v>
      </c>
      <c r="BR24" s="56">
        <v>133</v>
      </c>
      <c r="BS24" s="55">
        <v>14</v>
      </c>
      <c r="BT24" s="56">
        <v>150</v>
      </c>
      <c r="BU24" s="55">
        <v>17</v>
      </c>
      <c r="BV24" s="56">
        <v>140</v>
      </c>
      <c r="BW24" s="55">
        <v>23</v>
      </c>
      <c r="BX24" s="56">
        <v>130</v>
      </c>
      <c r="BY24" s="55">
        <v>14</v>
      </c>
      <c r="BZ24" s="56">
        <v>135</v>
      </c>
      <c r="CA24" s="55">
        <v>16</v>
      </c>
      <c r="CB24" s="56">
        <v>140</v>
      </c>
      <c r="CC24" s="55">
        <v>20</v>
      </c>
      <c r="CD24" s="56">
        <v>148</v>
      </c>
      <c r="CE24" s="55">
        <v>16</v>
      </c>
      <c r="CF24" s="56">
        <v>140</v>
      </c>
      <c r="CG24" s="55">
        <v>19</v>
      </c>
      <c r="CH24" s="56">
        <v>130</v>
      </c>
      <c r="CI24" s="55">
        <v>20</v>
      </c>
      <c r="CJ24" s="56">
        <v>140</v>
      </c>
      <c r="CK24" s="55">
        <v>17</v>
      </c>
      <c r="CL24" s="56">
        <v>140</v>
      </c>
      <c r="CM24" s="55">
        <v>11</v>
      </c>
      <c r="CN24" s="56">
        <v>140</v>
      </c>
      <c r="CO24" s="55">
        <v>16</v>
      </c>
      <c r="CP24" s="56">
        <v>160</v>
      </c>
      <c r="CQ24" s="55">
        <v>12</v>
      </c>
      <c r="CR24" s="56">
        <v>150</v>
      </c>
      <c r="CS24" s="55">
        <v>20</v>
      </c>
      <c r="CT24" s="56">
        <v>150</v>
      </c>
      <c r="CU24" s="55">
        <v>21</v>
      </c>
      <c r="CV24" s="56">
        <v>155</v>
      </c>
      <c r="CW24" s="55">
        <v>21</v>
      </c>
      <c r="CX24" s="56">
        <v>150</v>
      </c>
      <c r="CY24" s="55">
        <v>15</v>
      </c>
      <c r="CZ24" s="56">
        <v>150</v>
      </c>
      <c r="DA24" s="55">
        <v>15</v>
      </c>
      <c r="DB24" s="56">
        <v>155</v>
      </c>
      <c r="DC24" s="55">
        <v>15</v>
      </c>
      <c r="DD24" s="56">
        <v>150</v>
      </c>
      <c r="DE24" s="55">
        <v>22</v>
      </c>
      <c r="DF24" s="56">
        <v>150</v>
      </c>
      <c r="DG24" s="55">
        <v>11</v>
      </c>
      <c r="DH24" s="56">
        <v>170</v>
      </c>
      <c r="DI24" s="55">
        <v>15</v>
      </c>
      <c r="DJ24" s="56">
        <v>150</v>
      </c>
      <c r="DK24" s="55">
        <v>11</v>
      </c>
      <c r="DL24" s="56">
        <v>150</v>
      </c>
      <c r="DM24" s="55">
        <v>17</v>
      </c>
      <c r="DN24" s="56">
        <v>175</v>
      </c>
      <c r="DO24" s="55">
        <v>10</v>
      </c>
      <c r="DP24" s="56">
        <v>153</v>
      </c>
      <c r="DQ24" s="55">
        <v>23</v>
      </c>
      <c r="DR24" s="56">
        <v>165</v>
      </c>
      <c r="DS24" s="55">
        <v>10</v>
      </c>
      <c r="DT24" s="56">
        <v>158</v>
      </c>
      <c r="DU24" s="55">
        <v>17</v>
      </c>
      <c r="DV24" s="56">
        <v>165</v>
      </c>
      <c r="DW24" s="55">
        <v>11</v>
      </c>
      <c r="DX24" s="56">
        <v>160</v>
      </c>
      <c r="DY24" s="55">
        <v>21</v>
      </c>
      <c r="DZ24" s="56">
        <v>170</v>
      </c>
      <c r="EA24" s="55">
        <v>21</v>
      </c>
      <c r="EB24" s="56">
        <v>170</v>
      </c>
      <c r="EC24" s="55">
        <v>15</v>
      </c>
      <c r="ED24" s="56">
        <v>170</v>
      </c>
      <c r="EE24" s="55">
        <v>11</v>
      </c>
      <c r="EF24" s="56">
        <v>180</v>
      </c>
      <c r="EG24" s="55">
        <v>20</v>
      </c>
      <c r="EH24" s="56">
        <v>178</v>
      </c>
      <c r="EI24" s="55">
        <v>24</v>
      </c>
      <c r="EJ24" s="56">
        <v>175</v>
      </c>
      <c r="EK24" s="55">
        <v>14</v>
      </c>
      <c r="EL24" s="56">
        <v>170</v>
      </c>
      <c r="EM24" s="55">
        <v>12</v>
      </c>
      <c r="EN24" s="56">
        <v>173</v>
      </c>
      <c r="EO24" s="55">
        <v>19</v>
      </c>
      <c r="EP24" s="56">
        <v>180</v>
      </c>
      <c r="EQ24" s="55">
        <v>12</v>
      </c>
      <c r="ER24" s="56">
        <v>175</v>
      </c>
      <c r="ES24" s="55">
        <v>9</v>
      </c>
      <c r="ET24" s="56">
        <v>175</v>
      </c>
      <c r="EU24" s="55">
        <v>14</v>
      </c>
      <c r="EV24" s="56">
        <v>180</v>
      </c>
      <c r="EW24" s="55">
        <v>14</v>
      </c>
      <c r="EX24" s="56">
        <v>180</v>
      </c>
      <c r="EY24" s="55">
        <v>10</v>
      </c>
      <c r="EZ24" s="56">
        <v>190</v>
      </c>
      <c r="FA24" s="55">
        <v>14</v>
      </c>
      <c r="FB24" s="56">
        <v>195</v>
      </c>
      <c r="FC24" s="55">
        <v>8</v>
      </c>
      <c r="FD24" s="56">
        <v>195</v>
      </c>
      <c r="FE24" s="55">
        <v>12</v>
      </c>
      <c r="FF24" s="56">
        <v>190</v>
      </c>
      <c r="FG24" s="55">
        <v>13</v>
      </c>
      <c r="FH24" s="56">
        <v>200</v>
      </c>
      <c r="FI24" s="55">
        <v>15</v>
      </c>
      <c r="FJ24" s="56">
        <v>200</v>
      </c>
      <c r="FK24" s="55">
        <v>12</v>
      </c>
      <c r="FL24" s="56">
        <v>188</v>
      </c>
      <c r="FM24" s="55">
        <v>12</v>
      </c>
      <c r="FN24" s="56">
        <v>200</v>
      </c>
      <c r="FO24" s="55">
        <v>11</v>
      </c>
      <c r="FP24" s="56">
        <v>200</v>
      </c>
      <c r="FQ24" s="55">
        <v>7</v>
      </c>
      <c r="FR24" s="56">
        <v>200</v>
      </c>
      <c r="FS24" s="55">
        <v>11</v>
      </c>
      <c r="FT24" s="56">
        <v>225</v>
      </c>
      <c r="FU24" s="55">
        <v>13</v>
      </c>
      <c r="FV24" s="56">
        <v>200</v>
      </c>
      <c r="FW24" s="55">
        <v>8</v>
      </c>
      <c r="FX24" s="56">
        <v>205</v>
      </c>
      <c r="FY24" s="55">
        <v>13</v>
      </c>
      <c r="FZ24" s="56">
        <v>240</v>
      </c>
      <c r="GA24" s="55">
        <v>10</v>
      </c>
      <c r="GB24" s="56">
        <v>243</v>
      </c>
      <c r="GC24" s="55">
        <v>13</v>
      </c>
      <c r="GD24" s="56">
        <v>260</v>
      </c>
      <c r="GE24" s="55">
        <v>10</v>
      </c>
      <c r="GF24" s="56">
        <v>265</v>
      </c>
      <c r="GG24" s="55">
        <v>5</v>
      </c>
      <c r="GH24" s="56">
        <v>300</v>
      </c>
      <c r="GI24" s="55">
        <v>11</v>
      </c>
      <c r="GJ24" s="56">
        <v>260</v>
      </c>
      <c r="GK24" s="55">
        <v>14</v>
      </c>
      <c r="GL24" s="56">
        <v>288</v>
      </c>
      <c r="GM24" s="55">
        <v>14</v>
      </c>
      <c r="GN24" s="56">
        <v>270</v>
      </c>
      <c r="GO24" s="55" t="s">
        <v>2</v>
      </c>
      <c r="GP24" s="56" t="s">
        <v>2</v>
      </c>
      <c r="GQ24" s="55">
        <v>7</v>
      </c>
      <c r="GR24" s="56">
        <v>300</v>
      </c>
      <c r="GS24" s="55">
        <v>6</v>
      </c>
      <c r="GT24" s="56">
        <v>315</v>
      </c>
      <c r="GU24" s="55">
        <v>10</v>
      </c>
      <c r="GV24" s="56">
        <v>300</v>
      </c>
      <c r="GW24" s="55">
        <v>5</v>
      </c>
      <c r="GX24" s="56">
        <v>310</v>
      </c>
      <c r="GY24" s="55" t="s">
        <v>2</v>
      </c>
      <c r="GZ24" s="56" t="s">
        <v>2</v>
      </c>
      <c r="HA24">
        <v>6</v>
      </c>
      <c r="HB24" s="56">
        <v>350</v>
      </c>
      <c r="HC24">
        <v>7</v>
      </c>
      <c r="HD24" s="56">
        <v>320</v>
      </c>
      <c r="HE24">
        <v>8</v>
      </c>
      <c r="HF24" s="56">
        <v>305</v>
      </c>
    </row>
    <row r="25" spans="1:214" x14ac:dyDescent="0.25">
      <c r="A25" s="57"/>
      <c r="B25" s="57" t="s">
        <v>752</v>
      </c>
      <c r="C25" s="58">
        <v>516</v>
      </c>
      <c r="D25" s="59">
        <v>135</v>
      </c>
      <c r="E25" s="58">
        <v>554</v>
      </c>
      <c r="F25" s="59">
        <v>140</v>
      </c>
      <c r="G25" s="58">
        <v>507</v>
      </c>
      <c r="H25" s="59">
        <v>135</v>
      </c>
      <c r="I25" s="58">
        <v>732</v>
      </c>
      <c r="J25" s="59">
        <v>140</v>
      </c>
      <c r="K25" s="58">
        <v>500</v>
      </c>
      <c r="L25" s="59">
        <v>140</v>
      </c>
      <c r="M25" s="58">
        <v>548</v>
      </c>
      <c r="N25" s="59">
        <v>140</v>
      </c>
      <c r="O25" s="58">
        <v>502</v>
      </c>
      <c r="P25" s="59">
        <v>150</v>
      </c>
      <c r="Q25" s="58">
        <v>623</v>
      </c>
      <c r="R25" s="59">
        <v>150</v>
      </c>
      <c r="S25" s="58">
        <v>434</v>
      </c>
      <c r="T25" s="59">
        <v>150</v>
      </c>
      <c r="U25" s="58">
        <v>454</v>
      </c>
      <c r="V25" s="59">
        <v>150</v>
      </c>
      <c r="W25" s="58">
        <v>496</v>
      </c>
      <c r="X25" s="59">
        <v>150</v>
      </c>
      <c r="Y25" s="58">
        <v>578</v>
      </c>
      <c r="Z25" s="59">
        <v>157</v>
      </c>
      <c r="AA25" s="58">
        <v>489</v>
      </c>
      <c r="AB25" s="59">
        <v>165</v>
      </c>
      <c r="AC25" s="58">
        <v>498</v>
      </c>
      <c r="AD25" s="59">
        <v>160</v>
      </c>
      <c r="AE25" s="58">
        <v>510</v>
      </c>
      <c r="AF25" s="59">
        <v>165</v>
      </c>
      <c r="AG25" s="58">
        <v>673</v>
      </c>
      <c r="AH25" s="59">
        <v>165</v>
      </c>
      <c r="AI25" s="58">
        <v>576</v>
      </c>
      <c r="AJ25" s="59">
        <v>170</v>
      </c>
      <c r="AK25" s="58">
        <v>550</v>
      </c>
      <c r="AL25" s="59">
        <v>170</v>
      </c>
      <c r="AM25" s="58">
        <v>593</v>
      </c>
      <c r="AN25" s="59">
        <v>170</v>
      </c>
      <c r="AO25" s="58">
        <v>678</v>
      </c>
      <c r="AP25" s="59">
        <v>180</v>
      </c>
      <c r="AQ25" s="58">
        <v>503</v>
      </c>
      <c r="AR25" s="59">
        <v>175</v>
      </c>
      <c r="AS25" s="58">
        <v>565</v>
      </c>
      <c r="AT25" s="59">
        <v>175</v>
      </c>
      <c r="AU25" s="58">
        <v>576</v>
      </c>
      <c r="AV25" s="59">
        <v>180</v>
      </c>
      <c r="AW25" s="58">
        <v>716</v>
      </c>
      <c r="AX25" s="59">
        <v>180</v>
      </c>
      <c r="AY25" s="58">
        <v>577</v>
      </c>
      <c r="AZ25" s="59">
        <v>180</v>
      </c>
      <c r="BA25" s="58">
        <v>611</v>
      </c>
      <c r="BB25" s="59">
        <v>185</v>
      </c>
      <c r="BC25" s="58">
        <v>539</v>
      </c>
      <c r="BD25" s="59">
        <v>180</v>
      </c>
      <c r="BE25" s="58">
        <v>653</v>
      </c>
      <c r="BF25" s="59">
        <v>190</v>
      </c>
      <c r="BG25" s="58">
        <v>548</v>
      </c>
      <c r="BH25" s="59">
        <v>185</v>
      </c>
      <c r="BI25" s="58">
        <v>583</v>
      </c>
      <c r="BJ25" s="59">
        <v>185</v>
      </c>
      <c r="BK25" s="58">
        <v>564</v>
      </c>
      <c r="BL25" s="59">
        <v>190</v>
      </c>
      <c r="BM25" s="58">
        <v>707</v>
      </c>
      <c r="BN25" s="59">
        <v>190</v>
      </c>
      <c r="BO25" s="58">
        <v>537</v>
      </c>
      <c r="BP25" s="59">
        <v>195</v>
      </c>
      <c r="BQ25" s="58">
        <v>601</v>
      </c>
      <c r="BR25" s="59">
        <v>195</v>
      </c>
      <c r="BS25" s="58">
        <v>613</v>
      </c>
      <c r="BT25" s="59">
        <v>200</v>
      </c>
      <c r="BU25" s="58">
        <v>746</v>
      </c>
      <c r="BV25" s="59">
        <v>205</v>
      </c>
      <c r="BW25" s="58">
        <v>629</v>
      </c>
      <c r="BX25" s="59">
        <v>210</v>
      </c>
      <c r="BY25" s="58">
        <v>595</v>
      </c>
      <c r="BZ25" s="59">
        <v>210</v>
      </c>
      <c r="CA25" s="58">
        <v>609</v>
      </c>
      <c r="CB25" s="59">
        <v>220</v>
      </c>
      <c r="CC25" s="58">
        <v>763</v>
      </c>
      <c r="CD25" s="59">
        <v>220</v>
      </c>
      <c r="CE25" s="58">
        <v>658</v>
      </c>
      <c r="CF25" s="59">
        <v>220</v>
      </c>
      <c r="CG25" s="58">
        <v>617</v>
      </c>
      <c r="CH25" s="59">
        <v>220</v>
      </c>
      <c r="CI25" s="58">
        <v>652</v>
      </c>
      <c r="CJ25" s="59">
        <v>230</v>
      </c>
      <c r="CK25" s="58">
        <v>728</v>
      </c>
      <c r="CL25" s="59">
        <v>235</v>
      </c>
      <c r="CM25" s="58">
        <v>658</v>
      </c>
      <c r="CN25" s="59">
        <v>235</v>
      </c>
      <c r="CO25" s="58">
        <v>692</v>
      </c>
      <c r="CP25" s="59">
        <v>240</v>
      </c>
      <c r="CQ25" s="58">
        <v>676</v>
      </c>
      <c r="CR25" s="59">
        <v>240</v>
      </c>
      <c r="CS25" s="58">
        <v>793</v>
      </c>
      <c r="CT25" s="59">
        <v>250</v>
      </c>
      <c r="CU25" s="58">
        <v>679</v>
      </c>
      <c r="CV25" s="59">
        <v>260</v>
      </c>
      <c r="CW25" s="58">
        <v>728</v>
      </c>
      <c r="CX25" s="59">
        <v>250</v>
      </c>
      <c r="CY25" s="58">
        <v>675</v>
      </c>
      <c r="CZ25" s="59">
        <v>260</v>
      </c>
      <c r="DA25" s="58">
        <v>795</v>
      </c>
      <c r="DB25" s="59">
        <v>265</v>
      </c>
      <c r="DC25" s="58">
        <v>737</v>
      </c>
      <c r="DD25" s="59">
        <v>260</v>
      </c>
      <c r="DE25" s="58">
        <v>727</v>
      </c>
      <c r="DF25" s="59">
        <v>260</v>
      </c>
      <c r="DG25" s="58">
        <v>777</v>
      </c>
      <c r="DH25" s="59">
        <v>270</v>
      </c>
      <c r="DI25" s="58">
        <v>842</v>
      </c>
      <c r="DJ25" s="59">
        <v>265</v>
      </c>
      <c r="DK25" s="58">
        <v>775</v>
      </c>
      <c r="DL25" s="59">
        <v>270</v>
      </c>
      <c r="DM25" s="58">
        <v>772</v>
      </c>
      <c r="DN25" s="59">
        <v>270</v>
      </c>
      <c r="DO25" s="58">
        <v>713</v>
      </c>
      <c r="DP25" s="59">
        <v>270</v>
      </c>
      <c r="DQ25" s="58">
        <v>809</v>
      </c>
      <c r="DR25" s="59">
        <v>275</v>
      </c>
      <c r="DS25" s="58">
        <v>704</v>
      </c>
      <c r="DT25" s="59">
        <v>270</v>
      </c>
      <c r="DU25" s="58">
        <v>814</v>
      </c>
      <c r="DV25" s="59">
        <v>270</v>
      </c>
      <c r="DW25" s="58">
        <v>803</v>
      </c>
      <c r="DX25" s="59">
        <v>270</v>
      </c>
      <c r="DY25" s="58">
        <v>866</v>
      </c>
      <c r="DZ25" s="59">
        <v>275</v>
      </c>
      <c r="EA25" s="58">
        <v>752</v>
      </c>
      <c r="EB25" s="59">
        <v>275</v>
      </c>
      <c r="EC25" s="58">
        <v>779</v>
      </c>
      <c r="ED25" s="59">
        <v>275</v>
      </c>
      <c r="EE25" s="58">
        <v>811</v>
      </c>
      <c r="EF25" s="59">
        <v>280</v>
      </c>
      <c r="EG25" s="58">
        <v>877</v>
      </c>
      <c r="EH25" s="59">
        <v>280</v>
      </c>
      <c r="EI25" s="58">
        <v>785</v>
      </c>
      <c r="EJ25" s="59">
        <v>275</v>
      </c>
      <c r="EK25" s="58">
        <v>844</v>
      </c>
      <c r="EL25" s="59">
        <v>280</v>
      </c>
      <c r="EM25" s="58">
        <v>766</v>
      </c>
      <c r="EN25" s="59">
        <v>280</v>
      </c>
      <c r="EO25" s="58">
        <v>898</v>
      </c>
      <c r="EP25" s="59">
        <v>285</v>
      </c>
      <c r="EQ25" s="58">
        <v>754</v>
      </c>
      <c r="ER25" s="59">
        <v>285</v>
      </c>
      <c r="ES25" s="58">
        <v>779</v>
      </c>
      <c r="ET25" s="59">
        <v>290</v>
      </c>
      <c r="EU25" s="58">
        <v>737</v>
      </c>
      <c r="EV25" s="59">
        <v>290</v>
      </c>
      <c r="EW25" s="58">
        <v>839</v>
      </c>
      <c r="EX25" s="59">
        <v>295</v>
      </c>
      <c r="EY25" s="58">
        <v>738</v>
      </c>
      <c r="EZ25" s="59">
        <v>295</v>
      </c>
      <c r="FA25" s="58">
        <v>765</v>
      </c>
      <c r="FB25" s="59">
        <v>300</v>
      </c>
      <c r="FC25" s="58">
        <v>694</v>
      </c>
      <c r="FD25" s="59">
        <v>310</v>
      </c>
      <c r="FE25" s="58">
        <v>761</v>
      </c>
      <c r="FF25" s="59">
        <v>320</v>
      </c>
      <c r="FG25" s="58">
        <v>734</v>
      </c>
      <c r="FH25" s="59">
        <v>320</v>
      </c>
      <c r="FI25" s="58">
        <v>759</v>
      </c>
      <c r="FJ25" s="59">
        <v>320</v>
      </c>
      <c r="FK25" s="58">
        <v>744</v>
      </c>
      <c r="FL25" s="59">
        <v>320</v>
      </c>
      <c r="FM25" s="58">
        <v>783</v>
      </c>
      <c r="FN25" s="59">
        <v>330</v>
      </c>
      <c r="FO25" s="58">
        <v>771</v>
      </c>
      <c r="FP25" s="59">
        <v>320</v>
      </c>
      <c r="FQ25" s="58">
        <v>779</v>
      </c>
      <c r="FR25" s="59">
        <v>320</v>
      </c>
      <c r="FS25" s="58">
        <v>655</v>
      </c>
      <c r="FT25" s="59">
        <v>340</v>
      </c>
      <c r="FU25" s="58">
        <v>753</v>
      </c>
      <c r="FV25" s="59">
        <v>340</v>
      </c>
      <c r="FW25" s="58">
        <v>666</v>
      </c>
      <c r="FX25" s="59">
        <v>343</v>
      </c>
      <c r="FY25" s="58">
        <v>685</v>
      </c>
      <c r="FZ25" s="59">
        <v>350</v>
      </c>
      <c r="GA25" s="58">
        <v>702</v>
      </c>
      <c r="GB25" s="59">
        <v>360</v>
      </c>
      <c r="GC25" s="58">
        <v>653</v>
      </c>
      <c r="GD25" s="59">
        <v>370</v>
      </c>
      <c r="GE25" s="58">
        <v>643</v>
      </c>
      <c r="GF25" s="59">
        <v>365</v>
      </c>
      <c r="GG25" s="58">
        <v>690</v>
      </c>
      <c r="GH25" s="59">
        <v>370</v>
      </c>
      <c r="GI25" s="58">
        <v>623</v>
      </c>
      <c r="GJ25" s="59">
        <v>380</v>
      </c>
      <c r="GK25" s="58">
        <v>680</v>
      </c>
      <c r="GL25" s="59">
        <v>380</v>
      </c>
      <c r="GM25" s="58">
        <v>668</v>
      </c>
      <c r="GN25" s="59">
        <v>390</v>
      </c>
      <c r="GO25" s="58">
        <v>665</v>
      </c>
      <c r="GP25" s="59">
        <v>390</v>
      </c>
      <c r="GQ25" s="58">
        <v>562</v>
      </c>
      <c r="GR25" s="59">
        <v>398</v>
      </c>
      <c r="GS25" s="58">
        <v>638</v>
      </c>
      <c r="GT25" s="59">
        <v>400</v>
      </c>
      <c r="GU25" s="58">
        <v>629</v>
      </c>
      <c r="GV25" s="59">
        <v>400</v>
      </c>
      <c r="GW25" s="58">
        <v>720</v>
      </c>
      <c r="GX25" s="59">
        <v>400</v>
      </c>
      <c r="GY25" s="58">
        <v>620</v>
      </c>
      <c r="GZ25" s="59">
        <v>410</v>
      </c>
      <c r="HA25" s="6">
        <v>674</v>
      </c>
      <c r="HB25" s="59">
        <v>410</v>
      </c>
      <c r="HC25" s="6">
        <v>658</v>
      </c>
      <c r="HD25" s="59">
        <v>420</v>
      </c>
      <c r="HE25" s="6">
        <v>607</v>
      </c>
      <c r="HF25" s="59">
        <v>420</v>
      </c>
    </row>
    <row r="26" spans="1:214" s="10" customFormat="1" x14ac:dyDescent="0.25">
      <c r="A26" s="53" t="s">
        <v>765</v>
      </c>
      <c r="B26" s="54" t="s">
        <v>766</v>
      </c>
      <c r="C26" s="55">
        <v>6</v>
      </c>
      <c r="D26" s="56">
        <v>85</v>
      </c>
      <c r="E26" s="55">
        <v>6</v>
      </c>
      <c r="F26" s="56">
        <v>95</v>
      </c>
      <c r="G26" s="55" t="s">
        <v>2</v>
      </c>
      <c r="H26" s="56" t="s">
        <v>2</v>
      </c>
      <c r="I26" s="55">
        <v>6</v>
      </c>
      <c r="J26" s="56">
        <v>85</v>
      </c>
      <c r="K26" s="55">
        <v>5</v>
      </c>
      <c r="L26" s="56">
        <v>75</v>
      </c>
      <c r="M26" s="55" t="s">
        <v>2</v>
      </c>
      <c r="N26" s="56" t="s">
        <v>2</v>
      </c>
      <c r="O26" s="55" t="s">
        <v>2</v>
      </c>
      <c r="P26" s="56" t="s">
        <v>2</v>
      </c>
      <c r="Q26" s="55">
        <v>10</v>
      </c>
      <c r="R26" s="56">
        <v>95</v>
      </c>
      <c r="S26" s="55" t="s">
        <v>2</v>
      </c>
      <c r="T26" s="56" t="s">
        <v>2</v>
      </c>
      <c r="U26" s="55" t="s">
        <v>2</v>
      </c>
      <c r="V26" s="56" t="s">
        <v>2</v>
      </c>
      <c r="W26" s="55" t="s">
        <v>2</v>
      </c>
      <c r="X26" s="56" t="s">
        <v>2</v>
      </c>
      <c r="Y26" s="55">
        <v>5</v>
      </c>
      <c r="Z26" s="56">
        <v>100</v>
      </c>
      <c r="AA26" s="55" t="s">
        <v>2</v>
      </c>
      <c r="AB26" s="56" t="s">
        <v>2</v>
      </c>
      <c r="AC26" s="55" t="s">
        <v>2</v>
      </c>
      <c r="AD26" s="56" t="s">
        <v>2</v>
      </c>
      <c r="AE26" s="55">
        <v>6</v>
      </c>
      <c r="AF26" s="56">
        <v>105</v>
      </c>
      <c r="AG26" s="55">
        <v>7</v>
      </c>
      <c r="AH26" s="56">
        <v>110</v>
      </c>
      <c r="AI26" s="55" t="s">
        <v>2</v>
      </c>
      <c r="AJ26" s="56" t="s">
        <v>2</v>
      </c>
      <c r="AK26" s="55" t="s">
        <v>2</v>
      </c>
      <c r="AL26" s="56" t="s">
        <v>2</v>
      </c>
      <c r="AM26" s="55">
        <v>7</v>
      </c>
      <c r="AN26" s="56">
        <v>110</v>
      </c>
      <c r="AO26" s="55">
        <v>8</v>
      </c>
      <c r="AP26" s="56">
        <v>110</v>
      </c>
      <c r="AQ26" s="55" t="s">
        <v>2</v>
      </c>
      <c r="AR26" s="56" t="s">
        <v>2</v>
      </c>
      <c r="AS26" s="55">
        <v>8</v>
      </c>
      <c r="AT26" s="56">
        <v>110</v>
      </c>
      <c r="AU26" s="55">
        <v>7</v>
      </c>
      <c r="AV26" s="56">
        <v>120</v>
      </c>
      <c r="AW26" s="55" t="s">
        <v>2</v>
      </c>
      <c r="AX26" s="56" t="s">
        <v>2</v>
      </c>
      <c r="AY26" s="55">
        <v>9</v>
      </c>
      <c r="AZ26" s="56">
        <v>120</v>
      </c>
      <c r="BA26" s="55" t="s">
        <v>2</v>
      </c>
      <c r="BB26" s="56" t="s">
        <v>2</v>
      </c>
      <c r="BC26" s="55" t="s">
        <v>2</v>
      </c>
      <c r="BD26" s="56" t="s">
        <v>2</v>
      </c>
      <c r="BE26" s="55">
        <v>6</v>
      </c>
      <c r="BF26" s="56">
        <v>113</v>
      </c>
      <c r="BG26" s="55">
        <v>5</v>
      </c>
      <c r="BH26" s="56">
        <v>125</v>
      </c>
      <c r="BI26" s="55" t="s">
        <v>2</v>
      </c>
      <c r="BJ26" s="56" t="s">
        <v>2</v>
      </c>
      <c r="BK26" s="55" t="s">
        <v>2</v>
      </c>
      <c r="BL26" s="56" t="s">
        <v>2</v>
      </c>
      <c r="BM26" s="55" t="s">
        <v>2</v>
      </c>
      <c r="BN26" s="56" t="s">
        <v>2</v>
      </c>
      <c r="BO26" s="55" t="s">
        <v>2</v>
      </c>
      <c r="BP26" s="56" t="s">
        <v>2</v>
      </c>
      <c r="BQ26" s="55">
        <v>6</v>
      </c>
      <c r="BR26" s="56">
        <v>130</v>
      </c>
      <c r="BS26" s="55" t="s">
        <v>2</v>
      </c>
      <c r="BT26" s="56" t="s">
        <v>2</v>
      </c>
      <c r="BU26" s="55">
        <v>10</v>
      </c>
      <c r="BV26" s="56">
        <v>138</v>
      </c>
      <c r="BW26" s="55">
        <v>5</v>
      </c>
      <c r="BX26" s="56">
        <v>160</v>
      </c>
      <c r="BY26" s="55">
        <v>8</v>
      </c>
      <c r="BZ26" s="56">
        <v>150</v>
      </c>
      <c r="CA26" s="55">
        <v>8</v>
      </c>
      <c r="CB26" s="56">
        <v>165</v>
      </c>
      <c r="CC26" s="55">
        <v>13</v>
      </c>
      <c r="CD26" s="56">
        <v>160</v>
      </c>
      <c r="CE26" s="55" t="s">
        <v>2</v>
      </c>
      <c r="CF26" s="56" t="s">
        <v>2</v>
      </c>
      <c r="CG26" s="55">
        <v>11</v>
      </c>
      <c r="CH26" s="56">
        <v>140</v>
      </c>
      <c r="CI26" s="55">
        <v>8</v>
      </c>
      <c r="CJ26" s="56">
        <v>160</v>
      </c>
      <c r="CK26" s="55">
        <v>8</v>
      </c>
      <c r="CL26" s="56">
        <v>148</v>
      </c>
      <c r="CM26" s="55">
        <v>13</v>
      </c>
      <c r="CN26" s="56">
        <v>160</v>
      </c>
      <c r="CO26" s="55">
        <v>9</v>
      </c>
      <c r="CP26" s="56">
        <v>145</v>
      </c>
      <c r="CQ26" s="55">
        <v>5</v>
      </c>
      <c r="CR26" s="56">
        <v>150</v>
      </c>
      <c r="CS26" s="55">
        <v>6</v>
      </c>
      <c r="CT26" s="56">
        <v>155</v>
      </c>
      <c r="CU26" s="55">
        <v>5</v>
      </c>
      <c r="CV26" s="56">
        <v>150</v>
      </c>
      <c r="CW26" s="55">
        <v>8</v>
      </c>
      <c r="CX26" s="56">
        <v>163</v>
      </c>
      <c r="CY26" s="55">
        <v>9</v>
      </c>
      <c r="CZ26" s="56">
        <v>170</v>
      </c>
      <c r="DA26" s="55">
        <v>14</v>
      </c>
      <c r="DB26" s="56">
        <v>150</v>
      </c>
      <c r="DC26" s="55">
        <v>5</v>
      </c>
      <c r="DD26" s="56">
        <v>150</v>
      </c>
      <c r="DE26" s="55">
        <v>12</v>
      </c>
      <c r="DF26" s="56">
        <v>160</v>
      </c>
      <c r="DG26" s="55">
        <v>8</v>
      </c>
      <c r="DH26" s="56">
        <v>175</v>
      </c>
      <c r="DI26" s="55">
        <v>10</v>
      </c>
      <c r="DJ26" s="56">
        <v>165</v>
      </c>
      <c r="DK26" s="55">
        <v>9</v>
      </c>
      <c r="DL26" s="56">
        <v>180</v>
      </c>
      <c r="DM26" s="55">
        <v>9</v>
      </c>
      <c r="DN26" s="56">
        <v>170</v>
      </c>
      <c r="DO26" s="55">
        <v>5</v>
      </c>
      <c r="DP26" s="56">
        <v>200</v>
      </c>
      <c r="DQ26" s="55">
        <v>10</v>
      </c>
      <c r="DR26" s="56">
        <v>165</v>
      </c>
      <c r="DS26" s="55" t="s">
        <v>2</v>
      </c>
      <c r="DT26" s="56" t="s">
        <v>2</v>
      </c>
      <c r="DU26" s="55">
        <v>7</v>
      </c>
      <c r="DV26" s="56">
        <v>180</v>
      </c>
      <c r="DW26" s="55">
        <v>13</v>
      </c>
      <c r="DX26" s="56">
        <v>175</v>
      </c>
      <c r="DY26" s="55">
        <v>13</v>
      </c>
      <c r="DZ26" s="56">
        <v>190</v>
      </c>
      <c r="EA26" s="55">
        <v>5</v>
      </c>
      <c r="EB26" s="56">
        <v>175</v>
      </c>
      <c r="EC26" s="55">
        <v>10</v>
      </c>
      <c r="ED26" s="56">
        <v>180</v>
      </c>
      <c r="EE26" s="55">
        <v>5</v>
      </c>
      <c r="EF26" s="56">
        <v>190</v>
      </c>
      <c r="EG26" s="55">
        <v>6</v>
      </c>
      <c r="EH26" s="56">
        <v>195</v>
      </c>
      <c r="EI26" s="55">
        <v>12</v>
      </c>
      <c r="EJ26" s="56">
        <v>183</v>
      </c>
      <c r="EK26" s="55">
        <v>8</v>
      </c>
      <c r="EL26" s="56">
        <v>180</v>
      </c>
      <c r="EM26" s="55">
        <v>8</v>
      </c>
      <c r="EN26" s="56">
        <v>180</v>
      </c>
      <c r="EO26" s="55">
        <v>5</v>
      </c>
      <c r="EP26" s="56">
        <v>200</v>
      </c>
      <c r="EQ26" s="55">
        <v>6</v>
      </c>
      <c r="ER26" s="56">
        <v>188</v>
      </c>
      <c r="ES26" s="55">
        <v>9</v>
      </c>
      <c r="ET26" s="56">
        <v>180</v>
      </c>
      <c r="EU26" s="55">
        <v>13</v>
      </c>
      <c r="EV26" s="56">
        <v>180</v>
      </c>
      <c r="EW26" s="55">
        <v>10</v>
      </c>
      <c r="EX26" s="56">
        <v>200</v>
      </c>
      <c r="EY26" s="55">
        <v>8</v>
      </c>
      <c r="EZ26" s="56">
        <v>200</v>
      </c>
      <c r="FA26" s="55">
        <v>13</v>
      </c>
      <c r="FB26" s="56">
        <v>195</v>
      </c>
      <c r="FC26" s="55">
        <v>7</v>
      </c>
      <c r="FD26" s="56">
        <v>200</v>
      </c>
      <c r="FE26" s="55">
        <v>11</v>
      </c>
      <c r="FF26" s="56">
        <v>220</v>
      </c>
      <c r="FG26" s="55">
        <v>10</v>
      </c>
      <c r="FH26" s="56">
        <v>210</v>
      </c>
      <c r="FI26" s="55">
        <v>9</v>
      </c>
      <c r="FJ26" s="56">
        <v>190</v>
      </c>
      <c r="FK26" s="55">
        <v>9</v>
      </c>
      <c r="FL26" s="56">
        <v>205</v>
      </c>
      <c r="FM26" s="55">
        <v>12</v>
      </c>
      <c r="FN26" s="56">
        <v>235</v>
      </c>
      <c r="FO26" s="55">
        <v>7</v>
      </c>
      <c r="FP26" s="56">
        <v>200</v>
      </c>
      <c r="FQ26" s="55" t="s">
        <v>2</v>
      </c>
      <c r="FR26" s="56" t="s">
        <v>2</v>
      </c>
      <c r="FS26" s="55" t="s">
        <v>2</v>
      </c>
      <c r="FT26" s="56" t="s">
        <v>2</v>
      </c>
      <c r="FU26" s="55">
        <v>9</v>
      </c>
      <c r="FV26" s="56">
        <v>240</v>
      </c>
      <c r="FW26" s="55">
        <v>5</v>
      </c>
      <c r="FX26" s="56">
        <v>260</v>
      </c>
      <c r="FY26" s="55">
        <v>11</v>
      </c>
      <c r="FZ26" s="56">
        <v>250</v>
      </c>
      <c r="GA26" s="55" t="s">
        <v>2</v>
      </c>
      <c r="GB26" s="56" t="s">
        <v>2</v>
      </c>
      <c r="GC26" s="55">
        <v>5</v>
      </c>
      <c r="GD26" s="56">
        <v>275</v>
      </c>
      <c r="GE26" s="55">
        <v>6</v>
      </c>
      <c r="GF26" s="56">
        <v>245</v>
      </c>
      <c r="GG26" s="55">
        <v>7</v>
      </c>
      <c r="GH26" s="56">
        <v>280</v>
      </c>
      <c r="GI26" s="55">
        <v>8</v>
      </c>
      <c r="GJ26" s="56">
        <v>283</v>
      </c>
      <c r="GK26" s="55">
        <v>6</v>
      </c>
      <c r="GL26" s="56">
        <v>290</v>
      </c>
      <c r="GM26" s="55" t="s">
        <v>2</v>
      </c>
      <c r="GN26" s="56" t="s">
        <v>2</v>
      </c>
      <c r="GO26" s="55">
        <v>7</v>
      </c>
      <c r="GP26" s="56">
        <v>295</v>
      </c>
      <c r="GQ26" s="55">
        <v>7</v>
      </c>
      <c r="GR26" s="56">
        <v>280</v>
      </c>
      <c r="GS26" s="55" t="s">
        <v>2</v>
      </c>
      <c r="GT26" s="56" t="s">
        <v>2</v>
      </c>
      <c r="GU26" s="55">
        <v>9</v>
      </c>
      <c r="GV26" s="56">
        <v>350</v>
      </c>
      <c r="GW26" s="55">
        <v>7</v>
      </c>
      <c r="GX26" s="56">
        <v>300</v>
      </c>
      <c r="GY26" s="55">
        <v>7</v>
      </c>
      <c r="GZ26" s="56">
        <v>310</v>
      </c>
      <c r="HA26" s="7">
        <v>8</v>
      </c>
      <c r="HB26" s="56">
        <v>356</v>
      </c>
      <c r="HC26" s="7">
        <v>7</v>
      </c>
      <c r="HD26" s="56">
        <v>330</v>
      </c>
      <c r="HE26" s="7" t="s">
        <v>2</v>
      </c>
      <c r="HF26" s="56" t="s">
        <v>2</v>
      </c>
    </row>
    <row r="27" spans="1:214" x14ac:dyDescent="0.25">
      <c r="A27" s="53"/>
      <c r="B27" s="54" t="s">
        <v>767</v>
      </c>
      <c r="C27" s="55">
        <v>90</v>
      </c>
      <c r="D27" s="56">
        <v>145</v>
      </c>
      <c r="E27" s="55">
        <v>78</v>
      </c>
      <c r="F27" s="56">
        <v>150</v>
      </c>
      <c r="G27" s="55">
        <v>110</v>
      </c>
      <c r="H27" s="56">
        <v>145</v>
      </c>
      <c r="I27" s="55">
        <v>90</v>
      </c>
      <c r="J27" s="56">
        <v>150</v>
      </c>
      <c r="K27" s="55">
        <v>94</v>
      </c>
      <c r="L27" s="56">
        <v>160</v>
      </c>
      <c r="M27" s="55">
        <v>83</v>
      </c>
      <c r="N27" s="56">
        <v>148</v>
      </c>
      <c r="O27" s="55">
        <v>85</v>
      </c>
      <c r="P27" s="56">
        <v>150</v>
      </c>
      <c r="Q27" s="55">
        <v>95</v>
      </c>
      <c r="R27" s="56">
        <v>155</v>
      </c>
      <c r="S27" s="55">
        <v>69</v>
      </c>
      <c r="T27" s="56">
        <v>155</v>
      </c>
      <c r="U27" s="55">
        <v>86</v>
      </c>
      <c r="V27" s="56">
        <v>160</v>
      </c>
      <c r="W27" s="55">
        <v>104</v>
      </c>
      <c r="X27" s="56">
        <v>153</v>
      </c>
      <c r="Y27" s="55">
        <v>84</v>
      </c>
      <c r="Z27" s="56">
        <v>170</v>
      </c>
      <c r="AA27" s="55">
        <v>63</v>
      </c>
      <c r="AB27" s="56">
        <v>160</v>
      </c>
      <c r="AC27" s="55">
        <v>93</v>
      </c>
      <c r="AD27" s="56">
        <v>175</v>
      </c>
      <c r="AE27" s="55">
        <v>72</v>
      </c>
      <c r="AF27" s="56">
        <v>163</v>
      </c>
      <c r="AG27" s="55">
        <v>99</v>
      </c>
      <c r="AH27" s="56">
        <v>160</v>
      </c>
      <c r="AI27" s="55">
        <v>84</v>
      </c>
      <c r="AJ27" s="56">
        <v>180</v>
      </c>
      <c r="AK27" s="55">
        <v>102</v>
      </c>
      <c r="AL27" s="56">
        <v>180</v>
      </c>
      <c r="AM27" s="55">
        <v>102</v>
      </c>
      <c r="AN27" s="56">
        <v>188</v>
      </c>
      <c r="AO27" s="55">
        <v>107</v>
      </c>
      <c r="AP27" s="56">
        <v>185</v>
      </c>
      <c r="AQ27" s="55">
        <v>80</v>
      </c>
      <c r="AR27" s="56">
        <v>180</v>
      </c>
      <c r="AS27" s="55">
        <v>108</v>
      </c>
      <c r="AT27" s="56">
        <v>180</v>
      </c>
      <c r="AU27" s="55">
        <v>104</v>
      </c>
      <c r="AV27" s="56">
        <v>180</v>
      </c>
      <c r="AW27" s="55">
        <v>96</v>
      </c>
      <c r="AX27" s="56">
        <v>190</v>
      </c>
      <c r="AY27" s="55">
        <v>89</v>
      </c>
      <c r="AZ27" s="56">
        <v>185</v>
      </c>
      <c r="BA27" s="55">
        <v>128</v>
      </c>
      <c r="BB27" s="56">
        <v>185</v>
      </c>
      <c r="BC27" s="55">
        <v>72</v>
      </c>
      <c r="BD27" s="56">
        <v>178</v>
      </c>
      <c r="BE27" s="55">
        <v>109</v>
      </c>
      <c r="BF27" s="56">
        <v>180</v>
      </c>
      <c r="BG27" s="55">
        <v>82</v>
      </c>
      <c r="BH27" s="56">
        <v>180</v>
      </c>
      <c r="BI27" s="55">
        <v>97</v>
      </c>
      <c r="BJ27" s="56">
        <v>190</v>
      </c>
      <c r="BK27" s="55">
        <v>102</v>
      </c>
      <c r="BL27" s="56">
        <v>190</v>
      </c>
      <c r="BM27" s="55">
        <v>101</v>
      </c>
      <c r="BN27" s="56">
        <v>190</v>
      </c>
      <c r="BO27" s="55">
        <v>84</v>
      </c>
      <c r="BP27" s="56">
        <v>190</v>
      </c>
      <c r="BQ27" s="55">
        <v>110</v>
      </c>
      <c r="BR27" s="56">
        <v>195</v>
      </c>
      <c r="BS27" s="55">
        <v>100</v>
      </c>
      <c r="BT27" s="56">
        <v>210</v>
      </c>
      <c r="BU27" s="55">
        <v>132</v>
      </c>
      <c r="BV27" s="56">
        <v>210</v>
      </c>
      <c r="BW27" s="55">
        <v>103</v>
      </c>
      <c r="BX27" s="56">
        <v>200</v>
      </c>
      <c r="BY27" s="55">
        <v>118</v>
      </c>
      <c r="BZ27" s="56">
        <v>200</v>
      </c>
      <c r="CA27" s="55">
        <v>106</v>
      </c>
      <c r="CB27" s="56">
        <v>210</v>
      </c>
      <c r="CC27" s="55">
        <v>120</v>
      </c>
      <c r="CD27" s="56">
        <v>210</v>
      </c>
      <c r="CE27" s="55">
        <v>124</v>
      </c>
      <c r="CF27" s="56">
        <v>205</v>
      </c>
      <c r="CG27" s="55">
        <v>114</v>
      </c>
      <c r="CH27" s="56">
        <v>200</v>
      </c>
      <c r="CI27" s="55">
        <v>97</v>
      </c>
      <c r="CJ27" s="56">
        <v>215</v>
      </c>
      <c r="CK27" s="55">
        <v>119</v>
      </c>
      <c r="CL27" s="56">
        <v>210</v>
      </c>
      <c r="CM27" s="55">
        <v>111</v>
      </c>
      <c r="CN27" s="56">
        <v>225</v>
      </c>
      <c r="CO27" s="55">
        <v>113</v>
      </c>
      <c r="CP27" s="56">
        <v>230</v>
      </c>
      <c r="CQ27" s="55">
        <v>93</v>
      </c>
      <c r="CR27" s="56">
        <v>210</v>
      </c>
      <c r="CS27" s="55">
        <v>123</v>
      </c>
      <c r="CT27" s="56">
        <v>220</v>
      </c>
      <c r="CU27" s="55">
        <v>112</v>
      </c>
      <c r="CV27" s="56">
        <v>220</v>
      </c>
      <c r="CW27" s="55">
        <v>111</v>
      </c>
      <c r="CX27" s="56">
        <v>220</v>
      </c>
      <c r="CY27" s="55">
        <v>93</v>
      </c>
      <c r="CZ27" s="56">
        <v>240</v>
      </c>
      <c r="DA27" s="55">
        <v>95</v>
      </c>
      <c r="DB27" s="56">
        <v>240</v>
      </c>
      <c r="DC27" s="55">
        <v>97</v>
      </c>
      <c r="DD27" s="56">
        <v>250</v>
      </c>
      <c r="DE27" s="55">
        <v>93</v>
      </c>
      <c r="DF27" s="56">
        <v>230</v>
      </c>
      <c r="DG27" s="55">
        <v>97</v>
      </c>
      <c r="DH27" s="56">
        <v>240</v>
      </c>
      <c r="DI27" s="55">
        <v>107</v>
      </c>
      <c r="DJ27" s="56">
        <v>235</v>
      </c>
      <c r="DK27" s="55">
        <v>87</v>
      </c>
      <c r="DL27" s="56">
        <v>250</v>
      </c>
      <c r="DM27" s="55">
        <v>102</v>
      </c>
      <c r="DN27" s="56">
        <v>230</v>
      </c>
      <c r="DO27" s="55">
        <v>91</v>
      </c>
      <c r="DP27" s="56">
        <v>250</v>
      </c>
      <c r="DQ27" s="55">
        <v>89</v>
      </c>
      <c r="DR27" s="56">
        <v>240</v>
      </c>
      <c r="DS27" s="55">
        <v>94</v>
      </c>
      <c r="DT27" s="56">
        <v>258</v>
      </c>
      <c r="DU27" s="55">
        <v>89</v>
      </c>
      <c r="DV27" s="56">
        <v>250</v>
      </c>
      <c r="DW27" s="55">
        <v>100</v>
      </c>
      <c r="DX27" s="56">
        <v>260</v>
      </c>
      <c r="DY27" s="55">
        <v>98</v>
      </c>
      <c r="DZ27" s="56">
        <v>268</v>
      </c>
      <c r="EA27" s="55">
        <v>90</v>
      </c>
      <c r="EB27" s="56">
        <v>258</v>
      </c>
      <c r="EC27" s="55">
        <v>99</v>
      </c>
      <c r="ED27" s="56">
        <v>267</v>
      </c>
      <c r="EE27" s="55">
        <v>89</v>
      </c>
      <c r="EF27" s="56">
        <v>270</v>
      </c>
      <c r="EG27" s="55">
        <v>78</v>
      </c>
      <c r="EH27" s="56">
        <v>288</v>
      </c>
      <c r="EI27" s="55">
        <v>90</v>
      </c>
      <c r="EJ27" s="56">
        <v>280</v>
      </c>
      <c r="EK27" s="55">
        <v>95</v>
      </c>
      <c r="EL27" s="56">
        <v>290</v>
      </c>
      <c r="EM27" s="55">
        <v>95</v>
      </c>
      <c r="EN27" s="56">
        <v>300</v>
      </c>
      <c r="EO27" s="55">
        <v>103</v>
      </c>
      <c r="EP27" s="56">
        <v>270</v>
      </c>
      <c r="EQ27" s="55">
        <v>117</v>
      </c>
      <c r="ER27" s="56">
        <v>280</v>
      </c>
      <c r="ES27" s="55">
        <v>98</v>
      </c>
      <c r="ET27" s="56">
        <v>280</v>
      </c>
      <c r="EU27" s="55">
        <v>86</v>
      </c>
      <c r="EV27" s="56">
        <v>283</v>
      </c>
      <c r="EW27" s="55">
        <v>105</v>
      </c>
      <c r="EX27" s="56">
        <v>300</v>
      </c>
      <c r="EY27" s="55">
        <v>95</v>
      </c>
      <c r="EZ27" s="56">
        <v>280</v>
      </c>
      <c r="FA27" s="55">
        <v>106</v>
      </c>
      <c r="FB27" s="56">
        <v>290</v>
      </c>
      <c r="FC27" s="55">
        <v>67</v>
      </c>
      <c r="FD27" s="56">
        <v>290</v>
      </c>
      <c r="FE27" s="55">
        <v>104</v>
      </c>
      <c r="FF27" s="56">
        <v>300</v>
      </c>
      <c r="FG27" s="55">
        <v>101</v>
      </c>
      <c r="FH27" s="56">
        <v>300</v>
      </c>
      <c r="FI27" s="55">
        <v>90</v>
      </c>
      <c r="FJ27" s="56">
        <v>310</v>
      </c>
      <c r="FK27" s="55">
        <v>86</v>
      </c>
      <c r="FL27" s="56">
        <v>305</v>
      </c>
      <c r="FM27" s="55">
        <v>103</v>
      </c>
      <c r="FN27" s="56">
        <v>310</v>
      </c>
      <c r="FO27" s="55">
        <v>88</v>
      </c>
      <c r="FP27" s="56">
        <v>320</v>
      </c>
      <c r="FQ27" s="55">
        <v>77</v>
      </c>
      <c r="FR27" s="56">
        <v>320</v>
      </c>
      <c r="FS27" s="55">
        <v>83</v>
      </c>
      <c r="FT27" s="56">
        <v>330</v>
      </c>
      <c r="FU27" s="55">
        <v>69</v>
      </c>
      <c r="FV27" s="56">
        <v>350</v>
      </c>
      <c r="FW27" s="55">
        <v>71</v>
      </c>
      <c r="FX27" s="56">
        <v>320</v>
      </c>
      <c r="FY27" s="55">
        <v>62</v>
      </c>
      <c r="FZ27" s="56">
        <v>360</v>
      </c>
      <c r="GA27" s="55">
        <v>68</v>
      </c>
      <c r="GB27" s="56">
        <v>350</v>
      </c>
      <c r="GC27" s="55">
        <v>56</v>
      </c>
      <c r="GD27" s="56">
        <v>360</v>
      </c>
      <c r="GE27" s="55">
        <v>57</v>
      </c>
      <c r="GF27" s="56">
        <v>400</v>
      </c>
      <c r="GG27" s="55">
        <v>68</v>
      </c>
      <c r="GH27" s="56">
        <v>390</v>
      </c>
      <c r="GI27" s="55">
        <v>45</v>
      </c>
      <c r="GJ27" s="56">
        <v>385</v>
      </c>
      <c r="GK27" s="55">
        <v>61</v>
      </c>
      <c r="GL27" s="56">
        <v>420</v>
      </c>
      <c r="GM27" s="55">
        <v>60</v>
      </c>
      <c r="GN27" s="56">
        <v>400</v>
      </c>
      <c r="GO27" s="55">
        <v>50</v>
      </c>
      <c r="GP27" s="56">
        <v>420</v>
      </c>
      <c r="GQ27" s="55">
        <v>54</v>
      </c>
      <c r="GR27" s="56">
        <v>450</v>
      </c>
      <c r="GS27" s="55">
        <v>54</v>
      </c>
      <c r="GT27" s="56">
        <v>438</v>
      </c>
      <c r="GU27" s="55">
        <v>56</v>
      </c>
      <c r="GV27" s="56">
        <v>440</v>
      </c>
      <c r="GW27" s="55">
        <v>62</v>
      </c>
      <c r="GX27" s="56">
        <v>440</v>
      </c>
      <c r="GY27" s="55">
        <v>68</v>
      </c>
      <c r="GZ27" s="56">
        <v>465</v>
      </c>
      <c r="HA27">
        <v>61</v>
      </c>
      <c r="HB27" s="56">
        <v>460</v>
      </c>
      <c r="HC27">
        <v>53</v>
      </c>
      <c r="HD27" s="56">
        <v>450</v>
      </c>
      <c r="HE27">
        <v>59</v>
      </c>
      <c r="HF27" s="56">
        <v>480</v>
      </c>
    </row>
    <row r="28" spans="1:214" x14ac:dyDescent="0.25">
      <c r="A28" s="53"/>
      <c r="B28" s="54" t="s">
        <v>768</v>
      </c>
      <c r="C28" s="55">
        <v>26</v>
      </c>
      <c r="D28" s="56">
        <v>113</v>
      </c>
      <c r="E28" s="55">
        <v>25</v>
      </c>
      <c r="F28" s="56">
        <v>120</v>
      </c>
      <c r="G28" s="55">
        <v>28</v>
      </c>
      <c r="H28" s="56">
        <v>110</v>
      </c>
      <c r="I28" s="55">
        <v>40</v>
      </c>
      <c r="J28" s="56">
        <v>120</v>
      </c>
      <c r="K28" s="55">
        <v>30</v>
      </c>
      <c r="L28" s="56">
        <v>115</v>
      </c>
      <c r="M28" s="55">
        <v>27</v>
      </c>
      <c r="N28" s="56">
        <v>115</v>
      </c>
      <c r="O28" s="55">
        <v>19</v>
      </c>
      <c r="P28" s="56">
        <v>120</v>
      </c>
      <c r="Q28" s="55">
        <v>31</v>
      </c>
      <c r="R28" s="56">
        <v>120</v>
      </c>
      <c r="S28" s="55">
        <v>20</v>
      </c>
      <c r="T28" s="56">
        <v>120</v>
      </c>
      <c r="U28" s="55">
        <v>24</v>
      </c>
      <c r="V28" s="56">
        <v>123</v>
      </c>
      <c r="W28" s="55">
        <v>25</v>
      </c>
      <c r="X28" s="56">
        <v>125</v>
      </c>
      <c r="Y28" s="55">
        <v>25</v>
      </c>
      <c r="Z28" s="56">
        <v>125</v>
      </c>
      <c r="AA28" s="55">
        <v>14</v>
      </c>
      <c r="AB28" s="56">
        <v>130</v>
      </c>
      <c r="AC28" s="55">
        <v>28</v>
      </c>
      <c r="AD28" s="56">
        <v>128</v>
      </c>
      <c r="AE28" s="55">
        <v>24</v>
      </c>
      <c r="AF28" s="56">
        <v>133</v>
      </c>
      <c r="AG28" s="55">
        <v>37</v>
      </c>
      <c r="AH28" s="56">
        <v>130</v>
      </c>
      <c r="AI28" s="55">
        <v>26</v>
      </c>
      <c r="AJ28" s="56">
        <v>140</v>
      </c>
      <c r="AK28" s="55">
        <v>28</v>
      </c>
      <c r="AL28" s="56">
        <v>138</v>
      </c>
      <c r="AM28" s="55">
        <v>31</v>
      </c>
      <c r="AN28" s="56">
        <v>140</v>
      </c>
      <c r="AO28" s="55">
        <v>25</v>
      </c>
      <c r="AP28" s="56">
        <v>140</v>
      </c>
      <c r="AQ28" s="55">
        <v>24</v>
      </c>
      <c r="AR28" s="56">
        <v>145</v>
      </c>
      <c r="AS28" s="55">
        <v>28</v>
      </c>
      <c r="AT28" s="56">
        <v>150</v>
      </c>
      <c r="AU28" s="55">
        <v>30</v>
      </c>
      <c r="AV28" s="56">
        <v>153</v>
      </c>
      <c r="AW28" s="55">
        <v>45</v>
      </c>
      <c r="AX28" s="56">
        <v>145</v>
      </c>
      <c r="AY28" s="55">
        <v>27</v>
      </c>
      <c r="AZ28" s="56">
        <v>150</v>
      </c>
      <c r="BA28" s="55">
        <v>32</v>
      </c>
      <c r="BB28" s="56">
        <v>145</v>
      </c>
      <c r="BC28" s="55">
        <v>25</v>
      </c>
      <c r="BD28" s="56">
        <v>140</v>
      </c>
      <c r="BE28" s="55">
        <v>36</v>
      </c>
      <c r="BF28" s="56">
        <v>153</v>
      </c>
      <c r="BG28" s="55">
        <v>26</v>
      </c>
      <c r="BH28" s="56">
        <v>150</v>
      </c>
      <c r="BI28" s="55">
        <v>31</v>
      </c>
      <c r="BJ28" s="56">
        <v>150</v>
      </c>
      <c r="BK28" s="55">
        <v>30</v>
      </c>
      <c r="BL28" s="56">
        <v>145</v>
      </c>
      <c r="BM28" s="55">
        <v>29</v>
      </c>
      <c r="BN28" s="56">
        <v>150</v>
      </c>
      <c r="BO28" s="55">
        <v>32</v>
      </c>
      <c r="BP28" s="56">
        <v>153</v>
      </c>
      <c r="BQ28" s="55">
        <v>23</v>
      </c>
      <c r="BR28" s="56">
        <v>150</v>
      </c>
      <c r="BS28" s="55">
        <v>29</v>
      </c>
      <c r="BT28" s="56">
        <v>160</v>
      </c>
      <c r="BU28" s="55">
        <v>24</v>
      </c>
      <c r="BV28" s="56">
        <v>163</v>
      </c>
      <c r="BW28" s="55">
        <v>33</v>
      </c>
      <c r="BX28" s="56">
        <v>159</v>
      </c>
      <c r="BY28" s="55">
        <v>21</v>
      </c>
      <c r="BZ28" s="56">
        <v>180</v>
      </c>
      <c r="CA28" s="55">
        <v>38</v>
      </c>
      <c r="CB28" s="56">
        <v>171</v>
      </c>
      <c r="CC28" s="55">
        <v>35</v>
      </c>
      <c r="CD28" s="56">
        <v>175</v>
      </c>
      <c r="CE28" s="55">
        <v>35</v>
      </c>
      <c r="CF28" s="56">
        <v>170</v>
      </c>
      <c r="CG28" s="55">
        <v>41</v>
      </c>
      <c r="CH28" s="56">
        <v>180</v>
      </c>
      <c r="CI28" s="55">
        <v>40</v>
      </c>
      <c r="CJ28" s="56">
        <v>178</v>
      </c>
      <c r="CK28" s="55">
        <v>35</v>
      </c>
      <c r="CL28" s="56">
        <v>190</v>
      </c>
      <c r="CM28" s="55">
        <v>29</v>
      </c>
      <c r="CN28" s="56">
        <v>180</v>
      </c>
      <c r="CO28" s="55">
        <v>32</v>
      </c>
      <c r="CP28" s="56">
        <v>190</v>
      </c>
      <c r="CQ28" s="55">
        <v>34</v>
      </c>
      <c r="CR28" s="56">
        <v>195</v>
      </c>
      <c r="CS28" s="55">
        <v>37</v>
      </c>
      <c r="CT28" s="56">
        <v>195</v>
      </c>
      <c r="CU28" s="55">
        <v>31</v>
      </c>
      <c r="CV28" s="56">
        <v>210</v>
      </c>
      <c r="CW28" s="55">
        <v>30</v>
      </c>
      <c r="CX28" s="56">
        <v>220</v>
      </c>
      <c r="CY28" s="55">
        <v>35</v>
      </c>
      <c r="CZ28" s="56">
        <v>220</v>
      </c>
      <c r="DA28" s="55">
        <v>37</v>
      </c>
      <c r="DB28" s="56">
        <v>230</v>
      </c>
      <c r="DC28" s="55">
        <v>38</v>
      </c>
      <c r="DD28" s="56">
        <v>230</v>
      </c>
      <c r="DE28" s="55">
        <v>35</v>
      </c>
      <c r="DF28" s="56">
        <v>220</v>
      </c>
      <c r="DG28" s="55">
        <v>29</v>
      </c>
      <c r="DH28" s="56">
        <v>235</v>
      </c>
      <c r="DI28" s="55">
        <v>46</v>
      </c>
      <c r="DJ28" s="56">
        <v>240</v>
      </c>
      <c r="DK28" s="55">
        <v>26</v>
      </c>
      <c r="DL28" s="56">
        <v>238</v>
      </c>
      <c r="DM28" s="55">
        <v>26</v>
      </c>
      <c r="DN28" s="56">
        <v>245</v>
      </c>
      <c r="DO28" s="55">
        <v>22</v>
      </c>
      <c r="DP28" s="56">
        <v>240</v>
      </c>
      <c r="DQ28" s="55">
        <v>32</v>
      </c>
      <c r="DR28" s="56">
        <v>240</v>
      </c>
      <c r="DS28" s="55">
        <v>31</v>
      </c>
      <c r="DT28" s="56">
        <v>240</v>
      </c>
      <c r="DU28" s="55">
        <v>33</v>
      </c>
      <c r="DV28" s="56">
        <v>240</v>
      </c>
      <c r="DW28" s="55">
        <v>37</v>
      </c>
      <c r="DX28" s="56">
        <v>230</v>
      </c>
      <c r="DY28" s="55">
        <v>36</v>
      </c>
      <c r="DZ28" s="56">
        <v>238</v>
      </c>
      <c r="EA28" s="55">
        <v>45</v>
      </c>
      <c r="EB28" s="56">
        <v>250</v>
      </c>
      <c r="EC28" s="55">
        <v>43</v>
      </c>
      <c r="ED28" s="56">
        <v>240</v>
      </c>
      <c r="EE28" s="55">
        <v>45</v>
      </c>
      <c r="EF28" s="56">
        <v>230</v>
      </c>
      <c r="EG28" s="55">
        <v>38</v>
      </c>
      <c r="EH28" s="56">
        <v>250</v>
      </c>
      <c r="EI28" s="55">
        <v>50</v>
      </c>
      <c r="EJ28" s="56">
        <v>238</v>
      </c>
      <c r="EK28" s="55">
        <v>36</v>
      </c>
      <c r="EL28" s="56">
        <v>240</v>
      </c>
      <c r="EM28" s="55">
        <v>42</v>
      </c>
      <c r="EN28" s="56">
        <v>235</v>
      </c>
      <c r="EO28" s="55">
        <v>39</v>
      </c>
      <c r="EP28" s="56">
        <v>250</v>
      </c>
      <c r="EQ28" s="55">
        <v>39</v>
      </c>
      <c r="ER28" s="56">
        <v>240</v>
      </c>
      <c r="ES28" s="55">
        <v>44</v>
      </c>
      <c r="ET28" s="56">
        <v>240</v>
      </c>
      <c r="EU28" s="55">
        <v>26</v>
      </c>
      <c r="EV28" s="56">
        <v>240</v>
      </c>
      <c r="EW28" s="55">
        <v>41</v>
      </c>
      <c r="EX28" s="56">
        <v>250</v>
      </c>
      <c r="EY28" s="55">
        <v>35</v>
      </c>
      <c r="EZ28" s="56">
        <v>255</v>
      </c>
      <c r="FA28" s="55">
        <v>27</v>
      </c>
      <c r="FB28" s="56">
        <v>255</v>
      </c>
      <c r="FC28" s="55">
        <v>22</v>
      </c>
      <c r="FD28" s="56">
        <v>268</v>
      </c>
      <c r="FE28" s="55">
        <v>24</v>
      </c>
      <c r="FF28" s="56">
        <v>255</v>
      </c>
      <c r="FG28" s="55">
        <v>31</v>
      </c>
      <c r="FH28" s="56">
        <v>265</v>
      </c>
      <c r="FI28" s="55">
        <v>41</v>
      </c>
      <c r="FJ28" s="56">
        <v>265</v>
      </c>
      <c r="FK28" s="55">
        <v>27</v>
      </c>
      <c r="FL28" s="56">
        <v>270</v>
      </c>
      <c r="FM28" s="55">
        <v>29</v>
      </c>
      <c r="FN28" s="56">
        <v>280</v>
      </c>
      <c r="FO28" s="55">
        <v>36</v>
      </c>
      <c r="FP28" s="56">
        <v>260</v>
      </c>
      <c r="FQ28" s="55">
        <v>29</v>
      </c>
      <c r="FR28" s="56">
        <v>290</v>
      </c>
      <c r="FS28" s="55">
        <v>23</v>
      </c>
      <c r="FT28" s="56">
        <v>280</v>
      </c>
      <c r="FU28" s="55">
        <v>27</v>
      </c>
      <c r="FV28" s="56">
        <v>300</v>
      </c>
      <c r="FW28" s="55">
        <v>20</v>
      </c>
      <c r="FX28" s="56">
        <v>300</v>
      </c>
      <c r="FY28" s="55">
        <v>19</v>
      </c>
      <c r="FZ28" s="56">
        <v>340</v>
      </c>
      <c r="GA28" s="55">
        <v>30</v>
      </c>
      <c r="GB28" s="56">
        <v>320</v>
      </c>
      <c r="GC28" s="55">
        <v>25</v>
      </c>
      <c r="GD28" s="56">
        <v>320</v>
      </c>
      <c r="GE28" s="55">
        <v>23</v>
      </c>
      <c r="GF28" s="56">
        <v>325</v>
      </c>
      <c r="GG28" s="55">
        <v>24</v>
      </c>
      <c r="GH28" s="56">
        <v>330</v>
      </c>
      <c r="GI28" s="55">
        <v>22</v>
      </c>
      <c r="GJ28" s="56">
        <v>338</v>
      </c>
      <c r="GK28" s="55">
        <v>35</v>
      </c>
      <c r="GL28" s="56">
        <v>350</v>
      </c>
      <c r="GM28" s="55">
        <v>27</v>
      </c>
      <c r="GN28" s="56">
        <v>340</v>
      </c>
      <c r="GO28" s="55">
        <v>29</v>
      </c>
      <c r="GP28" s="56">
        <v>350</v>
      </c>
      <c r="GQ28" s="55">
        <v>32</v>
      </c>
      <c r="GR28" s="56">
        <v>360</v>
      </c>
      <c r="GS28" s="55">
        <v>20</v>
      </c>
      <c r="GT28" s="56">
        <v>355</v>
      </c>
      <c r="GU28" s="55">
        <v>29</v>
      </c>
      <c r="GV28" s="56">
        <v>360</v>
      </c>
      <c r="GW28" s="55">
        <v>26</v>
      </c>
      <c r="GX28" s="56">
        <v>360</v>
      </c>
      <c r="GY28" s="55">
        <v>19</v>
      </c>
      <c r="GZ28" s="56">
        <v>380</v>
      </c>
      <c r="HA28">
        <v>20</v>
      </c>
      <c r="HB28" s="56">
        <v>383</v>
      </c>
      <c r="HC28">
        <v>16</v>
      </c>
      <c r="HD28" s="56">
        <v>375</v>
      </c>
      <c r="HE28">
        <v>18</v>
      </c>
      <c r="HF28" s="56">
        <v>380</v>
      </c>
    </row>
    <row r="29" spans="1:214" x14ac:dyDescent="0.25">
      <c r="A29" s="53"/>
      <c r="B29" s="54" t="s">
        <v>769</v>
      </c>
      <c r="C29" s="55">
        <v>30</v>
      </c>
      <c r="D29" s="56">
        <v>113</v>
      </c>
      <c r="E29" s="55">
        <v>27</v>
      </c>
      <c r="F29" s="56">
        <v>115</v>
      </c>
      <c r="G29" s="55">
        <v>25</v>
      </c>
      <c r="H29" s="56">
        <v>120</v>
      </c>
      <c r="I29" s="55">
        <v>37</v>
      </c>
      <c r="J29" s="56">
        <v>110</v>
      </c>
      <c r="K29" s="55">
        <v>25</v>
      </c>
      <c r="L29" s="56">
        <v>110</v>
      </c>
      <c r="M29" s="55">
        <v>23</v>
      </c>
      <c r="N29" s="56">
        <v>110</v>
      </c>
      <c r="O29" s="55">
        <v>21</v>
      </c>
      <c r="P29" s="56">
        <v>110</v>
      </c>
      <c r="Q29" s="55">
        <v>26</v>
      </c>
      <c r="R29" s="56">
        <v>100</v>
      </c>
      <c r="S29" s="55">
        <v>26</v>
      </c>
      <c r="T29" s="56">
        <v>110</v>
      </c>
      <c r="U29" s="55">
        <v>28</v>
      </c>
      <c r="V29" s="56">
        <v>120</v>
      </c>
      <c r="W29" s="55">
        <v>19</v>
      </c>
      <c r="X29" s="56">
        <v>120</v>
      </c>
      <c r="Y29" s="55">
        <v>24</v>
      </c>
      <c r="Z29" s="56">
        <v>120</v>
      </c>
      <c r="AA29" s="55">
        <v>26</v>
      </c>
      <c r="AB29" s="56">
        <v>120</v>
      </c>
      <c r="AC29" s="55">
        <v>17</v>
      </c>
      <c r="AD29" s="56">
        <v>120</v>
      </c>
      <c r="AE29" s="55">
        <v>24</v>
      </c>
      <c r="AF29" s="56">
        <v>118</v>
      </c>
      <c r="AG29" s="55">
        <v>33</v>
      </c>
      <c r="AH29" s="56">
        <v>120</v>
      </c>
      <c r="AI29" s="55">
        <v>23</v>
      </c>
      <c r="AJ29" s="56">
        <v>120</v>
      </c>
      <c r="AK29" s="55">
        <v>28</v>
      </c>
      <c r="AL29" s="56">
        <v>120</v>
      </c>
      <c r="AM29" s="55">
        <v>21</v>
      </c>
      <c r="AN29" s="56">
        <v>125</v>
      </c>
      <c r="AO29" s="55">
        <v>27</v>
      </c>
      <c r="AP29" s="56">
        <v>120</v>
      </c>
      <c r="AQ29" s="55">
        <v>20</v>
      </c>
      <c r="AR29" s="56">
        <v>120</v>
      </c>
      <c r="AS29" s="55">
        <v>26</v>
      </c>
      <c r="AT29" s="56">
        <v>120</v>
      </c>
      <c r="AU29" s="55">
        <v>19</v>
      </c>
      <c r="AV29" s="56">
        <v>120</v>
      </c>
      <c r="AW29" s="55">
        <v>31</v>
      </c>
      <c r="AX29" s="56">
        <v>130</v>
      </c>
      <c r="AY29" s="55">
        <v>29</v>
      </c>
      <c r="AZ29" s="56">
        <v>130</v>
      </c>
      <c r="BA29" s="55">
        <v>28</v>
      </c>
      <c r="BB29" s="56">
        <v>130</v>
      </c>
      <c r="BC29" s="55">
        <v>21</v>
      </c>
      <c r="BD29" s="56">
        <v>130</v>
      </c>
      <c r="BE29" s="55">
        <v>34</v>
      </c>
      <c r="BF29" s="56">
        <v>130</v>
      </c>
      <c r="BG29" s="55">
        <v>29</v>
      </c>
      <c r="BH29" s="56">
        <v>135</v>
      </c>
      <c r="BI29" s="55">
        <v>24</v>
      </c>
      <c r="BJ29" s="56">
        <v>140</v>
      </c>
      <c r="BK29" s="55">
        <v>21</v>
      </c>
      <c r="BL29" s="56">
        <v>150</v>
      </c>
      <c r="BM29" s="55">
        <v>38</v>
      </c>
      <c r="BN29" s="56">
        <v>140</v>
      </c>
      <c r="BO29" s="55">
        <v>38</v>
      </c>
      <c r="BP29" s="56">
        <v>145</v>
      </c>
      <c r="BQ29" s="55">
        <v>23</v>
      </c>
      <c r="BR29" s="56">
        <v>145</v>
      </c>
      <c r="BS29" s="55">
        <v>31</v>
      </c>
      <c r="BT29" s="56">
        <v>150</v>
      </c>
      <c r="BU29" s="55">
        <v>43</v>
      </c>
      <c r="BV29" s="56">
        <v>150</v>
      </c>
      <c r="BW29" s="55">
        <v>27</v>
      </c>
      <c r="BX29" s="56">
        <v>150</v>
      </c>
      <c r="BY29" s="55">
        <v>20</v>
      </c>
      <c r="BZ29" s="56">
        <v>155</v>
      </c>
      <c r="CA29" s="55">
        <v>26</v>
      </c>
      <c r="CB29" s="56">
        <v>150</v>
      </c>
      <c r="CC29" s="55">
        <v>28</v>
      </c>
      <c r="CD29" s="56">
        <v>155</v>
      </c>
      <c r="CE29" s="55">
        <v>35</v>
      </c>
      <c r="CF29" s="56">
        <v>150</v>
      </c>
      <c r="CG29" s="55">
        <v>37</v>
      </c>
      <c r="CH29" s="56">
        <v>155</v>
      </c>
      <c r="CI29" s="55">
        <v>28</v>
      </c>
      <c r="CJ29" s="56">
        <v>150</v>
      </c>
      <c r="CK29" s="55">
        <v>32</v>
      </c>
      <c r="CL29" s="56">
        <v>158</v>
      </c>
      <c r="CM29" s="55">
        <v>36</v>
      </c>
      <c r="CN29" s="56">
        <v>160</v>
      </c>
      <c r="CO29" s="55">
        <v>26</v>
      </c>
      <c r="CP29" s="56">
        <v>165</v>
      </c>
      <c r="CQ29" s="55">
        <v>36</v>
      </c>
      <c r="CR29" s="56">
        <v>153</v>
      </c>
      <c r="CS29" s="55">
        <v>41</v>
      </c>
      <c r="CT29" s="56">
        <v>155</v>
      </c>
      <c r="CU29" s="55">
        <v>36</v>
      </c>
      <c r="CV29" s="56">
        <v>170</v>
      </c>
      <c r="CW29" s="55">
        <v>38</v>
      </c>
      <c r="CX29" s="56">
        <v>170</v>
      </c>
      <c r="CY29" s="55">
        <v>24</v>
      </c>
      <c r="CZ29" s="56">
        <v>163</v>
      </c>
      <c r="DA29" s="55">
        <v>30</v>
      </c>
      <c r="DB29" s="56">
        <v>163</v>
      </c>
      <c r="DC29" s="55">
        <v>30</v>
      </c>
      <c r="DD29" s="56">
        <v>180</v>
      </c>
      <c r="DE29" s="55">
        <v>25</v>
      </c>
      <c r="DF29" s="56">
        <v>170</v>
      </c>
      <c r="DG29" s="55">
        <v>20</v>
      </c>
      <c r="DH29" s="56">
        <v>180</v>
      </c>
      <c r="DI29" s="55">
        <v>34</v>
      </c>
      <c r="DJ29" s="56">
        <v>168</v>
      </c>
      <c r="DK29" s="55">
        <v>29</v>
      </c>
      <c r="DL29" s="56">
        <v>160</v>
      </c>
      <c r="DM29" s="55">
        <v>30</v>
      </c>
      <c r="DN29" s="56">
        <v>180</v>
      </c>
      <c r="DO29" s="55">
        <v>33</v>
      </c>
      <c r="DP29" s="56">
        <v>180</v>
      </c>
      <c r="DQ29" s="55">
        <v>31</v>
      </c>
      <c r="DR29" s="56">
        <v>170</v>
      </c>
      <c r="DS29" s="55">
        <v>31</v>
      </c>
      <c r="DT29" s="56">
        <v>190</v>
      </c>
      <c r="DU29" s="55">
        <v>21</v>
      </c>
      <c r="DV29" s="56">
        <v>185</v>
      </c>
      <c r="DW29" s="55">
        <v>27</v>
      </c>
      <c r="DX29" s="56">
        <v>190</v>
      </c>
      <c r="DY29" s="55">
        <v>32</v>
      </c>
      <c r="DZ29" s="56">
        <v>210</v>
      </c>
      <c r="EA29" s="55">
        <v>38</v>
      </c>
      <c r="EB29" s="56">
        <v>200</v>
      </c>
      <c r="EC29" s="55">
        <v>23</v>
      </c>
      <c r="ED29" s="56">
        <v>190</v>
      </c>
      <c r="EE29" s="55">
        <v>33</v>
      </c>
      <c r="EF29" s="56">
        <v>200</v>
      </c>
      <c r="EG29" s="55">
        <v>36</v>
      </c>
      <c r="EH29" s="56">
        <v>188</v>
      </c>
      <c r="EI29" s="55">
        <v>26</v>
      </c>
      <c r="EJ29" s="56">
        <v>200</v>
      </c>
      <c r="EK29" s="55">
        <v>33</v>
      </c>
      <c r="EL29" s="56">
        <v>200</v>
      </c>
      <c r="EM29" s="55">
        <v>19</v>
      </c>
      <c r="EN29" s="56">
        <v>200</v>
      </c>
      <c r="EO29" s="55">
        <v>26</v>
      </c>
      <c r="EP29" s="56">
        <v>200</v>
      </c>
      <c r="EQ29" s="55">
        <v>29</v>
      </c>
      <c r="ER29" s="56">
        <v>200</v>
      </c>
      <c r="ES29" s="55">
        <v>28</v>
      </c>
      <c r="ET29" s="56">
        <v>230</v>
      </c>
      <c r="EU29" s="55">
        <v>39</v>
      </c>
      <c r="EV29" s="56">
        <v>210</v>
      </c>
      <c r="EW29" s="55">
        <v>21</v>
      </c>
      <c r="EX29" s="56">
        <v>210</v>
      </c>
      <c r="EY29" s="55">
        <v>25</v>
      </c>
      <c r="EZ29" s="56">
        <v>200</v>
      </c>
      <c r="FA29" s="55">
        <v>24</v>
      </c>
      <c r="FB29" s="56">
        <v>215</v>
      </c>
      <c r="FC29" s="55">
        <v>29</v>
      </c>
      <c r="FD29" s="56">
        <v>250</v>
      </c>
      <c r="FE29" s="55">
        <v>28</v>
      </c>
      <c r="FF29" s="56">
        <v>230</v>
      </c>
      <c r="FG29" s="55">
        <v>28</v>
      </c>
      <c r="FH29" s="56">
        <v>230</v>
      </c>
      <c r="FI29" s="55">
        <v>25</v>
      </c>
      <c r="FJ29" s="56">
        <v>230</v>
      </c>
      <c r="FK29" s="55">
        <v>32</v>
      </c>
      <c r="FL29" s="56">
        <v>228</v>
      </c>
      <c r="FM29" s="55">
        <v>30</v>
      </c>
      <c r="FN29" s="56">
        <v>223</v>
      </c>
      <c r="FO29" s="55">
        <v>20</v>
      </c>
      <c r="FP29" s="56">
        <v>255</v>
      </c>
      <c r="FQ29" s="55">
        <v>23</v>
      </c>
      <c r="FR29" s="56">
        <v>230</v>
      </c>
      <c r="FS29" s="55">
        <v>21</v>
      </c>
      <c r="FT29" s="56">
        <v>240</v>
      </c>
      <c r="FU29" s="55">
        <v>17</v>
      </c>
      <c r="FV29" s="56">
        <v>250</v>
      </c>
      <c r="FW29" s="55">
        <v>15</v>
      </c>
      <c r="FX29" s="56">
        <v>250</v>
      </c>
      <c r="FY29" s="55">
        <v>19</v>
      </c>
      <c r="FZ29" s="56">
        <v>260</v>
      </c>
      <c r="GA29" s="55">
        <v>19</v>
      </c>
      <c r="GB29" s="56">
        <v>270</v>
      </c>
      <c r="GC29" s="55">
        <v>15</v>
      </c>
      <c r="GD29" s="56">
        <v>275</v>
      </c>
      <c r="GE29" s="55">
        <v>12</v>
      </c>
      <c r="GF29" s="56">
        <v>250</v>
      </c>
      <c r="GG29" s="55">
        <v>22</v>
      </c>
      <c r="GH29" s="56">
        <v>280</v>
      </c>
      <c r="GI29" s="55">
        <v>14</v>
      </c>
      <c r="GJ29" s="56">
        <v>288</v>
      </c>
      <c r="GK29" s="55">
        <v>15</v>
      </c>
      <c r="GL29" s="56">
        <v>300</v>
      </c>
      <c r="GM29" s="55">
        <v>12</v>
      </c>
      <c r="GN29" s="56">
        <v>300</v>
      </c>
      <c r="GO29" s="55">
        <v>17</v>
      </c>
      <c r="GP29" s="56">
        <v>310</v>
      </c>
      <c r="GQ29" s="55">
        <v>14</v>
      </c>
      <c r="GR29" s="56">
        <v>340</v>
      </c>
      <c r="GS29" s="55">
        <v>15</v>
      </c>
      <c r="GT29" s="56">
        <v>350</v>
      </c>
      <c r="GU29" s="55">
        <v>15</v>
      </c>
      <c r="GV29" s="56">
        <v>360</v>
      </c>
      <c r="GW29" s="55">
        <v>14</v>
      </c>
      <c r="GX29" s="56">
        <v>305</v>
      </c>
      <c r="GY29" s="55">
        <v>12</v>
      </c>
      <c r="GZ29" s="56">
        <v>330</v>
      </c>
      <c r="HA29">
        <v>10</v>
      </c>
      <c r="HB29" s="56">
        <v>323</v>
      </c>
      <c r="HC29">
        <v>11</v>
      </c>
      <c r="HD29" s="56">
        <v>360</v>
      </c>
      <c r="HE29">
        <v>10</v>
      </c>
      <c r="HF29" s="56">
        <v>375</v>
      </c>
    </row>
    <row r="30" spans="1:214" x14ac:dyDescent="0.25">
      <c r="A30" s="53"/>
      <c r="B30" s="54" t="s">
        <v>770</v>
      </c>
      <c r="C30" s="55">
        <v>283</v>
      </c>
      <c r="D30" s="56">
        <v>145</v>
      </c>
      <c r="E30" s="55">
        <v>258</v>
      </c>
      <c r="F30" s="56">
        <v>150</v>
      </c>
      <c r="G30" s="55">
        <v>268</v>
      </c>
      <c r="H30" s="56">
        <v>150</v>
      </c>
      <c r="I30" s="55">
        <v>419</v>
      </c>
      <c r="J30" s="56">
        <v>150</v>
      </c>
      <c r="K30" s="55">
        <v>279</v>
      </c>
      <c r="L30" s="56">
        <v>150</v>
      </c>
      <c r="M30" s="55">
        <v>311</v>
      </c>
      <c r="N30" s="56">
        <v>150</v>
      </c>
      <c r="O30" s="55">
        <v>238</v>
      </c>
      <c r="P30" s="56">
        <v>155</v>
      </c>
      <c r="Q30" s="55">
        <v>322</v>
      </c>
      <c r="R30" s="56">
        <v>155</v>
      </c>
      <c r="S30" s="55">
        <v>260</v>
      </c>
      <c r="T30" s="56">
        <v>155</v>
      </c>
      <c r="U30" s="55">
        <v>235</v>
      </c>
      <c r="V30" s="56">
        <v>165</v>
      </c>
      <c r="W30" s="55">
        <v>266</v>
      </c>
      <c r="X30" s="56">
        <v>160</v>
      </c>
      <c r="Y30" s="55">
        <v>318</v>
      </c>
      <c r="Z30" s="56">
        <v>165</v>
      </c>
      <c r="AA30" s="55">
        <v>249</v>
      </c>
      <c r="AB30" s="56">
        <v>165</v>
      </c>
      <c r="AC30" s="55">
        <v>242</v>
      </c>
      <c r="AD30" s="56">
        <v>170</v>
      </c>
      <c r="AE30" s="55">
        <v>266</v>
      </c>
      <c r="AF30" s="56">
        <v>180</v>
      </c>
      <c r="AG30" s="55">
        <v>361</v>
      </c>
      <c r="AH30" s="56">
        <v>180</v>
      </c>
      <c r="AI30" s="55">
        <v>278</v>
      </c>
      <c r="AJ30" s="56">
        <v>180</v>
      </c>
      <c r="AK30" s="55">
        <v>308</v>
      </c>
      <c r="AL30" s="56">
        <v>185</v>
      </c>
      <c r="AM30" s="55">
        <v>344</v>
      </c>
      <c r="AN30" s="56">
        <v>190</v>
      </c>
      <c r="AO30" s="55">
        <v>403</v>
      </c>
      <c r="AP30" s="56">
        <v>190</v>
      </c>
      <c r="AQ30" s="55">
        <v>262</v>
      </c>
      <c r="AR30" s="56">
        <v>190</v>
      </c>
      <c r="AS30" s="55">
        <v>302</v>
      </c>
      <c r="AT30" s="56">
        <v>195</v>
      </c>
      <c r="AU30" s="55">
        <v>331</v>
      </c>
      <c r="AV30" s="56">
        <v>200</v>
      </c>
      <c r="AW30" s="55">
        <v>384</v>
      </c>
      <c r="AX30" s="56">
        <v>200</v>
      </c>
      <c r="AY30" s="55">
        <v>322</v>
      </c>
      <c r="AZ30" s="56">
        <v>195</v>
      </c>
      <c r="BA30" s="55">
        <v>301</v>
      </c>
      <c r="BB30" s="56">
        <v>200</v>
      </c>
      <c r="BC30" s="55">
        <v>316</v>
      </c>
      <c r="BD30" s="56">
        <v>200</v>
      </c>
      <c r="BE30" s="55">
        <v>381</v>
      </c>
      <c r="BF30" s="56">
        <v>200</v>
      </c>
      <c r="BG30" s="55">
        <v>316</v>
      </c>
      <c r="BH30" s="56">
        <v>200</v>
      </c>
      <c r="BI30" s="55">
        <v>332</v>
      </c>
      <c r="BJ30" s="56">
        <v>215</v>
      </c>
      <c r="BK30" s="55">
        <v>298</v>
      </c>
      <c r="BL30" s="56">
        <v>210</v>
      </c>
      <c r="BM30" s="55">
        <v>389</v>
      </c>
      <c r="BN30" s="56">
        <v>215</v>
      </c>
      <c r="BO30" s="55">
        <v>309</v>
      </c>
      <c r="BP30" s="56">
        <v>210</v>
      </c>
      <c r="BQ30" s="55">
        <v>347</v>
      </c>
      <c r="BR30" s="56">
        <v>220</v>
      </c>
      <c r="BS30" s="55">
        <v>327</v>
      </c>
      <c r="BT30" s="56">
        <v>220</v>
      </c>
      <c r="BU30" s="55">
        <v>426</v>
      </c>
      <c r="BV30" s="56">
        <v>220</v>
      </c>
      <c r="BW30" s="55">
        <v>410</v>
      </c>
      <c r="BX30" s="56">
        <v>230</v>
      </c>
      <c r="BY30" s="55">
        <v>382</v>
      </c>
      <c r="BZ30" s="56">
        <v>220</v>
      </c>
      <c r="CA30" s="55">
        <v>365</v>
      </c>
      <c r="CB30" s="56">
        <v>230</v>
      </c>
      <c r="CC30" s="55">
        <v>398</v>
      </c>
      <c r="CD30" s="56">
        <v>240</v>
      </c>
      <c r="CE30" s="55">
        <v>327</v>
      </c>
      <c r="CF30" s="56">
        <v>235</v>
      </c>
      <c r="CG30" s="55">
        <v>332</v>
      </c>
      <c r="CH30" s="56">
        <v>240</v>
      </c>
      <c r="CI30" s="55">
        <v>335</v>
      </c>
      <c r="CJ30" s="56">
        <v>240</v>
      </c>
      <c r="CK30" s="55">
        <v>384</v>
      </c>
      <c r="CL30" s="56">
        <v>250</v>
      </c>
      <c r="CM30" s="55">
        <v>311</v>
      </c>
      <c r="CN30" s="56">
        <v>250</v>
      </c>
      <c r="CO30" s="55">
        <v>358</v>
      </c>
      <c r="CP30" s="56">
        <v>260</v>
      </c>
      <c r="CQ30" s="55">
        <v>357</v>
      </c>
      <c r="CR30" s="56">
        <v>270</v>
      </c>
      <c r="CS30" s="55">
        <v>396</v>
      </c>
      <c r="CT30" s="56">
        <v>270</v>
      </c>
      <c r="CU30" s="55">
        <v>319</v>
      </c>
      <c r="CV30" s="56">
        <v>280</v>
      </c>
      <c r="CW30" s="55">
        <v>374</v>
      </c>
      <c r="CX30" s="56">
        <v>280</v>
      </c>
      <c r="CY30" s="55">
        <v>374</v>
      </c>
      <c r="CZ30" s="56">
        <v>280</v>
      </c>
      <c r="DA30" s="55">
        <v>420</v>
      </c>
      <c r="DB30" s="56">
        <v>288</v>
      </c>
      <c r="DC30" s="55">
        <v>354</v>
      </c>
      <c r="DD30" s="56">
        <v>290</v>
      </c>
      <c r="DE30" s="55">
        <v>378</v>
      </c>
      <c r="DF30" s="56">
        <v>290</v>
      </c>
      <c r="DG30" s="55">
        <v>393</v>
      </c>
      <c r="DH30" s="56">
        <v>290</v>
      </c>
      <c r="DI30" s="55">
        <v>418</v>
      </c>
      <c r="DJ30" s="56">
        <v>295</v>
      </c>
      <c r="DK30" s="55">
        <v>421</v>
      </c>
      <c r="DL30" s="56">
        <v>280</v>
      </c>
      <c r="DM30" s="55">
        <v>452</v>
      </c>
      <c r="DN30" s="56">
        <v>290</v>
      </c>
      <c r="DO30" s="55">
        <v>426</v>
      </c>
      <c r="DP30" s="56">
        <v>290</v>
      </c>
      <c r="DQ30" s="55">
        <v>457</v>
      </c>
      <c r="DR30" s="56">
        <v>290</v>
      </c>
      <c r="DS30" s="55">
        <v>426</v>
      </c>
      <c r="DT30" s="56">
        <v>290</v>
      </c>
      <c r="DU30" s="55">
        <v>442</v>
      </c>
      <c r="DV30" s="56">
        <v>280</v>
      </c>
      <c r="DW30" s="55">
        <v>452</v>
      </c>
      <c r="DX30" s="56">
        <v>290</v>
      </c>
      <c r="DY30" s="55">
        <v>517</v>
      </c>
      <c r="DZ30" s="56">
        <v>295</v>
      </c>
      <c r="EA30" s="55">
        <v>469</v>
      </c>
      <c r="EB30" s="56">
        <v>285</v>
      </c>
      <c r="EC30" s="55">
        <v>461</v>
      </c>
      <c r="ED30" s="56">
        <v>280</v>
      </c>
      <c r="EE30" s="55">
        <v>462</v>
      </c>
      <c r="EF30" s="56">
        <v>290</v>
      </c>
      <c r="EG30" s="55">
        <v>471</v>
      </c>
      <c r="EH30" s="56">
        <v>290</v>
      </c>
      <c r="EI30" s="55">
        <v>442</v>
      </c>
      <c r="EJ30" s="56">
        <v>285</v>
      </c>
      <c r="EK30" s="55">
        <v>472</v>
      </c>
      <c r="EL30" s="56">
        <v>290</v>
      </c>
      <c r="EM30" s="55">
        <v>444</v>
      </c>
      <c r="EN30" s="56">
        <v>298</v>
      </c>
      <c r="EO30" s="55">
        <v>510</v>
      </c>
      <c r="EP30" s="56">
        <v>295</v>
      </c>
      <c r="EQ30" s="55">
        <v>386</v>
      </c>
      <c r="ER30" s="56">
        <v>300</v>
      </c>
      <c r="ES30" s="55">
        <v>389</v>
      </c>
      <c r="ET30" s="56">
        <v>300</v>
      </c>
      <c r="EU30" s="55">
        <v>403</v>
      </c>
      <c r="EV30" s="56">
        <v>300</v>
      </c>
      <c r="EW30" s="55">
        <v>410</v>
      </c>
      <c r="EX30" s="56">
        <v>303</v>
      </c>
      <c r="EY30" s="55">
        <v>393</v>
      </c>
      <c r="EZ30" s="56">
        <v>305</v>
      </c>
      <c r="FA30" s="55">
        <v>411</v>
      </c>
      <c r="FB30" s="56">
        <v>305</v>
      </c>
      <c r="FC30" s="55">
        <v>368</v>
      </c>
      <c r="FD30" s="56">
        <v>310</v>
      </c>
      <c r="FE30" s="55">
        <v>372</v>
      </c>
      <c r="FF30" s="56">
        <v>318</v>
      </c>
      <c r="FG30" s="55">
        <v>349</v>
      </c>
      <c r="FH30" s="56">
        <v>315</v>
      </c>
      <c r="FI30" s="55">
        <v>338</v>
      </c>
      <c r="FJ30" s="56">
        <v>328</v>
      </c>
      <c r="FK30" s="55">
        <v>370</v>
      </c>
      <c r="FL30" s="56">
        <v>330</v>
      </c>
      <c r="FM30" s="55">
        <v>394</v>
      </c>
      <c r="FN30" s="56">
        <v>340</v>
      </c>
      <c r="FO30" s="55">
        <v>325</v>
      </c>
      <c r="FP30" s="56">
        <v>330</v>
      </c>
      <c r="FQ30" s="55">
        <v>323</v>
      </c>
      <c r="FR30" s="56">
        <v>340</v>
      </c>
      <c r="FS30" s="55">
        <v>281</v>
      </c>
      <c r="FT30" s="56">
        <v>350</v>
      </c>
      <c r="FU30" s="55">
        <v>333</v>
      </c>
      <c r="FV30" s="56">
        <v>360</v>
      </c>
      <c r="FW30" s="55">
        <v>318</v>
      </c>
      <c r="FX30" s="56">
        <v>380</v>
      </c>
      <c r="FY30" s="55">
        <v>350</v>
      </c>
      <c r="FZ30" s="56">
        <v>380</v>
      </c>
      <c r="GA30" s="55">
        <v>336</v>
      </c>
      <c r="GB30" s="56">
        <v>390</v>
      </c>
      <c r="GC30" s="55">
        <v>337</v>
      </c>
      <c r="GD30" s="56">
        <v>400</v>
      </c>
      <c r="GE30" s="55">
        <v>322</v>
      </c>
      <c r="GF30" s="56">
        <v>400</v>
      </c>
      <c r="GG30" s="55">
        <v>355</v>
      </c>
      <c r="GH30" s="56">
        <v>400</v>
      </c>
      <c r="GI30" s="55">
        <v>302</v>
      </c>
      <c r="GJ30" s="56">
        <v>420</v>
      </c>
      <c r="GK30" s="55">
        <v>348</v>
      </c>
      <c r="GL30" s="56">
        <v>430</v>
      </c>
      <c r="GM30" s="55">
        <v>324</v>
      </c>
      <c r="GN30" s="56">
        <v>430</v>
      </c>
      <c r="GO30" s="55">
        <v>307</v>
      </c>
      <c r="GP30" s="56">
        <v>430</v>
      </c>
      <c r="GQ30" s="55">
        <v>328</v>
      </c>
      <c r="GR30" s="56">
        <v>450</v>
      </c>
      <c r="GS30" s="55">
        <v>296</v>
      </c>
      <c r="GT30" s="56">
        <v>450</v>
      </c>
      <c r="GU30" s="55">
        <v>298</v>
      </c>
      <c r="GV30" s="56">
        <v>450</v>
      </c>
      <c r="GW30" s="55">
        <v>283</v>
      </c>
      <c r="GX30" s="56">
        <v>460</v>
      </c>
      <c r="GY30" s="55">
        <v>311</v>
      </c>
      <c r="GZ30" s="56">
        <v>465</v>
      </c>
      <c r="HA30">
        <v>289</v>
      </c>
      <c r="HB30" s="56">
        <v>475</v>
      </c>
      <c r="HC30">
        <v>327</v>
      </c>
      <c r="HD30" s="56">
        <v>480</v>
      </c>
      <c r="HE30">
        <v>321</v>
      </c>
      <c r="HF30" s="56">
        <v>490</v>
      </c>
    </row>
    <row r="31" spans="1:214" x14ac:dyDescent="0.25">
      <c r="A31" s="53"/>
      <c r="B31" s="54" t="s">
        <v>771</v>
      </c>
      <c r="C31" s="55">
        <v>12</v>
      </c>
      <c r="D31" s="56">
        <v>88</v>
      </c>
      <c r="E31" s="55">
        <v>8</v>
      </c>
      <c r="F31" s="56">
        <v>95</v>
      </c>
      <c r="G31" s="55">
        <v>10</v>
      </c>
      <c r="H31" s="56">
        <v>100</v>
      </c>
      <c r="I31" s="55" t="s">
        <v>2</v>
      </c>
      <c r="J31" s="56" t="s">
        <v>2</v>
      </c>
      <c r="K31" s="55">
        <v>10</v>
      </c>
      <c r="L31" s="56">
        <v>98</v>
      </c>
      <c r="M31" s="55">
        <v>9</v>
      </c>
      <c r="N31" s="56">
        <v>100</v>
      </c>
      <c r="O31" s="55">
        <v>10</v>
      </c>
      <c r="P31" s="56">
        <v>98</v>
      </c>
      <c r="Q31" s="55">
        <v>10</v>
      </c>
      <c r="R31" s="56">
        <v>100</v>
      </c>
      <c r="S31" s="55">
        <v>6</v>
      </c>
      <c r="T31" s="56">
        <v>108</v>
      </c>
      <c r="U31" s="55">
        <v>6</v>
      </c>
      <c r="V31" s="56">
        <v>90</v>
      </c>
      <c r="W31" s="55">
        <v>5</v>
      </c>
      <c r="X31" s="56">
        <v>100</v>
      </c>
      <c r="Y31" s="55">
        <v>11</v>
      </c>
      <c r="Z31" s="56">
        <v>115</v>
      </c>
      <c r="AA31" s="55">
        <v>7</v>
      </c>
      <c r="AB31" s="56">
        <v>100</v>
      </c>
      <c r="AC31" s="55" t="s">
        <v>2</v>
      </c>
      <c r="AD31" s="56" t="s">
        <v>2</v>
      </c>
      <c r="AE31" s="55">
        <v>6</v>
      </c>
      <c r="AF31" s="56">
        <v>105</v>
      </c>
      <c r="AG31" s="55">
        <v>12</v>
      </c>
      <c r="AH31" s="56">
        <v>110</v>
      </c>
      <c r="AI31" s="55">
        <v>12</v>
      </c>
      <c r="AJ31" s="56">
        <v>120</v>
      </c>
      <c r="AK31" s="55" t="s">
        <v>2</v>
      </c>
      <c r="AL31" s="56" t="s">
        <v>2</v>
      </c>
      <c r="AM31" s="55">
        <v>8</v>
      </c>
      <c r="AN31" s="56">
        <v>110</v>
      </c>
      <c r="AO31" s="55">
        <v>10</v>
      </c>
      <c r="AP31" s="56">
        <v>123</v>
      </c>
      <c r="AQ31" s="55">
        <v>9</v>
      </c>
      <c r="AR31" s="56">
        <v>120</v>
      </c>
      <c r="AS31" s="55">
        <v>7</v>
      </c>
      <c r="AT31" s="56">
        <v>120</v>
      </c>
      <c r="AU31" s="55">
        <v>10</v>
      </c>
      <c r="AV31" s="56">
        <v>118</v>
      </c>
      <c r="AW31" s="55">
        <v>8</v>
      </c>
      <c r="AX31" s="56">
        <v>130</v>
      </c>
      <c r="AY31" s="55">
        <v>9</v>
      </c>
      <c r="AZ31" s="56">
        <v>115</v>
      </c>
      <c r="BA31" s="55">
        <v>7</v>
      </c>
      <c r="BB31" s="56">
        <v>140</v>
      </c>
      <c r="BC31" s="55">
        <v>9</v>
      </c>
      <c r="BD31" s="56">
        <v>130</v>
      </c>
      <c r="BE31" s="55">
        <v>12</v>
      </c>
      <c r="BF31" s="56">
        <v>127</v>
      </c>
      <c r="BG31" s="55">
        <v>9</v>
      </c>
      <c r="BH31" s="56">
        <v>140</v>
      </c>
      <c r="BI31" s="55">
        <v>5</v>
      </c>
      <c r="BJ31" s="56">
        <v>129</v>
      </c>
      <c r="BK31" s="55">
        <v>9</v>
      </c>
      <c r="BL31" s="56">
        <v>120</v>
      </c>
      <c r="BM31" s="55">
        <v>11</v>
      </c>
      <c r="BN31" s="56">
        <v>140</v>
      </c>
      <c r="BO31" s="55">
        <v>10</v>
      </c>
      <c r="BP31" s="56">
        <v>138</v>
      </c>
      <c r="BQ31" s="55">
        <v>7</v>
      </c>
      <c r="BR31" s="56">
        <v>140</v>
      </c>
      <c r="BS31" s="55">
        <v>12</v>
      </c>
      <c r="BT31" s="56">
        <v>145</v>
      </c>
      <c r="BU31" s="55">
        <v>5</v>
      </c>
      <c r="BV31" s="56">
        <v>130</v>
      </c>
      <c r="BW31" s="55">
        <v>11</v>
      </c>
      <c r="BX31" s="56">
        <v>140</v>
      </c>
      <c r="BY31" s="55">
        <v>7</v>
      </c>
      <c r="BZ31" s="56">
        <v>140</v>
      </c>
      <c r="CA31" s="55">
        <v>10</v>
      </c>
      <c r="CB31" s="56">
        <v>148</v>
      </c>
      <c r="CC31" s="55">
        <v>10</v>
      </c>
      <c r="CD31" s="56">
        <v>145</v>
      </c>
      <c r="CE31" s="55">
        <v>6</v>
      </c>
      <c r="CF31" s="56">
        <v>168</v>
      </c>
      <c r="CG31" s="55">
        <v>10</v>
      </c>
      <c r="CH31" s="56">
        <v>145</v>
      </c>
      <c r="CI31" s="55">
        <v>11</v>
      </c>
      <c r="CJ31" s="56">
        <v>150</v>
      </c>
      <c r="CK31" s="55" t="s">
        <v>2</v>
      </c>
      <c r="CL31" s="56" t="s">
        <v>2</v>
      </c>
      <c r="CM31" s="55">
        <v>8</v>
      </c>
      <c r="CN31" s="56">
        <v>148</v>
      </c>
      <c r="CO31" s="55">
        <v>7</v>
      </c>
      <c r="CP31" s="56">
        <v>175</v>
      </c>
      <c r="CQ31" s="55">
        <v>9</v>
      </c>
      <c r="CR31" s="56">
        <v>160</v>
      </c>
      <c r="CS31" s="55">
        <v>7</v>
      </c>
      <c r="CT31" s="56">
        <v>170</v>
      </c>
      <c r="CU31" s="55" t="s">
        <v>2</v>
      </c>
      <c r="CV31" s="56" t="s">
        <v>2</v>
      </c>
      <c r="CW31" s="55">
        <v>13</v>
      </c>
      <c r="CX31" s="56">
        <v>160</v>
      </c>
      <c r="CY31" s="55">
        <v>7</v>
      </c>
      <c r="CZ31" s="56">
        <v>175</v>
      </c>
      <c r="DA31" s="55">
        <v>8</v>
      </c>
      <c r="DB31" s="56">
        <v>190</v>
      </c>
      <c r="DC31" s="55">
        <v>7</v>
      </c>
      <c r="DD31" s="56">
        <v>195</v>
      </c>
      <c r="DE31" s="55">
        <v>6</v>
      </c>
      <c r="DF31" s="56">
        <v>165</v>
      </c>
      <c r="DG31" s="55">
        <v>9</v>
      </c>
      <c r="DH31" s="56">
        <v>175</v>
      </c>
      <c r="DI31" s="55">
        <v>11</v>
      </c>
      <c r="DJ31" s="56">
        <v>190</v>
      </c>
      <c r="DK31" s="55">
        <v>12</v>
      </c>
      <c r="DL31" s="56">
        <v>183</v>
      </c>
      <c r="DM31" s="55">
        <v>7</v>
      </c>
      <c r="DN31" s="56">
        <v>185</v>
      </c>
      <c r="DO31" s="55">
        <v>7</v>
      </c>
      <c r="DP31" s="56">
        <v>165</v>
      </c>
      <c r="DQ31" s="55">
        <v>10</v>
      </c>
      <c r="DR31" s="56">
        <v>183</v>
      </c>
      <c r="DS31" s="55">
        <v>8</v>
      </c>
      <c r="DT31" s="56">
        <v>180</v>
      </c>
      <c r="DU31" s="55">
        <v>6</v>
      </c>
      <c r="DV31" s="56">
        <v>168</v>
      </c>
      <c r="DW31" s="55">
        <v>8</v>
      </c>
      <c r="DX31" s="56">
        <v>200</v>
      </c>
      <c r="DY31" s="55">
        <v>10</v>
      </c>
      <c r="DZ31" s="56">
        <v>175</v>
      </c>
      <c r="EA31" s="55">
        <v>7</v>
      </c>
      <c r="EB31" s="56">
        <v>180</v>
      </c>
      <c r="EC31" s="55">
        <v>9</v>
      </c>
      <c r="ED31" s="56">
        <v>190</v>
      </c>
      <c r="EE31" s="55">
        <v>13</v>
      </c>
      <c r="EF31" s="56">
        <v>200</v>
      </c>
      <c r="EG31" s="55">
        <v>9</v>
      </c>
      <c r="EH31" s="56">
        <v>190</v>
      </c>
      <c r="EI31" s="55">
        <v>8</v>
      </c>
      <c r="EJ31" s="56">
        <v>188</v>
      </c>
      <c r="EK31" s="55">
        <v>9</v>
      </c>
      <c r="EL31" s="56">
        <v>200</v>
      </c>
      <c r="EM31" s="55" t="s">
        <v>2</v>
      </c>
      <c r="EN31" s="56" t="s">
        <v>2</v>
      </c>
      <c r="EO31" s="55">
        <v>8</v>
      </c>
      <c r="EP31" s="56">
        <v>193</v>
      </c>
      <c r="EQ31" s="55">
        <v>8</v>
      </c>
      <c r="ER31" s="56">
        <v>215</v>
      </c>
      <c r="ES31" s="55">
        <v>7</v>
      </c>
      <c r="ET31" s="56">
        <v>190</v>
      </c>
      <c r="EU31" s="55">
        <v>9</v>
      </c>
      <c r="EV31" s="56">
        <v>180</v>
      </c>
      <c r="EW31" s="55">
        <v>8</v>
      </c>
      <c r="EX31" s="56">
        <v>220</v>
      </c>
      <c r="EY31" s="55">
        <v>9</v>
      </c>
      <c r="EZ31" s="56">
        <v>200</v>
      </c>
      <c r="FA31" s="55">
        <v>10</v>
      </c>
      <c r="FB31" s="56">
        <v>235</v>
      </c>
      <c r="FC31" s="55">
        <v>7</v>
      </c>
      <c r="FD31" s="56">
        <v>230</v>
      </c>
      <c r="FE31" s="55">
        <v>12</v>
      </c>
      <c r="FF31" s="56">
        <v>208</v>
      </c>
      <c r="FG31" s="55">
        <v>10</v>
      </c>
      <c r="FH31" s="56">
        <v>210</v>
      </c>
      <c r="FI31" s="55">
        <v>7</v>
      </c>
      <c r="FJ31" s="56">
        <v>250</v>
      </c>
      <c r="FK31" s="55">
        <v>6</v>
      </c>
      <c r="FL31" s="56">
        <v>270</v>
      </c>
      <c r="FM31" s="55">
        <v>10</v>
      </c>
      <c r="FN31" s="56">
        <v>215</v>
      </c>
      <c r="FO31" s="55">
        <v>6</v>
      </c>
      <c r="FP31" s="56">
        <v>250</v>
      </c>
      <c r="FQ31" s="55">
        <v>10</v>
      </c>
      <c r="FR31" s="56">
        <v>260</v>
      </c>
      <c r="FS31" s="55" t="s">
        <v>2</v>
      </c>
      <c r="FT31" s="56" t="s">
        <v>2</v>
      </c>
      <c r="FU31" s="55" t="s">
        <v>2</v>
      </c>
      <c r="FV31" s="56" t="s">
        <v>2</v>
      </c>
      <c r="FW31" s="55" t="s">
        <v>2</v>
      </c>
      <c r="FX31" s="56" t="s">
        <v>2</v>
      </c>
      <c r="FY31" s="55">
        <v>6</v>
      </c>
      <c r="FZ31" s="56">
        <v>290</v>
      </c>
      <c r="GA31" s="55">
        <v>6</v>
      </c>
      <c r="GB31" s="56">
        <v>285</v>
      </c>
      <c r="GC31" s="55" t="s">
        <v>2</v>
      </c>
      <c r="GD31" s="56" t="s">
        <v>2</v>
      </c>
      <c r="GE31" s="55" t="s">
        <v>2</v>
      </c>
      <c r="GF31" s="56" t="s">
        <v>2</v>
      </c>
      <c r="GG31" s="55" t="s">
        <v>2</v>
      </c>
      <c r="GH31" s="56" t="s">
        <v>2</v>
      </c>
      <c r="GI31" s="55" t="s">
        <v>2</v>
      </c>
      <c r="GJ31" s="56" t="s">
        <v>2</v>
      </c>
      <c r="GK31" s="55">
        <v>6</v>
      </c>
      <c r="GL31" s="56">
        <v>300</v>
      </c>
      <c r="GM31" s="55">
        <v>5</v>
      </c>
      <c r="GN31" s="56">
        <v>330</v>
      </c>
      <c r="GO31" s="55">
        <v>6</v>
      </c>
      <c r="GP31" s="56">
        <v>393</v>
      </c>
      <c r="GQ31" s="55">
        <v>6</v>
      </c>
      <c r="GR31" s="56">
        <v>400</v>
      </c>
      <c r="GS31" s="55">
        <v>7</v>
      </c>
      <c r="GT31" s="56">
        <v>350</v>
      </c>
      <c r="GU31" s="55" t="s">
        <v>2</v>
      </c>
      <c r="GV31" s="56" t="s">
        <v>2</v>
      </c>
      <c r="GW31" s="55">
        <v>6</v>
      </c>
      <c r="GX31" s="56">
        <v>310</v>
      </c>
      <c r="GY31" s="55" t="s">
        <v>2</v>
      </c>
      <c r="GZ31" s="56" t="s">
        <v>2</v>
      </c>
      <c r="HA31" t="s">
        <v>2</v>
      </c>
      <c r="HB31" s="56" t="s">
        <v>2</v>
      </c>
      <c r="HC31">
        <v>6</v>
      </c>
      <c r="HD31" s="56">
        <v>350</v>
      </c>
      <c r="HE31" t="s">
        <v>2</v>
      </c>
      <c r="HF31" s="56" t="s">
        <v>2</v>
      </c>
    </row>
    <row r="32" spans="1:214" x14ac:dyDescent="0.25">
      <c r="A32" s="53"/>
      <c r="B32" s="54" t="s">
        <v>772</v>
      </c>
      <c r="C32" s="55">
        <v>58</v>
      </c>
      <c r="D32" s="56">
        <v>150</v>
      </c>
      <c r="E32" s="55">
        <v>78</v>
      </c>
      <c r="F32" s="56">
        <v>150</v>
      </c>
      <c r="G32" s="55">
        <v>53</v>
      </c>
      <c r="H32" s="56">
        <v>160</v>
      </c>
      <c r="I32" s="55">
        <v>62</v>
      </c>
      <c r="J32" s="56">
        <v>150</v>
      </c>
      <c r="K32" s="55">
        <v>63</v>
      </c>
      <c r="L32" s="56">
        <v>160</v>
      </c>
      <c r="M32" s="55">
        <v>62</v>
      </c>
      <c r="N32" s="56">
        <v>172</v>
      </c>
      <c r="O32" s="55">
        <v>64</v>
      </c>
      <c r="P32" s="56">
        <v>173</v>
      </c>
      <c r="Q32" s="55">
        <v>69</v>
      </c>
      <c r="R32" s="56">
        <v>175</v>
      </c>
      <c r="S32" s="55">
        <v>55</v>
      </c>
      <c r="T32" s="56">
        <v>165</v>
      </c>
      <c r="U32" s="55">
        <v>78</v>
      </c>
      <c r="V32" s="56">
        <v>180</v>
      </c>
      <c r="W32" s="55">
        <v>69</v>
      </c>
      <c r="X32" s="56">
        <v>165</v>
      </c>
      <c r="Y32" s="55">
        <v>62</v>
      </c>
      <c r="Z32" s="56">
        <v>180</v>
      </c>
      <c r="AA32" s="55">
        <v>78</v>
      </c>
      <c r="AB32" s="56">
        <v>180</v>
      </c>
      <c r="AC32" s="55">
        <v>71</v>
      </c>
      <c r="AD32" s="56">
        <v>180</v>
      </c>
      <c r="AE32" s="55">
        <v>72</v>
      </c>
      <c r="AF32" s="56">
        <v>180</v>
      </c>
      <c r="AG32" s="55">
        <v>85</v>
      </c>
      <c r="AH32" s="56">
        <v>190</v>
      </c>
      <c r="AI32" s="55">
        <v>80</v>
      </c>
      <c r="AJ32" s="56">
        <v>198</v>
      </c>
      <c r="AK32" s="55">
        <v>92</v>
      </c>
      <c r="AL32" s="56">
        <v>200</v>
      </c>
      <c r="AM32" s="55">
        <v>84</v>
      </c>
      <c r="AN32" s="56">
        <v>205</v>
      </c>
      <c r="AO32" s="55">
        <v>94</v>
      </c>
      <c r="AP32" s="56">
        <v>203</v>
      </c>
      <c r="AQ32" s="55">
        <v>71</v>
      </c>
      <c r="AR32" s="56">
        <v>200</v>
      </c>
      <c r="AS32" s="55">
        <v>98</v>
      </c>
      <c r="AT32" s="56">
        <v>200</v>
      </c>
      <c r="AU32" s="55">
        <v>73</v>
      </c>
      <c r="AV32" s="56">
        <v>205</v>
      </c>
      <c r="AW32" s="55">
        <v>82</v>
      </c>
      <c r="AX32" s="56">
        <v>200</v>
      </c>
      <c r="AY32" s="55">
        <v>87</v>
      </c>
      <c r="AZ32" s="56">
        <v>210</v>
      </c>
      <c r="BA32" s="55">
        <v>96</v>
      </c>
      <c r="BB32" s="56">
        <v>203</v>
      </c>
      <c r="BC32" s="55">
        <v>89</v>
      </c>
      <c r="BD32" s="56">
        <v>220</v>
      </c>
      <c r="BE32" s="55">
        <v>93</v>
      </c>
      <c r="BF32" s="56">
        <v>210</v>
      </c>
      <c r="BG32" s="55">
        <v>87</v>
      </c>
      <c r="BH32" s="56">
        <v>220</v>
      </c>
      <c r="BI32" s="55">
        <v>93</v>
      </c>
      <c r="BJ32" s="56">
        <v>217</v>
      </c>
      <c r="BK32" s="55">
        <v>78</v>
      </c>
      <c r="BL32" s="56">
        <v>215</v>
      </c>
      <c r="BM32" s="55">
        <v>87</v>
      </c>
      <c r="BN32" s="56">
        <v>220</v>
      </c>
      <c r="BO32" s="55">
        <v>88</v>
      </c>
      <c r="BP32" s="56">
        <v>230</v>
      </c>
      <c r="BQ32" s="55">
        <v>84</v>
      </c>
      <c r="BR32" s="56">
        <v>223</v>
      </c>
      <c r="BS32" s="55">
        <v>87</v>
      </c>
      <c r="BT32" s="56">
        <v>230</v>
      </c>
      <c r="BU32" s="55">
        <v>86</v>
      </c>
      <c r="BV32" s="56">
        <v>235</v>
      </c>
      <c r="BW32" s="55">
        <v>86</v>
      </c>
      <c r="BX32" s="56">
        <v>248</v>
      </c>
      <c r="BY32" s="55">
        <v>80</v>
      </c>
      <c r="BZ32" s="56">
        <v>250</v>
      </c>
      <c r="CA32" s="55">
        <v>83</v>
      </c>
      <c r="CB32" s="56">
        <v>255</v>
      </c>
      <c r="CC32" s="55">
        <v>100</v>
      </c>
      <c r="CD32" s="56">
        <v>265</v>
      </c>
      <c r="CE32" s="55">
        <v>86</v>
      </c>
      <c r="CF32" s="56">
        <v>263</v>
      </c>
      <c r="CG32" s="55">
        <v>97</v>
      </c>
      <c r="CH32" s="56">
        <v>270</v>
      </c>
      <c r="CI32" s="55">
        <v>78</v>
      </c>
      <c r="CJ32" s="56">
        <v>280</v>
      </c>
      <c r="CK32" s="55">
        <v>91</v>
      </c>
      <c r="CL32" s="56">
        <v>280</v>
      </c>
      <c r="CM32" s="55">
        <v>64</v>
      </c>
      <c r="CN32" s="56">
        <v>295</v>
      </c>
      <c r="CO32" s="55">
        <v>80</v>
      </c>
      <c r="CP32" s="56">
        <v>300</v>
      </c>
      <c r="CQ32" s="55">
        <v>80</v>
      </c>
      <c r="CR32" s="56">
        <v>323</v>
      </c>
      <c r="CS32" s="55">
        <v>95</v>
      </c>
      <c r="CT32" s="56">
        <v>320</v>
      </c>
      <c r="CU32" s="55">
        <v>65</v>
      </c>
      <c r="CV32" s="56">
        <v>320</v>
      </c>
      <c r="CW32" s="55">
        <v>82</v>
      </c>
      <c r="CX32" s="56">
        <v>333</v>
      </c>
      <c r="CY32" s="55">
        <v>91</v>
      </c>
      <c r="CZ32" s="56">
        <v>320</v>
      </c>
      <c r="DA32" s="55">
        <v>66</v>
      </c>
      <c r="DB32" s="56">
        <v>329</v>
      </c>
      <c r="DC32" s="55">
        <v>77</v>
      </c>
      <c r="DD32" s="56">
        <v>320</v>
      </c>
      <c r="DE32" s="55">
        <v>91</v>
      </c>
      <c r="DF32" s="56">
        <v>340</v>
      </c>
      <c r="DG32" s="55">
        <v>86</v>
      </c>
      <c r="DH32" s="56">
        <v>340</v>
      </c>
      <c r="DI32" s="55">
        <v>103</v>
      </c>
      <c r="DJ32" s="56">
        <v>350</v>
      </c>
      <c r="DK32" s="55">
        <v>102</v>
      </c>
      <c r="DL32" s="56">
        <v>333</v>
      </c>
      <c r="DM32" s="55">
        <v>79</v>
      </c>
      <c r="DN32" s="56">
        <v>350</v>
      </c>
      <c r="DO32" s="55">
        <v>96</v>
      </c>
      <c r="DP32" s="56">
        <v>350</v>
      </c>
      <c r="DQ32" s="55">
        <v>79</v>
      </c>
      <c r="DR32" s="56">
        <v>350</v>
      </c>
      <c r="DS32" s="55">
        <v>91</v>
      </c>
      <c r="DT32" s="56">
        <v>330</v>
      </c>
      <c r="DU32" s="55">
        <v>101</v>
      </c>
      <c r="DV32" s="56">
        <v>350</v>
      </c>
      <c r="DW32" s="55">
        <v>86</v>
      </c>
      <c r="DX32" s="56">
        <v>350</v>
      </c>
      <c r="DY32" s="55">
        <v>82</v>
      </c>
      <c r="DZ32" s="56">
        <v>350</v>
      </c>
      <c r="EA32" s="55">
        <v>90</v>
      </c>
      <c r="EB32" s="56">
        <v>378</v>
      </c>
      <c r="EC32" s="55">
        <v>100</v>
      </c>
      <c r="ED32" s="56">
        <v>360</v>
      </c>
      <c r="EE32" s="55">
        <v>96</v>
      </c>
      <c r="EF32" s="56">
        <v>365</v>
      </c>
      <c r="EG32" s="55">
        <v>91</v>
      </c>
      <c r="EH32" s="56">
        <v>360</v>
      </c>
      <c r="EI32" s="55">
        <v>96</v>
      </c>
      <c r="EJ32" s="56">
        <v>373</v>
      </c>
      <c r="EK32" s="55">
        <v>87</v>
      </c>
      <c r="EL32" s="56">
        <v>350</v>
      </c>
      <c r="EM32" s="55">
        <v>75</v>
      </c>
      <c r="EN32" s="56">
        <v>360</v>
      </c>
      <c r="EO32" s="55">
        <v>87</v>
      </c>
      <c r="EP32" s="56">
        <v>380</v>
      </c>
      <c r="EQ32" s="55">
        <v>70</v>
      </c>
      <c r="ER32" s="56">
        <v>380</v>
      </c>
      <c r="ES32" s="55">
        <v>92</v>
      </c>
      <c r="ET32" s="56">
        <v>380</v>
      </c>
      <c r="EU32" s="55">
        <v>64</v>
      </c>
      <c r="EV32" s="56">
        <v>380</v>
      </c>
      <c r="EW32" s="55">
        <v>78</v>
      </c>
      <c r="EX32" s="56">
        <v>420</v>
      </c>
      <c r="EY32" s="55">
        <v>68</v>
      </c>
      <c r="EZ32" s="56">
        <v>410</v>
      </c>
      <c r="FA32" s="55">
        <v>71</v>
      </c>
      <c r="FB32" s="56">
        <v>400</v>
      </c>
      <c r="FC32" s="55">
        <v>68</v>
      </c>
      <c r="FD32" s="56">
        <v>420</v>
      </c>
      <c r="FE32" s="55">
        <v>65</v>
      </c>
      <c r="FF32" s="56">
        <v>430</v>
      </c>
      <c r="FG32" s="55">
        <v>56</v>
      </c>
      <c r="FH32" s="56">
        <v>450</v>
      </c>
      <c r="FI32" s="55">
        <v>69</v>
      </c>
      <c r="FJ32" s="56">
        <v>400</v>
      </c>
      <c r="FK32" s="55">
        <v>72</v>
      </c>
      <c r="FL32" s="56">
        <v>415</v>
      </c>
      <c r="FM32" s="55">
        <v>75</v>
      </c>
      <c r="FN32" s="56">
        <v>430</v>
      </c>
      <c r="FO32" s="55">
        <v>58</v>
      </c>
      <c r="FP32" s="56">
        <v>425</v>
      </c>
      <c r="FQ32" s="55">
        <v>56</v>
      </c>
      <c r="FR32" s="56">
        <v>434</v>
      </c>
      <c r="FS32" s="55">
        <v>65</v>
      </c>
      <c r="FT32" s="56">
        <v>440</v>
      </c>
      <c r="FU32" s="55">
        <v>62</v>
      </c>
      <c r="FV32" s="56">
        <v>450</v>
      </c>
      <c r="FW32" s="55">
        <v>55</v>
      </c>
      <c r="FX32" s="56">
        <v>450</v>
      </c>
      <c r="FY32" s="55">
        <v>43</v>
      </c>
      <c r="FZ32" s="56">
        <v>460</v>
      </c>
      <c r="GA32" s="55">
        <v>54</v>
      </c>
      <c r="GB32" s="56">
        <v>463</v>
      </c>
      <c r="GC32" s="55">
        <v>58</v>
      </c>
      <c r="GD32" s="56">
        <v>480</v>
      </c>
      <c r="GE32" s="55">
        <v>55</v>
      </c>
      <c r="GF32" s="56">
        <v>480</v>
      </c>
      <c r="GG32" s="55">
        <v>65</v>
      </c>
      <c r="GH32" s="56">
        <v>485</v>
      </c>
      <c r="GI32" s="55">
        <v>55</v>
      </c>
      <c r="GJ32" s="56">
        <v>490</v>
      </c>
      <c r="GK32" s="55">
        <v>55</v>
      </c>
      <c r="GL32" s="56">
        <v>490</v>
      </c>
      <c r="GM32" s="55">
        <v>71</v>
      </c>
      <c r="GN32" s="56">
        <v>520</v>
      </c>
      <c r="GO32" s="55">
        <v>54</v>
      </c>
      <c r="GP32" s="56">
        <v>493</v>
      </c>
      <c r="GQ32" s="55">
        <v>42</v>
      </c>
      <c r="GR32" s="56">
        <v>500</v>
      </c>
      <c r="GS32" s="55">
        <v>44</v>
      </c>
      <c r="GT32" s="56">
        <v>538</v>
      </c>
      <c r="GU32" s="55">
        <v>64</v>
      </c>
      <c r="GV32" s="56">
        <v>545</v>
      </c>
      <c r="GW32" s="55">
        <v>60</v>
      </c>
      <c r="GX32" s="56">
        <v>540</v>
      </c>
      <c r="GY32" s="55">
        <v>54</v>
      </c>
      <c r="GZ32" s="56">
        <v>533</v>
      </c>
      <c r="HA32">
        <v>54</v>
      </c>
      <c r="HB32" s="56">
        <v>540</v>
      </c>
      <c r="HC32">
        <v>65</v>
      </c>
      <c r="HD32" s="56">
        <v>550</v>
      </c>
      <c r="HE32">
        <v>52</v>
      </c>
      <c r="HF32" s="56">
        <v>580</v>
      </c>
    </row>
    <row r="33" spans="1:214" x14ac:dyDescent="0.25">
      <c r="A33" s="53"/>
      <c r="B33" s="54" t="s">
        <v>773</v>
      </c>
      <c r="C33" s="55">
        <v>133</v>
      </c>
      <c r="D33" s="56">
        <v>150</v>
      </c>
      <c r="E33" s="55">
        <v>106</v>
      </c>
      <c r="F33" s="56">
        <v>155</v>
      </c>
      <c r="G33" s="55">
        <v>113</v>
      </c>
      <c r="H33" s="56">
        <v>165</v>
      </c>
      <c r="I33" s="55">
        <v>136</v>
      </c>
      <c r="J33" s="56">
        <v>160</v>
      </c>
      <c r="K33" s="55">
        <v>139</v>
      </c>
      <c r="L33" s="56">
        <v>160</v>
      </c>
      <c r="M33" s="55">
        <v>147</v>
      </c>
      <c r="N33" s="56">
        <v>160</v>
      </c>
      <c r="O33" s="55">
        <v>140</v>
      </c>
      <c r="P33" s="56">
        <v>175</v>
      </c>
      <c r="Q33" s="55">
        <v>155</v>
      </c>
      <c r="R33" s="56">
        <v>170</v>
      </c>
      <c r="S33" s="55">
        <v>140</v>
      </c>
      <c r="T33" s="56">
        <v>170</v>
      </c>
      <c r="U33" s="55">
        <v>121</v>
      </c>
      <c r="V33" s="56">
        <v>165</v>
      </c>
      <c r="W33" s="55">
        <v>143</v>
      </c>
      <c r="X33" s="56">
        <v>170</v>
      </c>
      <c r="Y33" s="55">
        <v>162</v>
      </c>
      <c r="Z33" s="56">
        <v>175</v>
      </c>
      <c r="AA33" s="55">
        <v>149</v>
      </c>
      <c r="AB33" s="56">
        <v>180</v>
      </c>
      <c r="AC33" s="55">
        <v>145</v>
      </c>
      <c r="AD33" s="56">
        <v>180</v>
      </c>
      <c r="AE33" s="55">
        <v>148</v>
      </c>
      <c r="AF33" s="56">
        <v>180</v>
      </c>
      <c r="AG33" s="55">
        <v>172</v>
      </c>
      <c r="AH33" s="56">
        <v>180</v>
      </c>
      <c r="AI33" s="55">
        <v>154</v>
      </c>
      <c r="AJ33" s="56">
        <v>180</v>
      </c>
      <c r="AK33" s="55">
        <v>146</v>
      </c>
      <c r="AL33" s="56">
        <v>180</v>
      </c>
      <c r="AM33" s="55">
        <v>145</v>
      </c>
      <c r="AN33" s="56">
        <v>180</v>
      </c>
      <c r="AO33" s="55">
        <v>173</v>
      </c>
      <c r="AP33" s="56">
        <v>190</v>
      </c>
      <c r="AQ33" s="55">
        <v>145</v>
      </c>
      <c r="AR33" s="56">
        <v>190</v>
      </c>
      <c r="AS33" s="55">
        <v>161</v>
      </c>
      <c r="AT33" s="56">
        <v>190</v>
      </c>
      <c r="AU33" s="55">
        <v>170</v>
      </c>
      <c r="AV33" s="56">
        <v>188</v>
      </c>
      <c r="AW33" s="55">
        <v>177</v>
      </c>
      <c r="AX33" s="56">
        <v>195</v>
      </c>
      <c r="AY33" s="55">
        <v>160</v>
      </c>
      <c r="AZ33" s="56">
        <v>195</v>
      </c>
      <c r="BA33" s="55">
        <v>167</v>
      </c>
      <c r="BB33" s="56">
        <v>200</v>
      </c>
      <c r="BC33" s="55">
        <v>147</v>
      </c>
      <c r="BD33" s="56">
        <v>195</v>
      </c>
      <c r="BE33" s="55">
        <v>183</v>
      </c>
      <c r="BF33" s="56">
        <v>200</v>
      </c>
      <c r="BG33" s="55">
        <v>159</v>
      </c>
      <c r="BH33" s="56">
        <v>195</v>
      </c>
      <c r="BI33" s="55">
        <v>184</v>
      </c>
      <c r="BJ33" s="56">
        <v>200</v>
      </c>
      <c r="BK33" s="55">
        <v>168</v>
      </c>
      <c r="BL33" s="56">
        <v>200</v>
      </c>
      <c r="BM33" s="55">
        <v>198</v>
      </c>
      <c r="BN33" s="56">
        <v>210</v>
      </c>
      <c r="BO33" s="55">
        <v>173</v>
      </c>
      <c r="BP33" s="56">
        <v>220</v>
      </c>
      <c r="BQ33" s="55">
        <v>189</v>
      </c>
      <c r="BR33" s="56">
        <v>210</v>
      </c>
      <c r="BS33" s="55">
        <v>161</v>
      </c>
      <c r="BT33" s="56">
        <v>210</v>
      </c>
      <c r="BU33" s="55">
        <v>212</v>
      </c>
      <c r="BV33" s="56">
        <v>210</v>
      </c>
      <c r="BW33" s="55">
        <v>225</v>
      </c>
      <c r="BX33" s="56">
        <v>210</v>
      </c>
      <c r="BY33" s="55">
        <v>215</v>
      </c>
      <c r="BZ33" s="56">
        <v>205</v>
      </c>
      <c r="CA33" s="55">
        <v>199</v>
      </c>
      <c r="CB33" s="56">
        <v>210</v>
      </c>
      <c r="CC33" s="55">
        <v>234</v>
      </c>
      <c r="CD33" s="56">
        <v>220</v>
      </c>
      <c r="CE33" s="55">
        <v>193</v>
      </c>
      <c r="CF33" s="56">
        <v>210</v>
      </c>
      <c r="CG33" s="55">
        <v>193</v>
      </c>
      <c r="CH33" s="56">
        <v>220</v>
      </c>
      <c r="CI33" s="55">
        <v>212</v>
      </c>
      <c r="CJ33" s="56">
        <v>218</v>
      </c>
      <c r="CK33" s="55">
        <v>210</v>
      </c>
      <c r="CL33" s="56">
        <v>220</v>
      </c>
      <c r="CM33" s="55">
        <v>209</v>
      </c>
      <c r="CN33" s="56">
        <v>220</v>
      </c>
      <c r="CO33" s="55">
        <v>210</v>
      </c>
      <c r="CP33" s="56">
        <v>230</v>
      </c>
      <c r="CQ33" s="55">
        <v>228</v>
      </c>
      <c r="CR33" s="56">
        <v>230</v>
      </c>
      <c r="CS33" s="55">
        <v>218</v>
      </c>
      <c r="CT33" s="56">
        <v>230</v>
      </c>
      <c r="CU33" s="55">
        <v>186</v>
      </c>
      <c r="CV33" s="56">
        <v>235</v>
      </c>
      <c r="CW33" s="55">
        <v>220</v>
      </c>
      <c r="CX33" s="56">
        <v>250</v>
      </c>
      <c r="CY33" s="55">
        <v>197</v>
      </c>
      <c r="CZ33" s="56">
        <v>240</v>
      </c>
      <c r="DA33" s="55">
        <v>243</v>
      </c>
      <c r="DB33" s="56">
        <v>250</v>
      </c>
      <c r="DC33" s="55">
        <v>195</v>
      </c>
      <c r="DD33" s="56">
        <v>240</v>
      </c>
      <c r="DE33" s="55">
        <v>195</v>
      </c>
      <c r="DF33" s="56">
        <v>250</v>
      </c>
      <c r="DG33" s="55">
        <v>184</v>
      </c>
      <c r="DH33" s="56">
        <v>250</v>
      </c>
      <c r="DI33" s="55">
        <v>185</v>
      </c>
      <c r="DJ33" s="56">
        <v>250</v>
      </c>
      <c r="DK33" s="55">
        <v>188</v>
      </c>
      <c r="DL33" s="56">
        <v>250</v>
      </c>
      <c r="DM33" s="55">
        <v>208</v>
      </c>
      <c r="DN33" s="56">
        <v>260</v>
      </c>
      <c r="DO33" s="55">
        <v>174</v>
      </c>
      <c r="DP33" s="56">
        <v>257</v>
      </c>
      <c r="DQ33" s="55">
        <v>190</v>
      </c>
      <c r="DR33" s="56">
        <v>260</v>
      </c>
      <c r="DS33" s="55">
        <v>173</v>
      </c>
      <c r="DT33" s="56">
        <v>270</v>
      </c>
      <c r="DU33" s="55">
        <v>204</v>
      </c>
      <c r="DV33" s="56">
        <v>263</v>
      </c>
      <c r="DW33" s="55">
        <v>196</v>
      </c>
      <c r="DX33" s="56">
        <v>260</v>
      </c>
      <c r="DY33" s="55">
        <v>202</v>
      </c>
      <c r="DZ33" s="56">
        <v>265</v>
      </c>
      <c r="EA33" s="55">
        <v>190</v>
      </c>
      <c r="EB33" s="56">
        <v>270</v>
      </c>
      <c r="EC33" s="55">
        <v>202</v>
      </c>
      <c r="ED33" s="56">
        <v>280</v>
      </c>
      <c r="EE33" s="55">
        <v>180</v>
      </c>
      <c r="EF33" s="56">
        <v>280</v>
      </c>
      <c r="EG33" s="55">
        <v>219</v>
      </c>
      <c r="EH33" s="56">
        <v>285</v>
      </c>
      <c r="EI33" s="55">
        <v>209</v>
      </c>
      <c r="EJ33" s="56">
        <v>280</v>
      </c>
      <c r="EK33" s="55">
        <v>245</v>
      </c>
      <c r="EL33" s="56">
        <v>290</v>
      </c>
      <c r="EM33" s="55">
        <v>221</v>
      </c>
      <c r="EN33" s="56">
        <v>290</v>
      </c>
      <c r="EO33" s="55">
        <v>201</v>
      </c>
      <c r="EP33" s="56">
        <v>300</v>
      </c>
      <c r="EQ33" s="55">
        <v>180</v>
      </c>
      <c r="ER33" s="56">
        <v>290</v>
      </c>
      <c r="ES33" s="55">
        <v>221</v>
      </c>
      <c r="ET33" s="56">
        <v>295</v>
      </c>
      <c r="EU33" s="55">
        <v>197</v>
      </c>
      <c r="EV33" s="56">
        <v>290</v>
      </c>
      <c r="EW33" s="55">
        <v>201</v>
      </c>
      <c r="EX33" s="56">
        <v>300</v>
      </c>
      <c r="EY33" s="55">
        <v>190</v>
      </c>
      <c r="EZ33" s="56">
        <v>310</v>
      </c>
      <c r="FA33" s="55">
        <v>169</v>
      </c>
      <c r="FB33" s="56">
        <v>305</v>
      </c>
      <c r="FC33" s="55">
        <v>188</v>
      </c>
      <c r="FD33" s="56">
        <v>310</v>
      </c>
      <c r="FE33" s="55">
        <v>197</v>
      </c>
      <c r="FF33" s="56">
        <v>310</v>
      </c>
      <c r="FG33" s="55">
        <v>173</v>
      </c>
      <c r="FH33" s="56">
        <v>330</v>
      </c>
      <c r="FI33" s="55">
        <v>219</v>
      </c>
      <c r="FJ33" s="56">
        <v>310</v>
      </c>
      <c r="FK33" s="55">
        <v>209</v>
      </c>
      <c r="FL33" s="56">
        <v>330</v>
      </c>
      <c r="FM33" s="55">
        <v>171</v>
      </c>
      <c r="FN33" s="56">
        <v>330</v>
      </c>
      <c r="FO33" s="55">
        <v>162</v>
      </c>
      <c r="FP33" s="56">
        <v>320</v>
      </c>
      <c r="FQ33" s="55">
        <v>158</v>
      </c>
      <c r="FR33" s="56">
        <v>340</v>
      </c>
      <c r="FS33" s="55">
        <v>151</v>
      </c>
      <c r="FT33" s="56">
        <v>345</v>
      </c>
      <c r="FU33" s="55">
        <v>194</v>
      </c>
      <c r="FV33" s="56">
        <v>340</v>
      </c>
      <c r="FW33" s="55">
        <v>179</v>
      </c>
      <c r="FX33" s="56">
        <v>350</v>
      </c>
      <c r="FY33" s="55">
        <v>162</v>
      </c>
      <c r="FZ33" s="56">
        <v>353</v>
      </c>
      <c r="GA33" s="55">
        <v>179</v>
      </c>
      <c r="GB33" s="56">
        <v>350</v>
      </c>
      <c r="GC33" s="55">
        <v>172</v>
      </c>
      <c r="GD33" s="56">
        <v>360</v>
      </c>
      <c r="GE33" s="55">
        <v>161</v>
      </c>
      <c r="GF33" s="56">
        <v>370</v>
      </c>
      <c r="GG33" s="55">
        <v>173</v>
      </c>
      <c r="GH33" s="56">
        <v>375</v>
      </c>
      <c r="GI33" s="55">
        <v>166</v>
      </c>
      <c r="GJ33" s="56">
        <v>360</v>
      </c>
      <c r="GK33" s="55">
        <v>167</v>
      </c>
      <c r="GL33" s="56">
        <v>380</v>
      </c>
      <c r="GM33" s="55">
        <v>128</v>
      </c>
      <c r="GN33" s="56">
        <v>400</v>
      </c>
      <c r="GO33" s="55">
        <v>157</v>
      </c>
      <c r="GP33" s="56">
        <v>390</v>
      </c>
      <c r="GQ33" s="55">
        <v>144</v>
      </c>
      <c r="GR33" s="56">
        <v>410</v>
      </c>
      <c r="GS33" s="55">
        <v>113</v>
      </c>
      <c r="GT33" s="56">
        <v>435</v>
      </c>
      <c r="GU33" s="55">
        <v>118</v>
      </c>
      <c r="GV33" s="56">
        <v>430</v>
      </c>
      <c r="GW33" s="55">
        <v>189</v>
      </c>
      <c r="GX33" s="56">
        <v>450</v>
      </c>
      <c r="GY33" s="55">
        <v>184</v>
      </c>
      <c r="GZ33" s="56">
        <v>460</v>
      </c>
      <c r="HA33">
        <v>205</v>
      </c>
      <c r="HB33" s="56">
        <v>480</v>
      </c>
      <c r="HC33">
        <v>190</v>
      </c>
      <c r="HD33" s="56">
        <v>480</v>
      </c>
      <c r="HE33">
        <v>210</v>
      </c>
      <c r="HF33" s="56">
        <v>490</v>
      </c>
    </row>
    <row r="34" spans="1:214" x14ac:dyDescent="0.25">
      <c r="A34" s="53"/>
      <c r="B34" s="54" t="s">
        <v>774</v>
      </c>
      <c r="C34" s="55">
        <v>46</v>
      </c>
      <c r="D34" s="56">
        <v>128</v>
      </c>
      <c r="E34" s="55">
        <v>47</v>
      </c>
      <c r="F34" s="56">
        <v>130</v>
      </c>
      <c r="G34" s="55">
        <v>49</v>
      </c>
      <c r="H34" s="56">
        <v>125</v>
      </c>
      <c r="I34" s="55">
        <v>41</v>
      </c>
      <c r="J34" s="56">
        <v>135</v>
      </c>
      <c r="K34" s="55">
        <v>36</v>
      </c>
      <c r="L34" s="56">
        <v>135</v>
      </c>
      <c r="M34" s="55">
        <v>37</v>
      </c>
      <c r="N34" s="56">
        <v>135</v>
      </c>
      <c r="O34" s="55">
        <v>41</v>
      </c>
      <c r="P34" s="56">
        <v>135</v>
      </c>
      <c r="Q34" s="55">
        <v>55</v>
      </c>
      <c r="R34" s="56">
        <v>140</v>
      </c>
      <c r="S34" s="55">
        <v>49</v>
      </c>
      <c r="T34" s="56">
        <v>140</v>
      </c>
      <c r="U34" s="55">
        <v>49</v>
      </c>
      <c r="V34" s="56">
        <v>145</v>
      </c>
      <c r="W34" s="55">
        <v>49</v>
      </c>
      <c r="X34" s="56">
        <v>150</v>
      </c>
      <c r="Y34" s="55">
        <v>43</v>
      </c>
      <c r="Z34" s="56">
        <v>150</v>
      </c>
      <c r="AA34" s="55">
        <v>41</v>
      </c>
      <c r="AB34" s="56">
        <v>150</v>
      </c>
      <c r="AC34" s="55">
        <v>52</v>
      </c>
      <c r="AD34" s="56">
        <v>160</v>
      </c>
      <c r="AE34" s="55">
        <v>48</v>
      </c>
      <c r="AF34" s="56">
        <v>160</v>
      </c>
      <c r="AG34" s="55">
        <v>57</v>
      </c>
      <c r="AH34" s="56">
        <v>160</v>
      </c>
      <c r="AI34" s="55">
        <v>48</v>
      </c>
      <c r="AJ34" s="56">
        <v>160</v>
      </c>
      <c r="AK34" s="55">
        <v>46</v>
      </c>
      <c r="AL34" s="56">
        <v>165</v>
      </c>
      <c r="AM34" s="55">
        <v>31</v>
      </c>
      <c r="AN34" s="56">
        <v>170</v>
      </c>
      <c r="AO34" s="55">
        <v>43</v>
      </c>
      <c r="AP34" s="56">
        <v>170</v>
      </c>
      <c r="AQ34" s="55">
        <v>34</v>
      </c>
      <c r="AR34" s="56">
        <v>185</v>
      </c>
      <c r="AS34" s="55">
        <v>50</v>
      </c>
      <c r="AT34" s="56">
        <v>180</v>
      </c>
      <c r="AU34" s="55">
        <v>46</v>
      </c>
      <c r="AV34" s="56">
        <v>180</v>
      </c>
      <c r="AW34" s="55">
        <v>63</v>
      </c>
      <c r="AX34" s="56">
        <v>185</v>
      </c>
      <c r="AY34" s="55">
        <v>56</v>
      </c>
      <c r="AZ34" s="56">
        <v>185</v>
      </c>
      <c r="BA34" s="55">
        <v>66</v>
      </c>
      <c r="BB34" s="56">
        <v>183</v>
      </c>
      <c r="BC34" s="55">
        <v>52</v>
      </c>
      <c r="BD34" s="56">
        <v>188</v>
      </c>
      <c r="BE34" s="55">
        <v>61</v>
      </c>
      <c r="BF34" s="56">
        <v>185</v>
      </c>
      <c r="BG34" s="55">
        <v>33</v>
      </c>
      <c r="BH34" s="56">
        <v>185</v>
      </c>
      <c r="BI34" s="55">
        <v>40</v>
      </c>
      <c r="BJ34" s="56">
        <v>200</v>
      </c>
      <c r="BK34" s="55">
        <v>52</v>
      </c>
      <c r="BL34" s="56">
        <v>198</v>
      </c>
      <c r="BM34" s="55">
        <v>61</v>
      </c>
      <c r="BN34" s="56">
        <v>195</v>
      </c>
      <c r="BO34" s="55">
        <v>50</v>
      </c>
      <c r="BP34" s="56">
        <v>190</v>
      </c>
      <c r="BQ34" s="55">
        <v>48</v>
      </c>
      <c r="BR34" s="56">
        <v>205</v>
      </c>
      <c r="BS34" s="55">
        <v>56</v>
      </c>
      <c r="BT34" s="56">
        <v>203</v>
      </c>
      <c r="BU34" s="55">
        <v>42</v>
      </c>
      <c r="BV34" s="56">
        <v>228</v>
      </c>
      <c r="BW34" s="55">
        <v>43</v>
      </c>
      <c r="BX34" s="56">
        <v>220</v>
      </c>
      <c r="BY34" s="55">
        <v>34</v>
      </c>
      <c r="BZ34" s="56">
        <v>215</v>
      </c>
      <c r="CA34" s="55">
        <v>43</v>
      </c>
      <c r="CB34" s="56">
        <v>225</v>
      </c>
      <c r="CC34" s="55">
        <v>61</v>
      </c>
      <c r="CD34" s="56">
        <v>230</v>
      </c>
      <c r="CE34" s="55">
        <v>53</v>
      </c>
      <c r="CF34" s="56">
        <v>220</v>
      </c>
      <c r="CG34" s="55">
        <v>47</v>
      </c>
      <c r="CH34" s="56">
        <v>230</v>
      </c>
      <c r="CI34" s="55">
        <v>38</v>
      </c>
      <c r="CJ34" s="56">
        <v>230</v>
      </c>
      <c r="CK34" s="55">
        <v>52</v>
      </c>
      <c r="CL34" s="56">
        <v>260</v>
      </c>
      <c r="CM34" s="55">
        <v>30</v>
      </c>
      <c r="CN34" s="56">
        <v>258</v>
      </c>
      <c r="CO34" s="55">
        <v>47</v>
      </c>
      <c r="CP34" s="56">
        <v>265</v>
      </c>
      <c r="CQ34" s="55">
        <v>51</v>
      </c>
      <c r="CR34" s="56">
        <v>265</v>
      </c>
      <c r="CS34" s="55">
        <v>44</v>
      </c>
      <c r="CT34" s="56">
        <v>280</v>
      </c>
      <c r="CU34" s="55">
        <v>31</v>
      </c>
      <c r="CV34" s="56">
        <v>270</v>
      </c>
      <c r="CW34" s="55">
        <v>44</v>
      </c>
      <c r="CX34" s="56">
        <v>290</v>
      </c>
      <c r="CY34" s="55">
        <v>44</v>
      </c>
      <c r="CZ34" s="56">
        <v>273</v>
      </c>
      <c r="DA34" s="55">
        <v>53</v>
      </c>
      <c r="DB34" s="56">
        <v>300</v>
      </c>
      <c r="DC34" s="55">
        <v>48</v>
      </c>
      <c r="DD34" s="56">
        <v>295</v>
      </c>
      <c r="DE34" s="55">
        <v>35</v>
      </c>
      <c r="DF34" s="56">
        <v>300</v>
      </c>
      <c r="DG34" s="55">
        <v>41</v>
      </c>
      <c r="DH34" s="56">
        <v>300</v>
      </c>
      <c r="DI34" s="55">
        <v>32</v>
      </c>
      <c r="DJ34" s="56">
        <v>320</v>
      </c>
      <c r="DK34" s="55">
        <v>46</v>
      </c>
      <c r="DL34" s="56">
        <v>300</v>
      </c>
      <c r="DM34" s="55">
        <v>50</v>
      </c>
      <c r="DN34" s="56">
        <v>310</v>
      </c>
      <c r="DO34" s="55">
        <v>43</v>
      </c>
      <c r="DP34" s="56">
        <v>300</v>
      </c>
      <c r="DQ34" s="55">
        <v>48</v>
      </c>
      <c r="DR34" s="56">
        <v>310</v>
      </c>
      <c r="DS34" s="55">
        <v>40</v>
      </c>
      <c r="DT34" s="56">
        <v>320</v>
      </c>
      <c r="DU34" s="55">
        <v>46</v>
      </c>
      <c r="DV34" s="56">
        <v>305</v>
      </c>
      <c r="DW34" s="55">
        <v>45</v>
      </c>
      <c r="DX34" s="56">
        <v>300</v>
      </c>
      <c r="DY34" s="55">
        <v>48</v>
      </c>
      <c r="DZ34" s="56">
        <v>313</v>
      </c>
      <c r="EA34" s="55">
        <v>37</v>
      </c>
      <c r="EB34" s="56">
        <v>300</v>
      </c>
      <c r="EC34" s="55">
        <v>57</v>
      </c>
      <c r="ED34" s="56">
        <v>300</v>
      </c>
      <c r="EE34" s="55">
        <v>48</v>
      </c>
      <c r="EF34" s="56">
        <v>310</v>
      </c>
      <c r="EG34" s="55">
        <v>49</v>
      </c>
      <c r="EH34" s="56">
        <v>320</v>
      </c>
      <c r="EI34" s="55">
        <v>41</v>
      </c>
      <c r="EJ34" s="56">
        <v>320</v>
      </c>
      <c r="EK34" s="55">
        <v>45</v>
      </c>
      <c r="EL34" s="56">
        <v>310</v>
      </c>
      <c r="EM34" s="55">
        <v>35</v>
      </c>
      <c r="EN34" s="56">
        <v>320</v>
      </c>
      <c r="EO34" s="55">
        <v>35</v>
      </c>
      <c r="EP34" s="56">
        <v>330</v>
      </c>
      <c r="EQ34" s="55">
        <v>44</v>
      </c>
      <c r="ER34" s="56">
        <v>320</v>
      </c>
      <c r="ES34" s="55">
        <v>40</v>
      </c>
      <c r="ET34" s="56">
        <v>338</v>
      </c>
      <c r="EU34" s="55">
        <v>45</v>
      </c>
      <c r="EV34" s="56">
        <v>350</v>
      </c>
      <c r="EW34" s="55">
        <v>47</v>
      </c>
      <c r="EX34" s="56">
        <v>330</v>
      </c>
      <c r="EY34" s="55">
        <v>37</v>
      </c>
      <c r="EZ34" s="56">
        <v>335</v>
      </c>
      <c r="FA34" s="55">
        <v>37</v>
      </c>
      <c r="FB34" s="56">
        <v>350</v>
      </c>
      <c r="FC34" s="55">
        <v>35</v>
      </c>
      <c r="FD34" s="56">
        <v>350</v>
      </c>
      <c r="FE34" s="55">
        <v>28</v>
      </c>
      <c r="FF34" s="56">
        <v>350</v>
      </c>
      <c r="FG34" s="55">
        <v>37</v>
      </c>
      <c r="FH34" s="56">
        <v>350</v>
      </c>
      <c r="FI34" s="55">
        <v>33</v>
      </c>
      <c r="FJ34" s="56">
        <v>345</v>
      </c>
      <c r="FK34" s="55">
        <v>36</v>
      </c>
      <c r="FL34" s="56">
        <v>348</v>
      </c>
      <c r="FM34" s="55">
        <v>43</v>
      </c>
      <c r="FN34" s="56">
        <v>360</v>
      </c>
      <c r="FO34" s="55">
        <v>39</v>
      </c>
      <c r="FP34" s="56">
        <v>350</v>
      </c>
      <c r="FQ34" s="55">
        <v>45</v>
      </c>
      <c r="FR34" s="56">
        <v>370</v>
      </c>
      <c r="FS34" s="55">
        <v>25</v>
      </c>
      <c r="FT34" s="56">
        <v>395</v>
      </c>
      <c r="FU34" s="55">
        <v>36</v>
      </c>
      <c r="FV34" s="56">
        <v>380</v>
      </c>
      <c r="FW34" s="55">
        <v>38</v>
      </c>
      <c r="FX34" s="56">
        <v>368</v>
      </c>
      <c r="FY34" s="55">
        <v>25</v>
      </c>
      <c r="FZ34" s="56">
        <v>415</v>
      </c>
      <c r="GA34" s="55">
        <v>27</v>
      </c>
      <c r="GB34" s="56">
        <v>450</v>
      </c>
      <c r="GC34" s="55">
        <v>30</v>
      </c>
      <c r="GD34" s="56">
        <v>418</v>
      </c>
      <c r="GE34" s="55">
        <v>21</v>
      </c>
      <c r="GF34" s="56">
        <v>440</v>
      </c>
      <c r="GG34" s="55">
        <v>31</v>
      </c>
      <c r="GH34" s="56">
        <v>450</v>
      </c>
      <c r="GI34" s="55">
        <v>24</v>
      </c>
      <c r="GJ34" s="56">
        <v>430</v>
      </c>
      <c r="GK34" s="55">
        <v>23</v>
      </c>
      <c r="GL34" s="56">
        <v>470</v>
      </c>
      <c r="GM34" s="55">
        <v>21</v>
      </c>
      <c r="GN34" s="56">
        <v>450</v>
      </c>
      <c r="GO34" s="55">
        <v>34</v>
      </c>
      <c r="GP34" s="56">
        <v>450</v>
      </c>
      <c r="GQ34" s="55">
        <v>37</v>
      </c>
      <c r="GR34" s="56">
        <v>480</v>
      </c>
      <c r="GS34" s="55">
        <v>33</v>
      </c>
      <c r="GT34" s="56">
        <v>465</v>
      </c>
      <c r="GU34" s="55">
        <v>31</v>
      </c>
      <c r="GV34" s="56">
        <v>480</v>
      </c>
      <c r="GW34" s="55">
        <v>28</v>
      </c>
      <c r="GX34" s="56">
        <v>488</v>
      </c>
      <c r="GY34" s="55">
        <v>35</v>
      </c>
      <c r="GZ34" s="56">
        <v>475</v>
      </c>
      <c r="HA34">
        <v>25</v>
      </c>
      <c r="HB34" s="56">
        <v>500</v>
      </c>
      <c r="HC34">
        <v>21</v>
      </c>
      <c r="HD34" s="56">
        <v>475</v>
      </c>
      <c r="HE34">
        <v>28</v>
      </c>
      <c r="HF34" s="56">
        <v>510</v>
      </c>
    </row>
    <row r="35" spans="1:214" x14ac:dyDescent="0.25">
      <c r="A35" s="53"/>
      <c r="B35" s="54" t="s">
        <v>775</v>
      </c>
      <c r="C35" s="55">
        <v>60</v>
      </c>
      <c r="D35" s="56">
        <v>140</v>
      </c>
      <c r="E35" s="55">
        <v>59</v>
      </c>
      <c r="F35" s="56">
        <v>145</v>
      </c>
      <c r="G35" s="55">
        <v>56</v>
      </c>
      <c r="H35" s="56">
        <v>140</v>
      </c>
      <c r="I35" s="55">
        <v>57</v>
      </c>
      <c r="J35" s="56">
        <v>140</v>
      </c>
      <c r="K35" s="55">
        <v>55</v>
      </c>
      <c r="L35" s="56">
        <v>145</v>
      </c>
      <c r="M35" s="55">
        <v>62</v>
      </c>
      <c r="N35" s="56">
        <v>140</v>
      </c>
      <c r="O35" s="55">
        <v>62</v>
      </c>
      <c r="P35" s="56">
        <v>140</v>
      </c>
      <c r="Q35" s="55">
        <v>58</v>
      </c>
      <c r="R35" s="56">
        <v>148</v>
      </c>
      <c r="S35" s="55">
        <v>45</v>
      </c>
      <c r="T35" s="56">
        <v>150</v>
      </c>
      <c r="U35" s="55">
        <v>50</v>
      </c>
      <c r="V35" s="56">
        <v>150</v>
      </c>
      <c r="W35" s="55">
        <v>46</v>
      </c>
      <c r="X35" s="56">
        <v>145</v>
      </c>
      <c r="Y35" s="55">
        <v>55</v>
      </c>
      <c r="Z35" s="56">
        <v>155</v>
      </c>
      <c r="AA35" s="55">
        <v>42</v>
      </c>
      <c r="AB35" s="56">
        <v>150</v>
      </c>
      <c r="AC35" s="55">
        <v>68</v>
      </c>
      <c r="AD35" s="56">
        <v>150</v>
      </c>
      <c r="AE35" s="55">
        <v>59</v>
      </c>
      <c r="AF35" s="56">
        <v>150</v>
      </c>
      <c r="AG35" s="55">
        <v>67</v>
      </c>
      <c r="AH35" s="56">
        <v>155</v>
      </c>
      <c r="AI35" s="55">
        <v>49</v>
      </c>
      <c r="AJ35" s="56">
        <v>155</v>
      </c>
      <c r="AK35" s="55">
        <v>62</v>
      </c>
      <c r="AL35" s="56">
        <v>160</v>
      </c>
      <c r="AM35" s="55">
        <v>51</v>
      </c>
      <c r="AN35" s="56">
        <v>160</v>
      </c>
      <c r="AO35" s="55">
        <v>62</v>
      </c>
      <c r="AP35" s="56">
        <v>160</v>
      </c>
      <c r="AQ35" s="55">
        <v>51</v>
      </c>
      <c r="AR35" s="56">
        <v>160</v>
      </c>
      <c r="AS35" s="55">
        <v>55</v>
      </c>
      <c r="AT35" s="56">
        <v>160</v>
      </c>
      <c r="AU35" s="55">
        <v>45</v>
      </c>
      <c r="AV35" s="56">
        <v>185</v>
      </c>
      <c r="AW35" s="55">
        <v>55</v>
      </c>
      <c r="AX35" s="56">
        <v>170</v>
      </c>
      <c r="AY35" s="55">
        <v>47</v>
      </c>
      <c r="AZ35" s="56">
        <v>175</v>
      </c>
      <c r="BA35" s="55">
        <v>64</v>
      </c>
      <c r="BB35" s="56">
        <v>165</v>
      </c>
      <c r="BC35" s="55">
        <v>56</v>
      </c>
      <c r="BD35" s="56">
        <v>188</v>
      </c>
      <c r="BE35" s="55">
        <v>76</v>
      </c>
      <c r="BF35" s="56">
        <v>183</v>
      </c>
      <c r="BG35" s="55">
        <v>51</v>
      </c>
      <c r="BH35" s="56">
        <v>180</v>
      </c>
      <c r="BI35" s="55">
        <v>56</v>
      </c>
      <c r="BJ35" s="56">
        <v>180</v>
      </c>
      <c r="BK35" s="55">
        <v>52</v>
      </c>
      <c r="BL35" s="56">
        <v>190</v>
      </c>
      <c r="BM35" s="55">
        <v>75</v>
      </c>
      <c r="BN35" s="56">
        <v>200</v>
      </c>
      <c r="BO35" s="55">
        <v>37</v>
      </c>
      <c r="BP35" s="56">
        <v>195</v>
      </c>
      <c r="BQ35" s="55">
        <v>54</v>
      </c>
      <c r="BR35" s="56">
        <v>183</v>
      </c>
      <c r="BS35" s="55">
        <v>43</v>
      </c>
      <c r="BT35" s="56">
        <v>195</v>
      </c>
      <c r="BU35" s="55">
        <v>79</v>
      </c>
      <c r="BV35" s="56">
        <v>200</v>
      </c>
      <c r="BW35" s="55">
        <v>76</v>
      </c>
      <c r="BX35" s="56">
        <v>203</v>
      </c>
      <c r="BY35" s="55">
        <v>52</v>
      </c>
      <c r="BZ35" s="56">
        <v>200</v>
      </c>
      <c r="CA35" s="55">
        <v>63</v>
      </c>
      <c r="CB35" s="56">
        <v>190</v>
      </c>
      <c r="CC35" s="55">
        <v>69</v>
      </c>
      <c r="CD35" s="56">
        <v>200</v>
      </c>
      <c r="CE35" s="55">
        <v>61</v>
      </c>
      <c r="CF35" s="56">
        <v>200</v>
      </c>
      <c r="CG35" s="55">
        <v>56</v>
      </c>
      <c r="CH35" s="56">
        <v>215</v>
      </c>
      <c r="CI35" s="55">
        <v>55</v>
      </c>
      <c r="CJ35" s="56">
        <v>200</v>
      </c>
      <c r="CK35" s="55">
        <v>63</v>
      </c>
      <c r="CL35" s="56">
        <v>230</v>
      </c>
      <c r="CM35" s="55">
        <v>51</v>
      </c>
      <c r="CN35" s="56">
        <v>200</v>
      </c>
      <c r="CO35" s="55">
        <v>66</v>
      </c>
      <c r="CP35" s="56">
        <v>215</v>
      </c>
      <c r="CQ35" s="55">
        <v>59</v>
      </c>
      <c r="CR35" s="56">
        <v>220</v>
      </c>
      <c r="CS35" s="55">
        <v>53</v>
      </c>
      <c r="CT35" s="56">
        <v>215</v>
      </c>
      <c r="CU35" s="55">
        <v>67</v>
      </c>
      <c r="CV35" s="56">
        <v>220</v>
      </c>
      <c r="CW35" s="55">
        <v>55</v>
      </c>
      <c r="CX35" s="56">
        <v>220</v>
      </c>
      <c r="CY35" s="55">
        <v>63</v>
      </c>
      <c r="CZ35" s="56">
        <v>230</v>
      </c>
      <c r="DA35" s="55">
        <v>52</v>
      </c>
      <c r="DB35" s="56">
        <v>230</v>
      </c>
      <c r="DC35" s="55">
        <v>69</v>
      </c>
      <c r="DD35" s="56">
        <v>225</v>
      </c>
      <c r="DE35" s="55">
        <v>68</v>
      </c>
      <c r="DF35" s="56">
        <v>228</v>
      </c>
      <c r="DG35" s="55">
        <v>66</v>
      </c>
      <c r="DH35" s="56">
        <v>225</v>
      </c>
      <c r="DI35" s="55">
        <v>58</v>
      </c>
      <c r="DJ35" s="56">
        <v>250</v>
      </c>
      <c r="DK35" s="55">
        <v>45</v>
      </c>
      <c r="DL35" s="56">
        <v>250</v>
      </c>
      <c r="DM35" s="55">
        <v>53</v>
      </c>
      <c r="DN35" s="56">
        <v>230</v>
      </c>
      <c r="DO35" s="55">
        <v>54</v>
      </c>
      <c r="DP35" s="56">
        <v>248</v>
      </c>
      <c r="DQ35" s="55">
        <v>56</v>
      </c>
      <c r="DR35" s="56">
        <v>250</v>
      </c>
      <c r="DS35" s="55">
        <v>54</v>
      </c>
      <c r="DT35" s="56">
        <v>250</v>
      </c>
      <c r="DU35" s="55">
        <v>51</v>
      </c>
      <c r="DV35" s="56">
        <v>250</v>
      </c>
      <c r="DW35" s="55">
        <v>58</v>
      </c>
      <c r="DX35" s="56">
        <v>250</v>
      </c>
      <c r="DY35" s="55">
        <v>49</v>
      </c>
      <c r="DZ35" s="56">
        <v>250</v>
      </c>
      <c r="EA35" s="55">
        <v>63</v>
      </c>
      <c r="EB35" s="56">
        <v>250</v>
      </c>
      <c r="EC35" s="55">
        <v>44</v>
      </c>
      <c r="ED35" s="56">
        <v>268</v>
      </c>
      <c r="EE35" s="55">
        <v>54</v>
      </c>
      <c r="EF35" s="56">
        <v>240</v>
      </c>
      <c r="EG35" s="55">
        <v>54</v>
      </c>
      <c r="EH35" s="56">
        <v>260</v>
      </c>
      <c r="EI35" s="55">
        <v>69</v>
      </c>
      <c r="EJ35" s="56">
        <v>260</v>
      </c>
      <c r="EK35" s="55">
        <v>47</v>
      </c>
      <c r="EL35" s="56">
        <v>265</v>
      </c>
      <c r="EM35" s="55">
        <v>43</v>
      </c>
      <c r="EN35" s="56">
        <v>270</v>
      </c>
      <c r="EO35" s="55">
        <v>47</v>
      </c>
      <c r="EP35" s="56">
        <v>270</v>
      </c>
      <c r="EQ35" s="55">
        <v>58</v>
      </c>
      <c r="ER35" s="56">
        <v>260</v>
      </c>
      <c r="ES35" s="55">
        <v>53</v>
      </c>
      <c r="ET35" s="56">
        <v>270</v>
      </c>
      <c r="EU35" s="55">
        <v>37</v>
      </c>
      <c r="EV35" s="56">
        <v>280</v>
      </c>
      <c r="EW35" s="55">
        <v>40</v>
      </c>
      <c r="EX35" s="56">
        <v>263</v>
      </c>
      <c r="EY35" s="55">
        <v>42</v>
      </c>
      <c r="EZ35" s="56">
        <v>262</v>
      </c>
      <c r="FA35" s="55">
        <v>44</v>
      </c>
      <c r="FB35" s="56">
        <v>280</v>
      </c>
      <c r="FC35" s="55">
        <v>46</v>
      </c>
      <c r="FD35" s="56">
        <v>280</v>
      </c>
      <c r="FE35" s="55">
        <v>49</v>
      </c>
      <c r="FF35" s="56">
        <v>290</v>
      </c>
      <c r="FG35" s="55">
        <v>49</v>
      </c>
      <c r="FH35" s="56">
        <v>300</v>
      </c>
      <c r="FI35" s="55">
        <v>48</v>
      </c>
      <c r="FJ35" s="56">
        <v>275</v>
      </c>
      <c r="FK35" s="55">
        <v>55</v>
      </c>
      <c r="FL35" s="56">
        <v>300</v>
      </c>
      <c r="FM35" s="55">
        <v>40</v>
      </c>
      <c r="FN35" s="56">
        <v>300</v>
      </c>
      <c r="FO35" s="55">
        <v>36</v>
      </c>
      <c r="FP35" s="56">
        <v>320</v>
      </c>
      <c r="FQ35" s="55">
        <v>32</v>
      </c>
      <c r="FR35" s="56">
        <v>298</v>
      </c>
      <c r="FS35" s="55">
        <v>33</v>
      </c>
      <c r="FT35" s="56">
        <v>330</v>
      </c>
      <c r="FU35" s="55">
        <v>38</v>
      </c>
      <c r="FV35" s="56">
        <v>315</v>
      </c>
      <c r="FW35" s="55">
        <v>47</v>
      </c>
      <c r="FX35" s="56">
        <v>330</v>
      </c>
      <c r="FY35" s="55">
        <v>26</v>
      </c>
      <c r="FZ35" s="56">
        <v>330</v>
      </c>
      <c r="GA35" s="55">
        <v>49</v>
      </c>
      <c r="GB35" s="56">
        <v>330</v>
      </c>
      <c r="GC35" s="55">
        <v>42</v>
      </c>
      <c r="GD35" s="56">
        <v>340</v>
      </c>
      <c r="GE35" s="55">
        <v>37</v>
      </c>
      <c r="GF35" s="56">
        <v>340</v>
      </c>
      <c r="GG35" s="55">
        <v>40</v>
      </c>
      <c r="GH35" s="56">
        <v>330</v>
      </c>
      <c r="GI35" s="55">
        <v>30</v>
      </c>
      <c r="GJ35" s="56">
        <v>380</v>
      </c>
      <c r="GK35" s="55">
        <v>41</v>
      </c>
      <c r="GL35" s="56">
        <v>350</v>
      </c>
      <c r="GM35" s="55">
        <v>37</v>
      </c>
      <c r="GN35" s="56">
        <v>380</v>
      </c>
      <c r="GO35" s="55">
        <v>39</v>
      </c>
      <c r="GP35" s="56">
        <v>390</v>
      </c>
      <c r="GQ35" s="55">
        <v>33</v>
      </c>
      <c r="GR35" s="56">
        <v>400</v>
      </c>
      <c r="GS35" s="55">
        <v>27</v>
      </c>
      <c r="GT35" s="56">
        <v>420</v>
      </c>
      <c r="GU35" s="55">
        <v>37</v>
      </c>
      <c r="GV35" s="56">
        <v>410</v>
      </c>
      <c r="GW35" s="55">
        <v>33</v>
      </c>
      <c r="GX35" s="56">
        <v>400</v>
      </c>
      <c r="GY35" s="55">
        <v>30</v>
      </c>
      <c r="GZ35" s="56">
        <v>445</v>
      </c>
      <c r="HA35">
        <v>30</v>
      </c>
      <c r="HB35" s="56">
        <v>450</v>
      </c>
      <c r="HC35">
        <v>28</v>
      </c>
      <c r="HD35" s="56">
        <v>450</v>
      </c>
      <c r="HE35">
        <v>32</v>
      </c>
      <c r="HF35" s="56">
        <v>490</v>
      </c>
    </row>
    <row r="36" spans="1:214" x14ac:dyDescent="0.25">
      <c r="A36" s="57"/>
      <c r="B36" s="57" t="s">
        <v>752</v>
      </c>
      <c r="C36" s="58">
        <v>744</v>
      </c>
      <c r="D36" s="59">
        <v>140</v>
      </c>
      <c r="E36" s="58">
        <v>692</v>
      </c>
      <c r="F36" s="59">
        <v>145</v>
      </c>
      <c r="G36" s="58">
        <v>715</v>
      </c>
      <c r="H36" s="59">
        <v>145</v>
      </c>
      <c r="I36" s="58">
        <v>892</v>
      </c>
      <c r="J36" s="59">
        <v>145</v>
      </c>
      <c r="K36" s="58">
        <v>736</v>
      </c>
      <c r="L36" s="59">
        <v>150</v>
      </c>
      <c r="M36" s="58">
        <v>764</v>
      </c>
      <c r="N36" s="59">
        <v>150</v>
      </c>
      <c r="O36" s="58">
        <v>681</v>
      </c>
      <c r="P36" s="59">
        <v>150</v>
      </c>
      <c r="Q36" s="58">
        <v>831</v>
      </c>
      <c r="R36" s="59">
        <v>150</v>
      </c>
      <c r="S36" s="58">
        <v>671</v>
      </c>
      <c r="T36" s="59">
        <v>155</v>
      </c>
      <c r="U36" s="58">
        <v>680</v>
      </c>
      <c r="V36" s="59">
        <v>160</v>
      </c>
      <c r="W36" s="58">
        <v>730</v>
      </c>
      <c r="X36" s="59">
        <v>160</v>
      </c>
      <c r="Y36" s="58">
        <v>789</v>
      </c>
      <c r="Z36" s="59">
        <v>160</v>
      </c>
      <c r="AA36" s="58">
        <v>672</v>
      </c>
      <c r="AB36" s="59">
        <v>165</v>
      </c>
      <c r="AC36" s="58">
        <v>722</v>
      </c>
      <c r="AD36" s="59">
        <v>165</v>
      </c>
      <c r="AE36" s="58">
        <v>725</v>
      </c>
      <c r="AF36" s="59">
        <v>170</v>
      </c>
      <c r="AG36" s="58">
        <v>930</v>
      </c>
      <c r="AH36" s="59">
        <v>170</v>
      </c>
      <c r="AI36" s="58">
        <v>758</v>
      </c>
      <c r="AJ36" s="59">
        <v>180</v>
      </c>
      <c r="AK36" s="58">
        <v>817</v>
      </c>
      <c r="AL36" s="59">
        <v>180</v>
      </c>
      <c r="AM36" s="58">
        <v>824</v>
      </c>
      <c r="AN36" s="59">
        <v>180</v>
      </c>
      <c r="AO36" s="58">
        <v>952</v>
      </c>
      <c r="AP36" s="59">
        <v>185</v>
      </c>
      <c r="AQ36" s="58">
        <v>699</v>
      </c>
      <c r="AR36" s="59">
        <v>185</v>
      </c>
      <c r="AS36" s="58">
        <v>843</v>
      </c>
      <c r="AT36" s="59">
        <v>185</v>
      </c>
      <c r="AU36" s="58">
        <v>835</v>
      </c>
      <c r="AV36" s="59">
        <v>190</v>
      </c>
      <c r="AW36" s="58">
        <v>945</v>
      </c>
      <c r="AX36" s="59">
        <v>190</v>
      </c>
      <c r="AY36" s="58">
        <v>835</v>
      </c>
      <c r="AZ36" s="59">
        <v>190</v>
      </c>
      <c r="BA36" s="58">
        <v>893</v>
      </c>
      <c r="BB36" s="59">
        <v>190</v>
      </c>
      <c r="BC36" s="58">
        <v>788</v>
      </c>
      <c r="BD36" s="59">
        <v>195</v>
      </c>
      <c r="BE36" s="58">
        <v>991</v>
      </c>
      <c r="BF36" s="59">
        <v>195</v>
      </c>
      <c r="BG36" s="58">
        <v>797</v>
      </c>
      <c r="BH36" s="59">
        <v>195</v>
      </c>
      <c r="BI36" s="58">
        <v>866</v>
      </c>
      <c r="BJ36" s="59">
        <v>200</v>
      </c>
      <c r="BK36" s="58">
        <v>813</v>
      </c>
      <c r="BL36" s="59">
        <v>200</v>
      </c>
      <c r="BM36" s="58">
        <v>990</v>
      </c>
      <c r="BN36" s="59">
        <v>200</v>
      </c>
      <c r="BO36" s="58">
        <v>824</v>
      </c>
      <c r="BP36" s="59">
        <v>200</v>
      </c>
      <c r="BQ36" s="58">
        <v>891</v>
      </c>
      <c r="BR36" s="59">
        <v>210</v>
      </c>
      <c r="BS36" s="58">
        <v>847</v>
      </c>
      <c r="BT36" s="59">
        <v>210</v>
      </c>
      <c r="BU36" s="58">
        <v>1059</v>
      </c>
      <c r="BV36" s="59">
        <v>215</v>
      </c>
      <c r="BW36" s="58">
        <v>1019</v>
      </c>
      <c r="BX36" s="59">
        <v>220</v>
      </c>
      <c r="BY36" s="58">
        <v>937</v>
      </c>
      <c r="BZ36" s="59">
        <v>210</v>
      </c>
      <c r="CA36" s="58">
        <v>941</v>
      </c>
      <c r="CB36" s="59">
        <v>220</v>
      </c>
      <c r="CC36" s="58">
        <v>1068</v>
      </c>
      <c r="CD36" s="59">
        <v>228</v>
      </c>
      <c r="CE36" s="58">
        <v>924</v>
      </c>
      <c r="CF36" s="59">
        <v>220</v>
      </c>
      <c r="CG36" s="58">
        <v>938</v>
      </c>
      <c r="CH36" s="59">
        <v>225</v>
      </c>
      <c r="CI36" s="58">
        <v>902</v>
      </c>
      <c r="CJ36" s="59">
        <v>230</v>
      </c>
      <c r="CK36" s="58">
        <v>998</v>
      </c>
      <c r="CL36" s="59">
        <v>240</v>
      </c>
      <c r="CM36" s="58">
        <v>862</v>
      </c>
      <c r="CN36" s="59">
        <v>230</v>
      </c>
      <c r="CO36" s="58">
        <v>948</v>
      </c>
      <c r="CP36" s="59">
        <v>240</v>
      </c>
      <c r="CQ36" s="58">
        <v>952</v>
      </c>
      <c r="CR36" s="59">
        <v>250</v>
      </c>
      <c r="CS36" s="58">
        <v>1020</v>
      </c>
      <c r="CT36" s="59">
        <v>250</v>
      </c>
      <c r="CU36" s="58">
        <v>856</v>
      </c>
      <c r="CV36" s="59">
        <v>250</v>
      </c>
      <c r="CW36" s="58">
        <v>975</v>
      </c>
      <c r="CX36" s="59">
        <v>260</v>
      </c>
      <c r="CY36" s="58">
        <v>937</v>
      </c>
      <c r="CZ36" s="59">
        <v>260</v>
      </c>
      <c r="DA36" s="58">
        <v>1018</v>
      </c>
      <c r="DB36" s="59">
        <v>270</v>
      </c>
      <c r="DC36" s="58">
        <v>920</v>
      </c>
      <c r="DD36" s="59">
        <v>265</v>
      </c>
      <c r="DE36" s="58">
        <v>938</v>
      </c>
      <c r="DF36" s="59">
        <v>270</v>
      </c>
      <c r="DG36" s="58">
        <v>933</v>
      </c>
      <c r="DH36" s="59">
        <v>270</v>
      </c>
      <c r="DI36" s="58">
        <v>1004</v>
      </c>
      <c r="DJ36" s="59">
        <v>280</v>
      </c>
      <c r="DK36" s="58">
        <v>965</v>
      </c>
      <c r="DL36" s="59">
        <v>270</v>
      </c>
      <c r="DM36" s="58">
        <v>1016</v>
      </c>
      <c r="DN36" s="59">
        <v>280</v>
      </c>
      <c r="DO36" s="58">
        <v>951</v>
      </c>
      <c r="DP36" s="59">
        <v>280</v>
      </c>
      <c r="DQ36" s="58">
        <v>1002</v>
      </c>
      <c r="DR36" s="59">
        <v>280</v>
      </c>
      <c r="DS36" s="58">
        <v>950</v>
      </c>
      <c r="DT36" s="59">
        <v>280</v>
      </c>
      <c r="DU36" s="58">
        <v>1000</v>
      </c>
      <c r="DV36" s="59">
        <v>280</v>
      </c>
      <c r="DW36" s="58">
        <v>1022</v>
      </c>
      <c r="DX36" s="59">
        <v>280</v>
      </c>
      <c r="DY36" s="58">
        <v>1087</v>
      </c>
      <c r="DZ36" s="59">
        <v>285</v>
      </c>
      <c r="EA36" s="58">
        <v>1034</v>
      </c>
      <c r="EB36" s="59">
        <v>280</v>
      </c>
      <c r="EC36" s="58">
        <v>1048</v>
      </c>
      <c r="ED36" s="59">
        <v>280</v>
      </c>
      <c r="EE36" s="58">
        <v>1025</v>
      </c>
      <c r="EF36" s="59">
        <v>280</v>
      </c>
      <c r="EG36" s="58">
        <v>1051</v>
      </c>
      <c r="EH36" s="59">
        <v>290</v>
      </c>
      <c r="EI36" s="58">
        <v>1043</v>
      </c>
      <c r="EJ36" s="59">
        <v>280</v>
      </c>
      <c r="EK36" s="58">
        <v>1077</v>
      </c>
      <c r="EL36" s="59">
        <v>290</v>
      </c>
      <c r="EM36" s="58">
        <v>985</v>
      </c>
      <c r="EN36" s="59">
        <v>295</v>
      </c>
      <c r="EO36" s="58">
        <v>1061</v>
      </c>
      <c r="EP36" s="59">
        <v>300</v>
      </c>
      <c r="EQ36" s="58">
        <v>937</v>
      </c>
      <c r="ER36" s="59">
        <v>290</v>
      </c>
      <c r="ES36" s="58">
        <v>981</v>
      </c>
      <c r="ET36" s="59">
        <v>300</v>
      </c>
      <c r="EU36" s="58">
        <v>919</v>
      </c>
      <c r="EV36" s="59">
        <v>295</v>
      </c>
      <c r="EW36" s="58">
        <v>961</v>
      </c>
      <c r="EX36" s="59">
        <v>300</v>
      </c>
      <c r="EY36" s="58">
        <v>902</v>
      </c>
      <c r="EZ36" s="59">
        <v>300</v>
      </c>
      <c r="FA36" s="58">
        <v>912</v>
      </c>
      <c r="FB36" s="59">
        <v>303</v>
      </c>
      <c r="FC36" s="58">
        <v>837</v>
      </c>
      <c r="FD36" s="59">
        <v>310</v>
      </c>
      <c r="FE36" s="58">
        <v>890</v>
      </c>
      <c r="FF36" s="59">
        <v>310</v>
      </c>
      <c r="FG36" s="58">
        <v>844</v>
      </c>
      <c r="FH36" s="59">
        <v>318</v>
      </c>
      <c r="FI36" s="58">
        <v>879</v>
      </c>
      <c r="FJ36" s="59">
        <v>320</v>
      </c>
      <c r="FK36" s="58">
        <v>902</v>
      </c>
      <c r="FL36" s="59">
        <v>330</v>
      </c>
      <c r="FM36" s="58">
        <v>907</v>
      </c>
      <c r="FN36" s="59">
        <v>330</v>
      </c>
      <c r="FO36" s="58">
        <v>777</v>
      </c>
      <c r="FP36" s="59">
        <v>320</v>
      </c>
      <c r="FQ36" s="58">
        <v>757</v>
      </c>
      <c r="FR36" s="59">
        <v>340</v>
      </c>
      <c r="FS36" s="58">
        <v>690</v>
      </c>
      <c r="FT36" s="59">
        <v>350</v>
      </c>
      <c r="FU36" s="58">
        <v>789</v>
      </c>
      <c r="FV36" s="59">
        <v>350</v>
      </c>
      <c r="FW36" s="58">
        <v>750</v>
      </c>
      <c r="FX36" s="59">
        <v>360</v>
      </c>
      <c r="FY36" s="58">
        <v>723</v>
      </c>
      <c r="FZ36" s="59">
        <v>370</v>
      </c>
      <c r="GA36" s="58">
        <v>769</v>
      </c>
      <c r="GB36" s="59">
        <v>380</v>
      </c>
      <c r="GC36" s="58">
        <v>741</v>
      </c>
      <c r="GD36" s="59">
        <v>380</v>
      </c>
      <c r="GE36" s="58">
        <v>696</v>
      </c>
      <c r="GF36" s="59">
        <v>390</v>
      </c>
      <c r="GG36" s="58">
        <v>787</v>
      </c>
      <c r="GH36" s="59">
        <v>400</v>
      </c>
      <c r="GI36" s="58">
        <v>670</v>
      </c>
      <c r="GJ36" s="59">
        <v>400</v>
      </c>
      <c r="GK36" s="58">
        <v>757</v>
      </c>
      <c r="GL36" s="59">
        <v>410</v>
      </c>
      <c r="GM36" s="58">
        <v>689</v>
      </c>
      <c r="GN36" s="59">
        <v>420</v>
      </c>
      <c r="GO36" s="58">
        <v>700</v>
      </c>
      <c r="GP36" s="59">
        <v>425</v>
      </c>
      <c r="GQ36" s="58">
        <v>697</v>
      </c>
      <c r="GR36" s="59">
        <v>440</v>
      </c>
      <c r="GS36" s="58">
        <v>612</v>
      </c>
      <c r="GT36" s="59">
        <v>450</v>
      </c>
      <c r="GU36" s="58">
        <v>658</v>
      </c>
      <c r="GV36" s="59">
        <v>450</v>
      </c>
      <c r="GW36" s="58">
        <v>708</v>
      </c>
      <c r="GX36" s="59">
        <v>450</v>
      </c>
      <c r="GY36" s="58">
        <v>722</v>
      </c>
      <c r="GZ36" s="59">
        <v>460</v>
      </c>
      <c r="HA36" s="6">
        <v>705</v>
      </c>
      <c r="HB36" s="59">
        <v>470</v>
      </c>
      <c r="HC36" s="6">
        <v>724</v>
      </c>
      <c r="HD36" s="59">
        <v>480</v>
      </c>
      <c r="HE36" s="6">
        <v>736</v>
      </c>
      <c r="HF36" s="59">
        <v>490</v>
      </c>
    </row>
    <row r="37" spans="1:214" s="10" customFormat="1" x14ac:dyDescent="0.25">
      <c r="A37" s="53" t="s">
        <v>776</v>
      </c>
      <c r="B37" s="54" t="s">
        <v>777</v>
      </c>
      <c r="C37" s="55">
        <v>33</v>
      </c>
      <c r="D37" s="56">
        <v>125</v>
      </c>
      <c r="E37" s="55">
        <v>33</v>
      </c>
      <c r="F37" s="56">
        <v>125</v>
      </c>
      <c r="G37" s="55">
        <v>23</v>
      </c>
      <c r="H37" s="56">
        <v>125</v>
      </c>
      <c r="I37" s="55">
        <v>41</v>
      </c>
      <c r="J37" s="56">
        <v>130</v>
      </c>
      <c r="K37" s="55">
        <v>38</v>
      </c>
      <c r="L37" s="56">
        <v>140</v>
      </c>
      <c r="M37" s="55">
        <v>23</v>
      </c>
      <c r="N37" s="56">
        <v>140</v>
      </c>
      <c r="O37" s="55">
        <v>34</v>
      </c>
      <c r="P37" s="56">
        <v>135</v>
      </c>
      <c r="Q37" s="55">
        <v>30</v>
      </c>
      <c r="R37" s="56">
        <v>128</v>
      </c>
      <c r="S37" s="55">
        <v>31</v>
      </c>
      <c r="T37" s="56">
        <v>140</v>
      </c>
      <c r="U37" s="55">
        <v>37</v>
      </c>
      <c r="V37" s="56">
        <v>145</v>
      </c>
      <c r="W37" s="55">
        <v>32</v>
      </c>
      <c r="X37" s="56">
        <v>137</v>
      </c>
      <c r="Y37" s="55">
        <v>40</v>
      </c>
      <c r="Z37" s="56">
        <v>130</v>
      </c>
      <c r="AA37" s="55">
        <v>40</v>
      </c>
      <c r="AB37" s="56">
        <v>143</v>
      </c>
      <c r="AC37" s="55">
        <v>28</v>
      </c>
      <c r="AD37" s="56">
        <v>145</v>
      </c>
      <c r="AE37" s="55">
        <v>25</v>
      </c>
      <c r="AF37" s="56">
        <v>155</v>
      </c>
      <c r="AG37" s="55">
        <v>39</v>
      </c>
      <c r="AH37" s="56">
        <v>150</v>
      </c>
      <c r="AI37" s="55">
        <v>44</v>
      </c>
      <c r="AJ37" s="56">
        <v>148</v>
      </c>
      <c r="AK37" s="55">
        <v>28</v>
      </c>
      <c r="AL37" s="56">
        <v>150</v>
      </c>
      <c r="AM37" s="55">
        <v>30</v>
      </c>
      <c r="AN37" s="56">
        <v>160</v>
      </c>
      <c r="AO37" s="55">
        <v>35</v>
      </c>
      <c r="AP37" s="56">
        <v>160</v>
      </c>
      <c r="AQ37" s="55">
        <v>28</v>
      </c>
      <c r="AR37" s="56">
        <v>165</v>
      </c>
      <c r="AS37" s="55">
        <v>35</v>
      </c>
      <c r="AT37" s="56">
        <v>175</v>
      </c>
      <c r="AU37" s="55">
        <v>32</v>
      </c>
      <c r="AV37" s="56">
        <v>150</v>
      </c>
      <c r="AW37" s="55">
        <v>33</v>
      </c>
      <c r="AX37" s="56">
        <v>175</v>
      </c>
      <c r="AY37" s="55">
        <v>44</v>
      </c>
      <c r="AZ37" s="56">
        <v>160</v>
      </c>
      <c r="BA37" s="55">
        <v>45</v>
      </c>
      <c r="BB37" s="56">
        <v>180</v>
      </c>
      <c r="BC37" s="55">
        <v>39</v>
      </c>
      <c r="BD37" s="56">
        <v>185</v>
      </c>
      <c r="BE37" s="55">
        <v>42</v>
      </c>
      <c r="BF37" s="56">
        <v>180</v>
      </c>
      <c r="BG37" s="55">
        <v>32</v>
      </c>
      <c r="BH37" s="56">
        <v>190</v>
      </c>
      <c r="BI37" s="55">
        <v>32</v>
      </c>
      <c r="BJ37" s="56">
        <v>185</v>
      </c>
      <c r="BK37" s="55">
        <v>36</v>
      </c>
      <c r="BL37" s="56">
        <v>190</v>
      </c>
      <c r="BM37" s="55">
        <v>53</v>
      </c>
      <c r="BN37" s="56">
        <v>195</v>
      </c>
      <c r="BO37" s="55">
        <v>44</v>
      </c>
      <c r="BP37" s="56">
        <v>220</v>
      </c>
      <c r="BQ37" s="55">
        <v>34</v>
      </c>
      <c r="BR37" s="56">
        <v>200</v>
      </c>
      <c r="BS37" s="55">
        <v>46</v>
      </c>
      <c r="BT37" s="56">
        <v>190</v>
      </c>
      <c r="BU37" s="55">
        <v>49</v>
      </c>
      <c r="BV37" s="56">
        <v>190</v>
      </c>
      <c r="BW37" s="55">
        <v>59</v>
      </c>
      <c r="BX37" s="56">
        <v>200</v>
      </c>
      <c r="BY37" s="55">
        <v>38</v>
      </c>
      <c r="BZ37" s="56">
        <v>205</v>
      </c>
      <c r="CA37" s="55">
        <v>35</v>
      </c>
      <c r="CB37" s="56">
        <v>200</v>
      </c>
      <c r="CC37" s="55">
        <v>37</v>
      </c>
      <c r="CD37" s="56">
        <v>210</v>
      </c>
      <c r="CE37" s="55">
        <v>44</v>
      </c>
      <c r="CF37" s="56">
        <v>220</v>
      </c>
      <c r="CG37" s="55">
        <v>32</v>
      </c>
      <c r="CH37" s="56">
        <v>225</v>
      </c>
      <c r="CI37" s="55">
        <v>36</v>
      </c>
      <c r="CJ37" s="56">
        <v>220</v>
      </c>
      <c r="CK37" s="55">
        <v>36</v>
      </c>
      <c r="CL37" s="56">
        <v>233</v>
      </c>
      <c r="CM37" s="55">
        <v>48</v>
      </c>
      <c r="CN37" s="56">
        <v>230</v>
      </c>
      <c r="CO37" s="55">
        <v>30</v>
      </c>
      <c r="CP37" s="56">
        <v>220</v>
      </c>
      <c r="CQ37" s="55">
        <v>40</v>
      </c>
      <c r="CR37" s="56">
        <v>215</v>
      </c>
      <c r="CS37" s="55">
        <v>44</v>
      </c>
      <c r="CT37" s="56">
        <v>230</v>
      </c>
      <c r="CU37" s="55">
        <v>42</v>
      </c>
      <c r="CV37" s="56">
        <v>230</v>
      </c>
      <c r="CW37" s="55">
        <v>27</v>
      </c>
      <c r="CX37" s="56">
        <v>230</v>
      </c>
      <c r="CY37" s="55">
        <v>41</v>
      </c>
      <c r="CZ37" s="56">
        <v>250</v>
      </c>
      <c r="DA37" s="55">
        <v>50</v>
      </c>
      <c r="DB37" s="56">
        <v>240</v>
      </c>
      <c r="DC37" s="55">
        <v>38</v>
      </c>
      <c r="DD37" s="56">
        <v>230</v>
      </c>
      <c r="DE37" s="55">
        <v>45</v>
      </c>
      <c r="DF37" s="56">
        <v>250</v>
      </c>
      <c r="DG37" s="55">
        <v>35</v>
      </c>
      <c r="DH37" s="56">
        <v>235</v>
      </c>
      <c r="DI37" s="55">
        <v>47</v>
      </c>
      <c r="DJ37" s="56">
        <v>250</v>
      </c>
      <c r="DK37" s="55">
        <v>41</v>
      </c>
      <c r="DL37" s="56">
        <v>250</v>
      </c>
      <c r="DM37" s="55">
        <v>37</v>
      </c>
      <c r="DN37" s="56">
        <v>260</v>
      </c>
      <c r="DO37" s="55">
        <v>36</v>
      </c>
      <c r="DP37" s="56">
        <v>250</v>
      </c>
      <c r="DQ37" s="55">
        <v>50</v>
      </c>
      <c r="DR37" s="56">
        <v>260</v>
      </c>
      <c r="DS37" s="55">
        <v>40</v>
      </c>
      <c r="DT37" s="56">
        <v>250</v>
      </c>
      <c r="DU37" s="55">
        <v>32</v>
      </c>
      <c r="DV37" s="56">
        <v>260</v>
      </c>
      <c r="DW37" s="55">
        <v>42</v>
      </c>
      <c r="DX37" s="56">
        <v>270</v>
      </c>
      <c r="DY37" s="55">
        <v>44</v>
      </c>
      <c r="DZ37" s="56">
        <v>270</v>
      </c>
      <c r="EA37" s="55">
        <v>38</v>
      </c>
      <c r="EB37" s="56">
        <v>273</v>
      </c>
      <c r="EC37" s="55">
        <v>45</v>
      </c>
      <c r="ED37" s="56">
        <v>270</v>
      </c>
      <c r="EE37" s="55">
        <v>41</v>
      </c>
      <c r="EF37" s="56">
        <v>265</v>
      </c>
      <c r="EG37" s="55">
        <v>40</v>
      </c>
      <c r="EH37" s="56">
        <v>293</v>
      </c>
      <c r="EI37" s="55">
        <v>42</v>
      </c>
      <c r="EJ37" s="56">
        <v>273</v>
      </c>
      <c r="EK37" s="55">
        <v>37</v>
      </c>
      <c r="EL37" s="56">
        <v>290</v>
      </c>
      <c r="EM37" s="55">
        <v>56</v>
      </c>
      <c r="EN37" s="56">
        <v>290</v>
      </c>
      <c r="EO37" s="55">
        <v>37</v>
      </c>
      <c r="EP37" s="56">
        <v>295</v>
      </c>
      <c r="EQ37" s="55">
        <v>45</v>
      </c>
      <c r="ER37" s="56">
        <v>295</v>
      </c>
      <c r="ES37" s="55">
        <v>38</v>
      </c>
      <c r="ET37" s="56">
        <v>295</v>
      </c>
      <c r="EU37" s="55">
        <v>33</v>
      </c>
      <c r="EV37" s="56">
        <v>300</v>
      </c>
      <c r="EW37" s="55">
        <v>31</v>
      </c>
      <c r="EX37" s="56">
        <v>310</v>
      </c>
      <c r="EY37" s="55">
        <v>37</v>
      </c>
      <c r="EZ37" s="56">
        <v>300</v>
      </c>
      <c r="FA37" s="55">
        <v>39</v>
      </c>
      <c r="FB37" s="56">
        <v>300</v>
      </c>
      <c r="FC37" s="55">
        <v>30</v>
      </c>
      <c r="FD37" s="56">
        <v>288</v>
      </c>
      <c r="FE37" s="55">
        <v>33</v>
      </c>
      <c r="FF37" s="56">
        <v>300</v>
      </c>
      <c r="FG37" s="55">
        <v>45</v>
      </c>
      <c r="FH37" s="56">
        <v>350</v>
      </c>
      <c r="FI37" s="55">
        <v>34</v>
      </c>
      <c r="FJ37" s="56">
        <v>340</v>
      </c>
      <c r="FK37" s="55">
        <v>35</v>
      </c>
      <c r="FL37" s="56">
        <v>350</v>
      </c>
      <c r="FM37" s="55">
        <v>30</v>
      </c>
      <c r="FN37" s="56">
        <v>345</v>
      </c>
      <c r="FO37" s="55">
        <v>43</v>
      </c>
      <c r="FP37" s="56">
        <v>350</v>
      </c>
      <c r="FQ37" s="55">
        <v>42</v>
      </c>
      <c r="FR37" s="56">
        <v>330</v>
      </c>
      <c r="FS37" s="55">
        <v>35</v>
      </c>
      <c r="FT37" s="56">
        <v>370</v>
      </c>
      <c r="FU37" s="55">
        <v>36</v>
      </c>
      <c r="FV37" s="56">
        <v>360</v>
      </c>
      <c r="FW37" s="55">
        <v>33</v>
      </c>
      <c r="FX37" s="56">
        <v>390</v>
      </c>
      <c r="FY37" s="55">
        <v>38</v>
      </c>
      <c r="FZ37" s="56">
        <v>400</v>
      </c>
      <c r="GA37" s="55">
        <v>27</v>
      </c>
      <c r="GB37" s="56">
        <v>375</v>
      </c>
      <c r="GC37" s="55">
        <v>27</v>
      </c>
      <c r="GD37" s="56">
        <v>380</v>
      </c>
      <c r="GE37" s="55">
        <v>58</v>
      </c>
      <c r="GF37" s="56">
        <v>450</v>
      </c>
      <c r="GG37" s="55">
        <v>18</v>
      </c>
      <c r="GH37" s="56">
        <v>480</v>
      </c>
      <c r="GI37" s="55">
        <v>30</v>
      </c>
      <c r="GJ37" s="56">
        <v>450</v>
      </c>
      <c r="GK37" s="55">
        <v>24</v>
      </c>
      <c r="GL37" s="56">
        <v>433</v>
      </c>
      <c r="GM37" s="55">
        <v>42</v>
      </c>
      <c r="GN37" s="56">
        <v>475</v>
      </c>
      <c r="GO37" s="55">
        <v>22</v>
      </c>
      <c r="GP37" s="56">
        <v>455</v>
      </c>
      <c r="GQ37" s="55">
        <v>33</v>
      </c>
      <c r="GR37" s="56">
        <v>450</v>
      </c>
      <c r="GS37" s="55">
        <v>30</v>
      </c>
      <c r="GT37" s="56">
        <v>450</v>
      </c>
      <c r="GU37" s="55">
        <v>45</v>
      </c>
      <c r="GV37" s="56">
        <v>460</v>
      </c>
      <c r="GW37" s="55">
        <v>22</v>
      </c>
      <c r="GX37" s="56">
        <v>490</v>
      </c>
      <c r="GY37" s="55">
        <v>40</v>
      </c>
      <c r="GZ37" s="56">
        <v>478</v>
      </c>
      <c r="HA37" s="7">
        <v>38</v>
      </c>
      <c r="HB37" s="56">
        <v>520</v>
      </c>
      <c r="HC37" s="7">
        <v>31</v>
      </c>
      <c r="HD37" s="56">
        <v>500</v>
      </c>
      <c r="HE37" s="7">
        <v>22</v>
      </c>
      <c r="HF37" s="56">
        <v>485</v>
      </c>
    </row>
    <row r="38" spans="1:214" x14ac:dyDescent="0.25">
      <c r="A38" s="53"/>
      <c r="B38" s="54" t="s">
        <v>778</v>
      </c>
      <c r="C38" s="55">
        <v>45</v>
      </c>
      <c r="D38" s="56">
        <v>130</v>
      </c>
      <c r="E38" s="55">
        <v>33</v>
      </c>
      <c r="F38" s="56">
        <v>130</v>
      </c>
      <c r="G38" s="55">
        <v>48</v>
      </c>
      <c r="H38" s="56">
        <v>130</v>
      </c>
      <c r="I38" s="55">
        <v>45</v>
      </c>
      <c r="J38" s="56">
        <v>130</v>
      </c>
      <c r="K38" s="55">
        <v>42</v>
      </c>
      <c r="L38" s="56">
        <v>130</v>
      </c>
      <c r="M38" s="55">
        <v>47</v>
      </c>
      <c r="N38" s="56">
        <v>135</v>
      </c>
      <c r="O38" s="55">
        <v>36</v>
      </c>
      <c r="P38" s="56">
        <v>130</v>
      </c>
      <c r="Q38" s="55">
        <v>48</v>
      </c>
      <c r="R38" s="56">
        <v>130</v>
      </c>
      <c r="S38" s="55">
        <v>40</v>
      </c>
      <c r="T38" s="56">
        <v>135</v>
      </c>
      <c r="U38" s="55">
        <v>33</v>
      </c>
      <c r="V38" s="56">
        <v>145</v>
      </c>
      <c r="W38" s="55">
        <v>39</v>
      </c>
      <c r="X38" s="56">
        <v>145</v>
      </c>
      <c r="Y38" s="55">
        <v>42</v>
      </c>
      <c r="Z38" s="56">
        <v>150</v>
      </c>
      <c r="AA38" s="55">
        <v>33</v>
      </c>
      <c r="AB38" s="56">
        <v>150</v>
      </c>
      <c r="AC38" s="55">
        <v>44</v>
      </c>
      <c r="AD38" s="56">
        <v>150</v>
      </c>
      <c r="AE38" s="55">
        <v>32</v>
      </c>
      <c r="AF38" s="56">
        <v>168</v>
      </c>
      <c r="AG38" s="55">
        <v>37</v>
      </c>
      <c r="AH38" s="56">
        <v>160</v>
      </c>
      <c r="AI38" s="55">
        <v>28</v>
      </c>
      <c r="AJ38" s="56">
        <v>168</v>
      </c>
      <c r="AK38" s="55">
        <v>46</v>
      </c>
      <c r="AL38" s="56">
        <v>163</v>
      </c>
      <c r="AM38" s="55">
        <v>36</v>
      </c>
      <c r="AN38" s="56">
        <v>180</v>
      </c>
      <c r="AO38" s="55">
        <v>39</v>
      </c>
      <c r="AP38" s="56">
        <v>180</v>
      </c>
      <c r="AQ38" s="55">
        <v>43</v>
      </c>
      <c r="AR38" s="56">
        <v>180</v>
      </c>
      <c r="AS38" s="55">
        <v>39</v>
      </c>
      <c r="AT38" s="56">
        <v>175</v>
      </c>
      <c r="AU38" s="55">
        <v>35</v>
      </c>
      <c r="AV38" s="56">
        <v>180</v>
      </c>
      <c r="AW38" s="55">
        <v>41</v>
      </c>
      <c r="AX38" s="56">
        <v>185</v>
      </c>
      <c r="AY38" s="55">
        <v>34</v>
      </c>
      <c r="AZ38" s="56">
        <v>190</v>
      </c>
      <c r="BA38" s="55">
        <v>32</v>
      </c>
      <c r="BB38" s="56">
        <v>183</v>
      </c>
      <c r="BC38" s="55">
        <v>30</v>
      </c>
      <c r="BD38" s="56">
        <v>190</v>
      </c>
      <c r="BE38" s="55">
        <v>45</v>
      </c>
      <c r="BF38" s="56">
        <v>185</v>
      </c>
      <c r="BG38" s="55">
        <v>32</v>
      </c>
      <c r="BH38" s="56">
        <v>188</v>
      </c>
      <c r="BI38" s="55">
        <v>28</v>
      </c>
      <c r="BJ38" s="56">
        <v>180</v>
      </c>
      <c r="BK38" s="55">
        <v>43</v>
      </c>
      <c r="BL38" s="56">
        <v>200</v>
      </c>
      <c r="BM38" s="55">
        <v>41</v>
      </c>
      <c r="BN38" s="56">
        <v>190</v>
      </c>
      <c r="BO38" s="55">
        <v>38</v>
      </c>
      <c r="BP38" s="56">
        <v>188</v>
      </c>
      <c r="BQ38" s="55">
        <v>42</v>
      </c>
      <c r="BR38" s="56">
        <v>190</v>
      </c>
      <c r="BS38" s="55">
        <v>37</v>
      </c>
      <c r="BT38" s="56">
        <v>200</v>
      </c>
      <c r="BU38" s="55">
        <v>52</v>
      </c>
      <c r="BV38" s="56">
        <v>200</v>
      </c>
      <c r="BW38" s="55">
        <v>37</v>
      </c>
      <c r="BX38" s="56">
        <v>200</v>
      </c>
      <c r="BY38" s="55">
        <v>40</v>
      </c>
      <c r="BZ38" s="56">
        <v>203</v>
      </c>
      <c r="CA38" s="55">
        <v>39</v>
      </c>
      <c r="CB38" s="56">
        <v>210</v>
      </c>
      <c r="CC38" s="55">
        <v>48</v>
      </c>
      <c r="CD38" s="56">
        <v>205</v>
      </c>
      <c r="CE38" s="55">
        <v>35</v>
      </c>
      <c r="CF38" s="56">
        <v>200</v>
      </c>
      <c r="CG38" s="55">
        <v>34</v>
      </c>
      <c r="CH38" s="56">
        <v>218</v>
      </c>
      <c r="CI38" s="55">
        <v>40</v>
      </c>
      <c r="CJ38" s="56">
        <v>207</v>
      </c>
      <c r="CK38" s="55">
        <v>48</v>
      </c>
      <c r="CL38" s="56">
        <v>220</v>
      </c>
      <c r="CM38" s="55">
        <v>51</v>
      </c>
      <c r="CN38" s="56">
        <v>210</v>
      </c>
      <c r="CO38" s="55">
        <v>40</v>
      </c>
      <c r="CP38" s="56">
        <v>220</v>
      </c>
      <c r="CQ38" s="55">
        <v>40</v>
      </c>
      <c r="CR38" s="56">
        <v>230</v>
      </c>
      <c r="CS38" s="55">
        <v>53</v>
      </c>
      <c r="CT38" s="56">
        <v>225</v>
      </c>
      <c r="CU38" s="55">
        <v>58</v>
      </c>
      <c r="CV38" s="56">
        <v>230</v>
      </c>
      <c r="CW38" s="55">
        <v>51</v>
      </c>
      <c r="CX38" s="56">
        <v>235</v>
      </c>
      <c r="CY38" s="55">
        <v>44</v>
      </c>
      <c r="CZ38" s="56">
        <v>235</v>
      </c>
      <c r="DA38" s="55">
        <v>51</v>
      </c>
      <c r="DB38" s="56">
        <v>240</v>
      </c>
      <c r="DC38" s="55">
        <v>42</v>
      </c>
      <c r="DD38" s="56">
        <v>250</v>
      </c>
      <c r="DE38" s="55">
        <v>46</v>
      </c>
      <c r="DF38" s="56">
        <v>230</v>
      </c>
      <c r="DG38" s="55">
        <v>47</v>
      </c>
      <c r="DH38" s="56">
        <v>230</v>
      </c>
      <c r="DI38" s="55">
        <v>44</v>
      </c>
      <c r="DJ38" s="56">
        <v>230</v>
      </c>
      <c r="DK38" s="55">
        <v>54</v>
      </c>
      <c r="DL38" s="56">
        <v>230</v>
      </c>
      <c r="DM38" s="55">
        <v>39</v>
      </c>
      <c r="DN38" s="56">
        <v>250</v>
      </c>
      <c r="DO38" s="55">
        <v>44</v>
      </c>
      <c r="DP38" s="56">
        <v>240</v>
      </c>
      <c r="DQ38" s="55">
        <v>43</v>
      </c>
      <c r="DR38" s="56">
        <v>250</v>
      </c>
      <c r="DS38" s="55">
        <v>32</v>
      </c>
      <c r="DT38" s="56">
        <v>250</v>
      </c>
      <c r="DU38" s="55">
        <v>45</v>
      </c>
      <c r="DV38" s="56">
        <v>250</v>
      </c>
      <c r="DW38" s="55">
        <v>59</v>
      </c>
      <c r="DX38" s="56">
        <v>250</v>
      </c>
      <c r="DY38" s="55">
        <v>48</v>
      </c>
      <c r="DZ38" s="56">
        <v>259</v>
      </c>
      <c r="EA38" s="55">
        <v>52</v>
      </c>
      <c r="EB38" s="56">
        <v>245</v>
      </c>
      <c r="EC38" s="55">
        <v>39</v>
      </c>
      <c r="ED38" s="56">
        <v>250</v>
      </c>
      <c r="EE38" s="55">
        <v>43</v>
      </c>
      <c r="EF38" s="56">
        <v>260</v>
      </c>
      <c r="EG38" s="55">
        <v>60</v>
      </c>
      <c r="EH38" s="56">
        <v>253</v>
      </c>
      <c r="EI38" s="55">
        <v>37</v>
      </c>
      <c r="EJ38" s="56">
        <v>260</v>
      </c>
      <c r="EK38" s="55">
        <v>51</v>
      </c>
      <c r="EL38" s="56">
        <v>260</v>
      </c>
      <c r="EM38" s="55">
        <v>46</v>
      </c>
      <c r="EN38" s="56">
        <v>270</v>
      </c>
      <c r="EO38" s="55">
        <v>41</v>
      </c>
      <c r="EP38" s="56">
        <v>270</v>
      </c>
      <c r="EQ38" s="55">
        <v>43</v>
      </c>
      <c r="ER38" s="56">
        <v>280</v>
      </c>
      <c r="ES38" s="55">
        <v>41</v>
      </c>
      <c r="ET38" s="56">
        <v>260</v>
      </c>
      <c r="EU38" s="55">
        <v>41</v>
      </c>
      <c r="EV38" s="56">
        <v>280</v>
      </c>
      <c r="EW38" s="55">
        <v>48</v>
      </c>
      <c r="EX38" s="56">
        <v>268</v>
      </c>
      <c r="EY38" s="55">
        <v>46</v>
      </c>
      <c r="EZ38" s="56">
        <v>280</v>
      </c>
      <c r="FA38" s="55">
        <v>47</v>
      </c>
      <c r="FB38" s="56">
        <v>270</v>
      </c>
      <c r="FC38" s="55">
        <v>35</v>
      </c>
      <c r="FD38" s="56">
        <v>300</v>
      </c>
      <c r="FE38" s="55">
        <v>42</v>
      </c>
      <c r="FF38" s="56">
        <v>310</v>
      </c>
      <c r="FG38" s="55">
        <v>46</v>
      </c>
      <c r="FH38" s="56">
        <v>320</v>
      </c>
      <c r="FI38" s="55">
        <v>40</v>
      </c>
      <c r="FJ38" s="56">
        <v>320</v>
      </c>
      <c r="FK38" s="55">
        <v>45</v>
      </c>
      <c r="FL38" s="56">
        <v>320</v>
      </c>
      <c r="FM38" s="55">
        <v>51</v>
      </c>
      <c r="FN38" s="56">
        <v>330</v>
      </c>
      <c r="FO38" s="55">
        <v>31</v>
      </c>
      <c r="FP38" s="56">
        <v>330</v>
      </c>
      <c r="FQ38" s="55">
        <v>29</v>
      </c>
      <c r="FR38" s="56">
        <v>350</v>
      </c>
      <c r="FS38" s="55">
        <v>30</v>
      </c>
      <c r="FT38" s="56">
        <v>350</v>
      </c>
      <c r="FU38" s="55">
        <v>35</v>
      </c>
      <c r="FV38" s="56">
        <v>360</v>
      </c>
      <c r="FW38" s="55">
        <v>33</v>
      </c>
      <c r="FX38" s="56">
        <v>370</v>
      </c>
      <c r="FY38" s="55">
        <v>44</v>
      </c>
      <c r="FZ38" s="56">
        <v>380</v>
      </c>
      <c r="GA38" s="55">
        <v>25</v>
      </c>
      <c r="GB38" s="56">
        <v>400</v>
      </c>
      <c r="GC38" s="55">
        <v>42</v>
      </c>
      <c r="GD38" s="56">
        <v>420</v>
      </c>
      <c r="GE38" s="55">
        <v>40</v>
      </c>
      <c r="GF38" s="56">
        <v>400</v>
      </c>
      <c r="GG38" s="55">
        <v>34</v>
      </c>
      <c r="GH38" s="56">
        <v>400</v>
      </c>
      <c r="GI38" s="55">
        <v>39</v>
      </c>
      <c r="GJ38" s="56">
        <v>420</v>
      </c>
      <c r="GK38" s="55">
        <v>50</v>
      </c>
      <c r="GL38" s="56">
        <v>420</v>
      </c>
      <c r="GM38" s="55">
        <v>50</v>
      </c>
      <c r="GN38" s="56">
        <v>420</v>
      </c>
      <c r="GO38" s="55">
        <v>40</v>
      </c>
      <c r="GP38" s="56">
        <v>420</v>
      </c>
      <c r="GQ38" s="55">
        <v>30</v>
      </c>
      <c r="GR38" s="56">
        <v>425</v>
      </c>
      <c r="GS38" s="55">
        <v>33</v>
      </c>
      <c r="GT38" s="56">
        <v>425</v>
      </c>
      <c r="GU38" s="55">
        <v>40</v>
      </c>
      <c r="GV38" s="56">
        <v>450</v>
      </c>
      <c r="GW38" s="55">
        <v>39</v>
      </c>
      <c r="GX38" s="56">
        <v>430</v>
      </c>
      <c r="GY38" s="55">
        <v>38</v>
      </c>
      <c r="GZ38" s="56">
        <v>448</v>
      </c>
      <c r="HA38">
        <v>45</v>
      </c>
      <c r="HB38" s="56">
        <v>450</v>
      </c>
      <c r="HC38">
        <v>41</v>
      </c>
      <c r="HD38" s="56">
        <v>470</v>
      </c>
      <c r="HE38">
        <v>37</v>
      </c>
      <c r="HF38" s="56">
        <v>450</v>
      </c>
    </row>
    <row r="39" spans="1:214" x14ac:dyDescent="0.25">
      <c r="A39" s="53"/>
      <c r="B39" s="54" t="s">
        <v>779</v>
      </c>
      <c r="C39" s="55">
        <v>201</v>
      </c>
      <c r="D39" s="56">
        <v>150</v>
      </c>
      <c r="E39" s="55">
        <v>229</v>
      </c>
      <c r="F39" s="56">
        <v>150</v>
      </c>
      <c r="G39" s="55">
        <v>216</v>
      </c>
      <c r="H39" s="56">
        <v>155</v>
      </c>
      <c r="I39" s="55">
        <v>201</v>
      </c>
      <c r="J39" s="56">
        <v>155</v>
      </c>
      <c r="K39" s="55">
        <v>199</v>
      </c>
      <c r="L39" s="56">
        <v>160</v>
      </c>
      <c r="M39" s="55">
        <v>245</v>
      </c>
      <c r="N39" s="56">
        <v>160</v>
      </c>
      <c r="O39" s="55">
        <v>159</v>
      </c>
      <c r="P39" s="56">
        <v>160</v>
      </c>
      <c r="Q39" s="55">
        <v>182</v>
      </c>
      <c r="R39" s="56">
        <v>160</v>
      </c>
      <c r="S39" s="55">
        <v>168</v>
      </c>
      <c r="T39" s="56">
        <v>165</v>
      </c>
      <c r="U39" s="55">
        <v>197</v>
      </c>
      <c r="V39" s="56">
        <v>165</v>
      </c>
      <c r="W39" s="55">
        <v>192</v>
      </c>
      <c r="X39" s="56">
        <v>170</v>
      </c>
      <c r="Y39" s="55">
        <v>191</v>
      </c>
      <c r="Z39" s="56">
        <v>170</v>
      </c>
      <c r="AA39" s="55">
        <v>208</v>
      </c>
      <c r="AB39" s="56">
        <v>173</v>
      </c>
      <c r="AC39" s="55">
        <v>190</v>
      </c>
      <c r="AD39" s="56">
        <v>170</v>
      </c>
      <c r="AE39" s="55">
        <v>181</v>
      </c>
      <c r="AF39" s="56">
        <v>180</v>
      </c>
      <c r="AG39" s="55">
        <v>199</v>
      </c>
      <c r="AH39" s="56">
        <v>180</v>
      </c>
      <c r="AI39" s="55">
        <v>205</v>
      </c>
      <c r="AJ39" s="56">
        <v>180</v>
      </c>
      <c r="AK39" s="55">
        <v>186</v>
      </c>
      <c r="AL39" s="56">
        <v>180</v>
      </c>
      <c r="AM39" s="55">
        <v>182</v>
      </c>
      <c r="AN39" s="56">
        <v>180</v>
      </c>
      <c r="AO39" s="55">
        <v>218</v>
      </c>
      <c r="AP39" s="56">
        <v>190</v>
      </c>
      <c r="AQ39" s="55">
        <v>169</v>
      </c>
      <c r="AR39" s="56">
        <v>185</v>
      </c>
      <c r="AS39" s="55">
        <v>185</v>
      </c>
      <c r="AT39" s="56">
        <v>190</v>
      </c>
      <c r="AU39" s="55">
        <v>194</v>
      </c>
      <c r="AV39" s="56">
        <v>190</v>
      </c>
      <c r="AW39" s="55">
        <v>229</v>
      </c>
      <c r="AX39" s="56">
        <v>200</v>
      </c>
      <c r="AY39" s="55">
        <v>179</v>
      </c>
      <c r="AZ39" s="56">
        <v>190</v>
      </c>
      <c r="BA39" s="55">
        <v>199</v>
      </c>
      <c r="BB39" s="56">
        <v>190</v>
      </c>
      <c r="BC39" s="55">
        <v>186</v>
      </c>
      <c r="BD39" s="56">
        <v>205</v>
      </c>
      <c r="BE39" s="55">
        <v>174</v>
      </c>
      <c r="BF39" s="56">
        <v>208</v>
      </c>
      <c r="BG39" s="55">
        <v>166</v>
      </c>
      <c r="BH39" s="56">
        <v>190</v>
      </c>
      <c r="BI39" s="55">
        <v>202</v>
      </c>
      <c r="BJ39" s="56">
        <v>200</v>
      </c>
      <c r="BK39" s="55">
        <v>172</v>
      </c>
      <c r="BL39" s="56">
        <v>210</v>
      </c>
      <c r="BM39" s="55">
        <v>175</v>
      </c>
      <c r="BN39" s="56">
        <v>220</v>
      </c>
      <c r="BO39" s="55">
        <v>173</v>
      </c>
      <c r="BP39" s="56">
        <v>215</v>
      </c>
      <c r="BQ39" s="55">
        <v>206</v>
      </c>
      <c r="BR39" s="56">
        <v>210</v>
      </c>
      <c r="BS39" s="55">
        <v>168</v>
      </c>
      <c r="BT39" s="56">
        <v>215</v>
      </c>
      <c r="BU39" s="55">
        <v>213</v>
      </c>
      <c r="BV39" s="56">
        <v>210</v>
      </c>
      <c r="BW39" s="55">
        <v>208</v>
      </c>
      <c r="BX39" s="56">
        <v>230</v>
      </c>
      <c r="BY39" s="55">
        <v>197</v>
      </c>
      <c r="BZ39" s="56">
        <v>220</v>
      </c>
      <c r="CA39" s="55">
        <v>226</v>
      </c>
      <c r="CB39" s="56">
        <v>230</v>
      </c>
      <c r="CC39" s="55">
        <v>210</v>
      </c>
      <c r="CD39" s="56">
        <v>225</v>
      </c>
      <c r="CE39" s="55">
        <v>192</v>
      </c>
      <c r="CF39" s="56">
        <v>230</v>
      </c>
      <c r="CG39" s="55">
        <v>190</v>
      </c>
      <c r="CH39" s="56">
        <v>230</v>
      </c>
      <c r="CI39" s="55">
        <v>188</v>
      </c>
      <c r="CJ39" s="56">
        <v>240</v>
      </c>
      <c r="CK39" s="55">
        <v>187</v>
      </c>
      <c r="CL39" s="56">
        <v>230</v>
      </c>
      <c r="CM39" s="55">
        <v>212</v>
      </c>
      <c r="CN39" s="56">
        <v>245</v>
      </c>
      <c r="CO39" s="55">
        <v>202</v>
      </c>
      <c r="CP39" s="56">
        <v>245</v>
      </c>
      <c r="CQ39" s="55">
        <v>196</v>
      </c>
      <c r="CR39" s="56">
        <v>240</v>
      </c>
      <c r="CS39" s="55">
        <v>203</v>
      </c>
      <c r="CT39" s="56">
        <v>250</v>
      </c>
      <c r="CU39" s="55">
        <v>187</v>
      </c>
      <c r="CV39" s="56">
        <v>240</v>
      </c>
      <c r="CW39" s="55">
        <v>200</v>
      </c>
      <c r="CX39" s="56">
        <v>250</v>
      </c>
      <c r="CY39" s="55">
        <v>204</v>
      </c>
      <c r="CZ39" s="56">
        <v>258</v>
      </c>
      <c r="DA39" s="55">
        <v>210</v>
      </c>
      <c r="DB39" s="56">
        <v>250</v>
      </c>
      <c r="DC39" s="55">
        <v>217</v>
      </c>
      <c r="DD39" s="56">
        <v>255</v>
      </c>
      <c r="DE39" s="55">
        <v>196</v>
      </c>
      <c r="DF39" s="56">
        <v>250</v>
      </c>
      <c r="DG39" s="55">
        <v>205</v>
      </c>
      <c r="DH39" s="56">
        <v>255</v>
      </c>
      <c r="DI39" s="55">
        <v>214</v>
      </c>
      <c r="DJ39" s="56">
        <v>253</v>
      </c>
      <c r="DK39" s="55">
        <v>211</v>
      </c>
      <c r="DL39" s="56">
        <v>260</v>
      </c>
      <c r="DM39" s="55">
        <v>226</v>
      </c>
      <c r="DN39" s="56">
        <v>260</v>
      </c>
      <c r="DO39" s="55">
        <v>167</v>
      </c>
      <c r="DP39" s="56">
        <v>265</v>
      </c>
      <c r="DQ39" s="55">
        <v>189</v>
      </c>
      <c r="DR39" s="56">
        <v>275</v>
      </c>
      <c r="DS39" s="55">
        <v>209</v>
      </c>
      <c r="DT39" s="56">
        <v>270</v>
      </c>
      <c r="DU39" s="55">
        <v>175</v>
      </c>
      <c r="DV39" s="56">
        <v>270</v>
      </c>
      <c r="DW39" s="55">
        <v>223</v>
      </c>
      <c r="DX39" s="56">
        <v>275</v>
      </c>
      <c r="DY39" s="55">
        <v>221</v>
      </c>
      <c r="DZ39" s="56">
        <v>270</v>
      </c>
      <c r="EA39" s="55">
        <v>218</v>
      </c>
      <c r="EB39" s="56">
        <v>275</v>
      </c>
      <c r="EC39" s="55">
        <v>209</v>
      </c>
      <c r="ED39" s="56">
        <v>270</v>
      </c>
      <c r="EE39" s="55">
        <v>222</v>
      </c>
      <c r="EF39" s="56">
        <v>270</v>
      </c>
      <c r="EG39" s="55">
        <v>231</v>
      </c>
      <c r="EH39" s="56">
        <v>275</v>
      </c>
      <c r="EI39" s="55">
        <v>182</v>
      </c>
      <c r="EJ39" s="56">
        <v>285</v>
      </c>
      <c r="EK39" s="55">
        <v>191</v>
      </c>
      <c r="EL39" s="56">
        <v>275</v>
      </c>
      <c r="EM39" s="55">
        <v>214</v>
      </c>
      <c r="EN39" s="56">
        <v>285</v>
      </c>
      <c r="EO39" s="55">
        <v>235</v>
      </c>
      <c r="EP39" s="56">
        <v>290</v>
      </c>
      <c r="EQ39" s="55">
        <v>221</v>
      </c>
      <c r="ER39" s="56">
        <v>290</v>
      </c>
      <c r="ES39" s="55">
        <v>226</v>
      </c>
      <c r="ET39" s="56">
        <v>285</v>
      </c>
      <c r="EU39" s="55">
        <v>209</v>
      </c>
      <c r="EV39" s="56">
        <v>290</v>
      </c>
      <c r="EW39" s="55">
        <v>211</v>
      </c>
      <c r="EX39" s="56">
        <v>290</v>
      </c>
      <c r="EY39" s="55">
        <v>183</v>
      </c>
      <c r="EZ39" s="56">
        <v>290</v>
      </c>
      <c r="FA39" s="55">
        <v>206</v>
      </c>
      <c r="FB39" s="56">
        <v>298</v>
      </c>
      <c r="FC39" s="55">
        <v>166</v>
      </c>
      <c r="FD39" s="56">
        <v>300</v>
      </c>
      <c r="FE39" s="55">
        <v>196</v>
      </c>
      <c r="FF39" s="56">
        <v>310</v>
      </c>
      <c r="FG39" s="55">
        <v>211</v>
      </c>
      <c r="FH39" s="56">
        <v>300</v>
      </c>
      <c r="FI39" s="55">
        <v>171</v>
      </c>
      <c r="FJ39" s="56">
        <v>300</v>
      </c>
      <c r="FK39" s="55">
        <v>191</v>
      </c>
      <c r="FL39" s="56">
        <v>300</v>
      </c>
      <c r="FM39" s="55">
        <v>201</v>
      </c>
      <c r="FN39" s="56">
        <v>315</v>
      </c>
      <c r="FO39" s="55">
        <v>177</v>
      </c>
      <c r="FP39" s="56">
        <v>310</v>
      </c>
      <c r="FQ39" s="55">
        <v>202</v>
      </c>
      <c r="FR39" s="56">
        <v>310</v>
      </c>
      <c r="FS39" s="55">
        <v>150</v>
      </c>
      <c r="FT39" s="56">
        <v>320</v>
      </c>
      <c r="FU39" s="55">
        <v>173</v>
      </c>
      <c r="FV39" s="56">
        <v>320</v>
      </c>
      <c r="FW39" s="55">
        <v>165</v>
      </c>
      <c r="FX39" s="56">
        <v>330</v>
      </c>
      <c r="FY39" s="55">
        <v>158</v>
      </c>
      <c r="FZ39" s="56">
        <v>350</v>
      </c>
      <c r="GA39" s="55">
        <v>184</v>
      </c>
      <c r="GB39" s="56">
        <v>350</v>
      </c>
      <c r="GC39" s="55">
        <v>159</v>
      </c>
      <c r="GD39" s="56">
        <v>360</v>
      </c>
      <c r="GE39" s="55">
        <v>177</v>
      </c>
      <c r="GF39" s="56">
        <v>365</v>
      </c>
      <c r="GG39" s="55">
        <v>174</v>
      </c>
      <c r="GH39" s="56">
        <v>390</v>
      </c>
      <c r="GI39" s="55">
        <v>157</v>
      </c>
      <c r="GJ39" s="56">
        <v>400</v>
      </c>
      <c r="GK39" s="55">
        <v>148</v>
      </c>
      <c r="GL39" s="56">
        <v>400</v>
      </c>
      <c r="GM39" s="55">
        <v>158</v>
      </c>
      <c r="GN39" s="56">
        <v>409</v>
      </c>
      <c r="GO39" s="55">
        <v>137</v>
      </c>
      <c r="GP39" s="56">
        <v>420</v>
      </c>
      <c r="GQ39" s="55">
        <v>145</v>
      </c>
      <c r="GR39" s="56">
        <v>420</v>
      </c>
      <c r="GS39" s="55">
        <v>157</v>
      </c>
      <c r="GT39" s="56">
        <v>450</v>
      </c>
      <c r="GU39" s="55">
        <v>162</v>
      </c>
      <c r="GV39" s="56">
        <v>440</v>
      </c>
      <c r="GW39" s="55">
        <v>158</v>
      </c>
      <c r="GX39" s="56">
        <v>450</v>
      </c>
      <c r="GY39" s="55">
        <v>166</v>
      </c>
      <c r="GZ39" s="56">
        <v>450</v>
      </c>
      <c r="HA39">
        <v>185</v>
      </c>
      <c r="HB39" s="56">
        <v>470</v>
      </c>
      <c r="HC39">
        <v>166</v>
      </c>
      <c r="HD39" s="56">
        <v>490</v>
      </c>
      <c r="HE39">
        <v>213</v>
      </c>
      <c r="HF39" s="56">
        <v>480</v>
      </c>
    </row>
    <row r="40" spans="1:214" x14ac:dyDescent="0.25">
      <c r="A40" s="53"/>
      <c r="B40" s="54" t="s">
        <v>780</v>
      </c>
      <c r="C40" s="55">
        <v>23</v>
      </c>
      <c r="D40" s="56">
        <v>140</v>
      </c>
      <c r="E40" s="55">
        <v>35</v>
      </c>
      <c r="F40" s="56">
        <v>130</v>
      </c>
      <c r="G40" s="55">
        <v>19</v>
      </c>
      <c r="H40" s="56">
        <v>140</v>
      </c>
      <c r="I40" s="55">
        <v>35</v>
      </c>
      <c r="J40" s="56">
        <v>140</v>
      </c>
      <c r="K40" s="55">
        <v>40</v>
      </c>
      <c r="L40" s="56">
        <v>135</v>
      </c>
      <c r="M40" s="55">
        <v>40</v>
      </c>
      <c r="N40" s="56">
        <v>140</v>
      </c>
      <c r="O40" s="55">
        <v>30</v>
      </c>
      <c r="P40" s="56">
        <v>140</v>
      </c>
      <c r="Q40" s="55">
        <v>29</v>
      </c>
      <c r="R40" s="56">
        <v>140</v>
      </c>
      <c r="S40" s="55">
        <v>25</v>
      </c>
      <c r="T40" s="56">
        <v>145</v>
      </c>
      <c r="U40" s="55">
        <v>30</v>
      </c>
      <c r="V40" s="56">
        <v>138</v>
      </c>
      <c r="W40" s="55">
        <v>36</v>
      </c>
      <c r="X40" s="56">
        <v>145</v>
      </c>
      <c r="Y40" s="55">
        <v>39</v>
      </c>
      <c r="Z40" s="56">
        <v>140</v>
      </c>
      <c r="AA40" s="55">
        <v>35</v>
      </c>
      <c r="AB40" s="56">
        <v>150</v>
      </c>
      <c r="AC40" s="55">
        <v>32</v>
      </c>
      <c r="AD40" s="56">
        <v>150</v>
      </c>
      <c r="AE40" s="55">
        <v>37</v>
      </c>
      <c r="AF40" s="56">
        <v>150</v>
      </c>
      <c r="AG40" s="55">
        <v>29</v>
      </c>
      <c r="AH40" s="56">
        <v>150</v>
      </c>
      <c r="AI40" s="55">
        <v>36</v>
      </c>
      <c r="AJ40" s="56">
        <v>155</v>
      </c>
      <c r="AK40" s="55">
        <v>28</v>
      </c>
      <c r="AL40" s="56">
        <v>160</v>
      </c>
      <c r="AM40" s="55">
        <v>43</v>
      </c>
      <c r="AN40" s="56">
        <v>165</v>
      </c>
      <c r="AO40" s="55">
        <v>30</v>
      </c>
      <c r="AP40" s="56">
        <v>170</v>
      </c>
      <c r="AQ40" s="55">
        <v>29</v>
      </c>
      <c r="AR40" s="56">
        <v>180</v>
      </c>
      <c r="AS40" s="55">
        <v>28</v>
      </c>
      <c r="AT40" s="56">
        <v>165</v>
      </c>
      <c r="AU40" s="55">
        <v>32</v>
      </c>
      <c r="AV40" s="56">
        <v>175</v>
      </c>
      <c r="AW40" s="55">
        <v>28</v>
      </c>
      <c r="AX40" s="56">
        <v>183</v>
      </c>
      <c r="AY40" s="55">
        <v>30</v>
      </c>
      <c r="AZ40" s="56">
        <v>188</v>
      </c>
      <c r="BA40" s="55">
        <v>39</v>
      </c>
      <c r="BB40" s="56">
        <v>190</v>
      </c>
      <c r="BC40" s="55">
        <v>37</v>
      </c>
      <c r="BD40" s="56">
        <v>190</v>
      </c>
      <c r="BE40" s="55">
        <v>41</v>
      </c>
      <c r="BF40" s="56">
        <v>200</v>
      </c>
      <c r="BG40" s="55">
        <v>26</v>
      </c>
      <c r="BH40" s="56">
        <v>213</v>
      </c>
      <c r="BI40" s="55">
        <v>31</v>
      </c>
      <c r="BJ40" s="56">
        <v>200</v>
      </c>
      <c r="BK40" s="55">
        <v>28</v>
      </c>
      <c r="BL40" s="56">
        <v>220</v>
      </c>
      <c r="BM40" s="55">
        <v>37</v>
      </c>
      <c r="BN40" s="56">
        <v>200</v>
      </c>
      <c r="BO40" s="55">
        <v>34</v>
      </c>
      <c r="BP40" s="56">
        <v>205</v>
      </c>
      <c r="BQ40" s="55">
        <v>31</v>
      </c>
      <c r="BR40" s="56">
        <v>220</v>
      </c>
      <c r="BS40" s="55">
        <v>42</v>
      </c>
      <c r="BT40" s="56">
        <v>218</v>
      </c>
      <c r="BU40" s="55">
        <v>25</v>
      </c>
      <c r="BV40" s="56">
        <v>220</v>
      </c>
      <c r="BW40" s="55">
        <v>35</v>
      </c>
      <c r="BX40" s="56">
        <v>210</v>
      </c>
      <c r="BY40" s="55">
        <v>31</v>
      </c>
      <c r="BZ40" s="56">
        <v>220</v>
      </c>
      <c r="CA40" s="55">
        <v>29</v>
      </c>
      <c r="CB40" s="56">
        <v>220</v>
      </c>
      <c r="CC40" s="55">
        <v>35</v>
      </c>
      <c r="CD40" s="56">
        <v>210</v>
      </c>
      <c r="CE40" s="55">
        <v>37</v>
      </c>
      <c r="CF40" s="56">
        <v>220</v>
      </c>
      <c r="CG40" s="55">
        <v>30</v>
      </c>
      <c r="CH40" s="56">
        <v>210</v>
      </c>
      <c r="CI40" s="55">
        <v>27</v>
      </c>
      <c r="CJ40" s="56">
        <v>250</v>
      </c>
      <c r="CK40" s="55">
        <v>38</v>
      </c>
      <c r="CL40" s="56">
        <v>220</v>
      </c>
      <c r="CM40" s="55">
        <v>38</v>
      </c>
      <c r="CN40" s="56">
        <v>230</v>
      </c>
      <c r="CO40" s="55">
        <v>20</v>
      </c>
      <c r="CP40" s="56">
        <v>243</v>
      </c>
      <c r="CQ40" s="55">
        <v>34</v>
      </c>
      <c r="CR40" s="56">
        <v>233</v>
      </c>
      <c r="CS40" s="55">
        <v>38</v>
      </c>
      <c r="CT40" s="56">
        <v>240</v>
      </c>
      <c r="CU40" s="55">
        <v>26</v>
      </c>
      <c r="CV40" s="56">
        <v>258</v>
      </c>
      <c r="CW40" s="55">
        <v>35</v>
      </c>
      <c r="CX40" s="56">
        <v>240</v>
      </c>
      <c r="CY40" s="55">
        <v>38</v>
      </c>
      <c r="CZ40" s="56">
        <v>263</v>
      </c>
      <c r="DA40" s="55">
        <v>44</v>
      </c>
      <c r="DB40" s="56">
        <v>255</v>
      </c>
      <c r="DC40" s="55">
        <v>43</v>
      </c>
      <c r="DD40" s="56">
        <v>265</v>
      </c>
      <c r="DE40" s="55">
        <v>30</v>
      </c>
      <c r="DF40" s="56">
        <v>248</v>
      </c>
      <c r="DG40" s="55">
        <v>35</v>
      </c>
      <c r="DH40" s="56">
        <v>255</v>
      </c>
      <c r="DI40" s="55">
        <v>42</v>
      </c>
      <c r="DJ40" s="56">
        <v>260</v>
      </c>
      <c r="DK40" s="55">
        <v>37</v>
      </c>
      <c r="DL40" s="56">
        <v>260</v>
      </c>
      <c r="DM40" s="55">
        <v>27</v>
      </c>
      <c r="DN40" s="56">
        <v>270</v>
      </c>
      <c r="DO40" s="55">
        <v>37</v>
      </c>
      <c r="DP40" s="56">
        <v>240</v>
      </c>
      <c r="DQ40" s="55">
        <v>41</v>
      </c>
      <c r="DR40" s="56">
        <v>260</v>
      </c>
      <c r="DS40" s="55">
        <v>29</v>
      </c>
      <c r="DT40" s="56">
        <v>260</v>
      </c>
      <c r="DU40" s="55">
        <v>29</v>
      </c>
      <c r="DV40" s="56">
        <v>260</v>
      </c>
      <c r="DW40" s="55">
        <v>29</v>
      </c>
      <c r="DX40" s="56">
        <v>280</v>
      </c>
      <c r="DY40" s="55">
        <v>41</v>
      </c>
      <c r="DZ40" s="56">
        <v>280</v>
      </c>
      <c r="EA40" s="55">
        <v>40</v>
      </c>
      <c r="EB40" s="56">
        <v>278</v>
      </c>
      <c r="EC40" s="55">
        <v>37</v>
      </c>
      <c r="ED40" s="56">
        <v>250</v>
      </c>
      <c r="EE40" s="55">
        <v>45</v>
      </c>
      <c r="EF40" s="56">
        <v>275</v>
      </c>
      <c r="EG40" s="55">
        <v>38</v>
      </c>
      <c r="EH40" s="56">
        <v>305</v>
      </c>
      <c r="EI40" s="55">
        <v>21</v>
      </c>
      <c r="EJ40" s="56">
        <v>300</v>
      </c>
      <c r="EK40" s="55">
        <v>33</v>
      </c>
      <c r="EL40" s="56">
        <v>290</v>
      </c>
      <c r="EM40" s="55">
        <v>34</v>
      </c>
      <c r="EN40" s="56">
        <v>280</v>
      </c>
      <c r="EO40" s="55">
        <v>28</v>
      </c>
      <c r="EP40" s="56">
        <v>305</v>
      </c>
      <c r="EQ40" s="55">
        <v>24</v>
      </c>
      <c r="ER40" s="56">
        <v>320</v>
      </c>
      <c r="ES40" s="55">
        <v>31</v>
      </c>
      <c r="ET40" s="56">
        <v>280</v>
      </c>
      <c r="EU40" s="55">
        <v>24</v>
      </c>
      <c r="EV40" s="56">
        <v>313</v>
      </c>
      <c r="EW40" s="55">
        <v>25</v>
      </c>
      <c r="EX40" s="56">
        <v>310</v>
      </c>
      <c r="EY40" s="55">
        <v>28</v>
      </c>
      <c r="EZ40" s="56">
        <v>325</v>
      </c>
      <c r="FA40" s="55">
        <v>16</v>
      </c>
      <c r="FB40" s="56">
        <v>310</v>
      </c>
      <c r="FC40" s="55">
        <v>33</v>
      </c>
      <c r="FD40" s="56">
        <v>310</v>
      </c>
      <c r="FE40" s="55">
        <v>22</v>
      </c>
      <c r="FF40" s="56">
        <v>328</v>
      </c>
      <c r="FG40" s="55">
        <v>18</v>
      </c>
      <c r="FH40" s="56">
        <v>305</v>
      </c>
      <c r="FI40" s="55">
        <v>39</v>
      </c>
      <c r="FJ40" s="56">
        <v>330</v>
      </c>
      <c r="FK40" s="55">
        <v>20</v>
      </c>
      <c r="FL40" s="56">
        <v>350</v>
      </c>
      <c r="FM40" s="55">
        <v>28</v>
      </c>
      <c r="FN40" s="56">
        <v>330</v>
      </c>
      <c r="FO40" s="55">
        <v>29</v>
      </c>
      <c r="FP40" s="56">
        <v>320</v>
      </c>
      <c r="FQ40" s="55">
        <v>27</v>
      </c>
      <c r="FR40" s="56">
        <v>350</v>
      </c>
      <c r="FS40" s="55">
        <v>31</v>
      </c>
      <c r="FT40" s="56">
        <v>315</v>
      </c>
      <c r="FU40" s="55">
        <v>22</v>
      </c>
      <c r="FV40" s="56">
        <v>350</v>
      </c>
      <c r="FW40" s="55">
        <v>29</v>
      </c>
      <c r="FX40" s="56">
        <v>350</v>
      </c>
      <c r="FY40" s="55">
        <v>32</v>
      </c>
      <c r="FZ40" s="56">
        <v>370</v>
      </c>
      <c r="GA40" s="55">
        <v>29</v>
      </c>
      <c r="GB40" s="56">
        <v>400</v>
      </c>
      <c r="GC40" s="55">
        <v>19</v>
      </c>
      <c r="GD40" s="56">
        <v>395</v>
      </c>
      <c r="GE40" s="55">
        <v>28</v>
      </c>
      <c r="GF40" s="56">
        <v>400</v>
      </c>
      <c r="GG40" s="55">
        <v>33</v>
      </c>
      <c r="GH40" s="56">
        <v>420</v>
      </c>
      <c r="GI40" s="55">
        <v>16</v>
      </c>
      <c r="GJ40" s="56">
        <v>400</v>
      </c>
      <c r="GK40" s="55">
        <v>23</v>
      </c>
      <c r="GL40" s="56">
        <v>420</v>
      </c>
      <c r="GM40" s="55">
        <v>20</v>
      </c>
      <c r="GN40" s="56">
        <v>450</v>
      </c>
      <c r="GO40" s="55">
        <v>22</v>
      </c>
      <c r="GP40" s="56">
        <v>420</v>
      </c>
      <c r="GQ40" s="55">
        <v>20</v>
      </c>
      <c r="GR40" s="56">
        <v>450</v>
      </c>
      <c r="GS40" s="55">
        <v>28</v>
      </c>
      <c r="GT40" s="56">
        <v>478</v>
      </c>
      <c r="GU40" s="55">
        <v>26</v>
      </c>
      <c r="GV40" s="56">
        <v>460</v>
      </c>
      <c r="GW40" s="55">
        <v>23</v>
      </c>
      <c r="GX40" s="56">
        <v>440</v>
      </c>
      <c r="GY40" s="55">
        <v>24</v>
      </c>
      <c r="GZ40" s="56">
        <v>450</v>
      </c>
      <c r="HA40">
        <v>23</v>
      </c>
      <c r="HB40" s="56">
        <v>470</v>
      </c>
      <c r="HC40">
        <v>20</v>
      </c>
      <c r="HD40" s="56">
        <v>500</v>
      </c>
      <c r="HE40">
        <v>16</v>
      </c>
      <c r="HF40" s="56">
        <v>510</v>
      </c>
    </row>
    <row r="41" spans="1:214" x14ac:dyDescent="0.25">
      <c r="A41" s="53"/>
      <c r="B41" s="54" t="s">
        <v>781</v>
      </c>
      <c r="C41" s="55">
        <v>16</v>
      </c>
      <c r="D41" s="56">
        <v>138</v>
      </c>
      <c r="E41" s="55">
        <v>11</v>
      </c>
      <c r="F41" s="56">
        <v>135</v>
      </c>
      <c r="G41" s="55">
        <v>15</v>
      </c>
      <c r="H41" s="56">
        <v>135</v>
      </c>
      <c r="I41" s="55">
        <v>17</v>
      </c>
      <c r="J41" s="56">
        <v>150</v>
      </c>
      <c r="K41" s="55">
        <v>9</v>
      </c>
      <c r="L41" s="56">
        <v>149</v>
      </c>
      <c r="M41" s="55">
        <v>16</v>
      </c>
      <c r="N41" s="56">
        <v>150</v>
      </c>
      <c r="O41" s="55">
        <v>19</v>
      </c>
      <c r="P41" s="56">
        <v>145</v>
      </c>
      <c r="Q41" s="55">
        <v>21</v>
      </c>
      <c r="R41" s="56">
        <v>145</v>
      </c>
      <c r="S41" s="55">
        <v>20</v>
      </c>
      <c r="T41" s="56">
        <v>136</v>
      </c>
      <c r="U41" s="55">
        <v>8</v>
      </c>
      <c r="V41" s="56">
        <v>150</v>
      </c>
      <c r="W41" s="55">
        <v>15</v>
      </c>
      <c r="X41" s="56">
        <v>140</v>
      </c>
      <c r="Y41" s="55">
        <v>15</v>
      </c>
      <c r="Z41" s="56">
        <v>140</v>
      </c>
      <c r="AA41" s="55">
        <v>18</v>
      </c>
      <c r="AB41" s="56">
        <v>140</v>
      </c>
      <c r="AC41" s="55">
        <v>15</v>
      </c>
      <c r="AD41" s="56">
        <v>150</v>
      </c>
      <c r="AE41" s="55">
        <v>14</v>
      </c>
      <c r="AF41" s="56">
        <v>158</v>
      </c>
      <c r="AG41" s="55">
        <v>17</v>
      </c>
      <c r="AH41" s="56">
        <v>160</v>
      </c>
      <c r="AI41" s="55">
        <v>17</v>
      </c>
      <c r="AJ41" s="56">
        <v>160</v>
      </c>
      <c r="AK41" s="55">
        <v>17</v>
      </c>
      <c r="AL41" s="56">
        <v>165</v>
      </c>
      <c r="AM41" s="55">
        <v>24</v>
      </c>
      <c r="AN41" s="56">
        <v>170</v>
      </c>
      <c r="AO41" s="55">
        <v>15</v>
      </c>
      <c r="AP41" s="56">
        <v>190</v>
      </c>
      <c r="AQ41" s="55">
        <v>21</v>
      </c>
      <c r="AR41" s="56">
        <v>170</v>
      </c>
      <c r="AS41" s="55">
        <v>16</v>
      </c>
      <c r="AT41" s="56">
        <v>168</v>
      </c>
      <c r="AU41" s="55">
        <v>22</v>
      </c>
      <c r="AV41" s="56">
        <v>183</v>
      </c>
      <c r="AW41" s="55">
        <v>25</v>
      </c>
      <c r="AX41" s="56">
        <v>200</v>
      </c>
      <c r="AY41" s="55">
        <v>22</v>
      </c>
      <c r="AZ41" s="56">
        <v>210</v>
      </c>
      <c r="BA41" s="55">
        <v>16</v>
      </c>
      <c r="BB41" s="56">
        <v>193</v>
      </c>
      <c r="BC41" s="55">
        <v>19</v>
      </c>
      <c r="BD41" s="56">
        <v>185</v>
      </c>
      <c r="BE41" s="55">
        <v>25</v>
      </c>
      <c r="BF41" s="56">
        <v>185</v>
      </c>
      <c r="BG41" s="55">
        <v>28</v>
      </c>
      <c r="BH41" s="56">
        <v>198</v>
      </c>
      <c r="BI41" s="55">
        <v>16</v>
      </c>
      <c r="BJ41" s="56">
        <v>223</v>
      </c>
      <c r="BK41" s="55">
        <v>7</v>
      </c>
      <c r="BL41" s="56">
        <v>180</v>
      </c>
      <c r="BM41" s="55">
        <v>20</v>
      </c>
      <c r="BN41" s="56">
        <v>190</v>
      </c>
      <c r="BO41" s="55">
        <v>31</v>
      </c>
      <c r="BP41" s="56">
        <v>200</v>
      </c>
      <c r="BQ41" s="55">
        <v>15</v>
      </c>
      <c r="BR41" s="56">
        <v>190</v>
      </c>
      <c r="BS41" s="55">
        <v>19</v>
      </c>
      <c r="BT41" s="56">
        <v>210</v>
      </c>
      <c r="BU41" s="55">
        <v>34</v>
      </c>
      <c r="BV41" s="56">
        <v>210</v>
      </c>
      <c r="BW41" s="55">
        <v>21</v>
      </c>
      <c r="BX41" s="56">
        <v>210</v>
      </c>
      <c r="BY41" s="55">
        <v>24</v>
      </c>
      <c r="BZ41" s="56">
        <v>215</v>
      </c>
      <c r="CA41" s="55">
        <v>16</v>
      </c>
      <c r="CB41" s="56">
        <v>220</v>
      </c>
      <c r="CC41" s="55">
        <v>17</v>
      </c>
      <c r="CD41" s="56">
        <v>210</v>
      </c>
      <c r="CE41" s="55">
        <v>22</v>
      </c>
      <c r="CF41" s="56">
        <v>200</v>
      </c>
      <c r="CG41" s="55">
        <v>18</v>
      </c>
      <c r="CH41" s="56">
        <v>193</v>
      </c>
      <c r="CI41" s="55">
        <v>16</v>
      </c>
      <c r="CJ41" s="56">
        <v>240</v>
      </c>
      <c r="CK41" s="55">
        <v>14</v>
      </c>
      <c r="CL41" s="56">
        <v>240</v>
      </c>
      <c r="CM41" s="55">
        <v>29</v>
      </c>
      <c r="CN41" s="56">
        <v>220</v>
      </c>
      <c r="CO41" s="55">
        <v>11</v>
      </c>
      <c r="CP41" s="56">
        <v>240</v>
      </c>
      <c r="CQ41" s="55">
        <v>15</v>
      </c>
      <c r="CR41" s="56">
        <v>250</v>
      </c>
      <c r="CS41" s="55">
        <v>21</v>
      </c>
      <c r="CT41" s="56">
        <v>240</v>
      </c>
      <c r="CU41" s="55">
        <v>13</v>
      </c>
      <c r="CV41" s="56">
        <v>250</v>
      </c>
      <c r="CW41" s="55">
        <v>18</v>
      </c>
      <c r="CX41" s="56">
        <v>250</v>
      </c>
      <c r="CY41" s="55">
        <v>14</v>
      </c>
      <c r="CZ41" s="56">
        <v>268</v>
      </c>
      <c r="DA41" s="55">
        <v>22</v>
      </c>
      <c r="DB41" s="56">
        <v>268</v>
      </c>
      <c r="DC41" s="55">
        <v>20</v>
      </c>
      <c r="DD41" s="56">
        <v>270</v>
      </c>
      <c r="DE41" s="55">
        <v>12</v>
      </c>
      <c r="DF41" s="56">
        <v>280</v>
      </c>
      <c r="DG41" s="55">
        <v>14</v>
      </c>
      <c r="DH41" s="56">
        <v>270</v>
      </c>
      <c r="DI41" s="55">
        <v>20</v>
      </c>
      <c r="DJ41" s="56">
        <v>280</v>
      </c>
      <c r="DK41" s="55">
        <v>11</v>
      </c>
      <c r="DL41" s="56">
        <v>300</v>
      </c>
      <c r="DM41" s="55">
        <v>18</v>
      </c>
      <c r="DN41" s="56">
        <v>278</v>
      </c>
      <c r="DO41" s="55">
        <v>9</v>
      </c>
      <c r="DP41" s="56">
        <v>265</v>
      </c>
      <c r="DQ41" s="55">
        <v>13</v>
      </c>
      <c r="DR41" s="56">
        <v>290</v>
      </c>
      <c r="DS41" s="55">
        <v>26</v>
      </c>
      <c r="DT41" s="56">
        <v>295</v>
      </c>
      <c r="DU41" s="55">
        <v>17</v>
      </c>
      <c r="DV41" s="56">
        <v>310</v>
      </c>
      <c r="DW41" s="55">
        <v>24</v>
      </c>
      <c r="DX41" s="56">
        <v>290</v>
      </c>
      <c r="DY41" s="55">
        <v>20</v>
      </c>
      <c r="DZ41" s="56">
        <v>280</v>
      </c>
      <c r="EA41" s="55">
        <v>24</v>
      </c>
      <c r="EB41" s="56">
        <v>295</v>
      </c>
      <c r="EC41" s="55">
        <v>16</v>
      </c>
      <c r="ED41" s="56">
        <v>308</v>
      </c>
      <c r="EE41" s="55">
        <v>18</v>
      </c>
      <c r="EF41" s="56">
        <v>290</v>
      </c>
      <c r="EG41" s="55">
        <v>19</v>
      </c>
      <c r="EH41" s="56">
        <v>300</v>
      </c>
      <c r="EI41" s="55">
        <v>26</v>
      </c>
      <c r="EJ41" s="56">
        <v>275</v>
      </c>
      <c r="EK41" s="55">
        <v>23</v>
      </c>
      <c r="EL41" s="56">
        <v>320</v>
      </c>
      <c r="EM41" s="55">
        <v>23</v>
      </c>
      <c r="EN41" s="56">
        <v>300</v>
      </c>
      <c r="EO41" s="55">
        <v>21</v>
      </c>
      <c r="EP41" s="56">
        <v>330</v>
      </c>
      <c r="EQ41" s="55">
        <v>19</v>
      </c>
      <c r="ER41" s="56">
        <v>330</v>
      </c>
      <c r="ES41" s="55">
        <v>19</v>
      </c>
      <c r="ET41" s="56">
        <v>300</v>
      </c>
      <c r="EU41" s="55">
        <v>22</v>
      </c>
      <c r="EV41" s="56">
        <v>345</v>
      </c>
      <c r="EW41" s="55">
        <v>20</v>
      </c>
      <c r="EX41" s="56">
        <v>335</v>
      </c>
      <c r="EY41" s="55">
        <v>24</v>
      </c>
      <c r="EZ41" s="56">
        <v>345</v>
      </c>
      <c r="FA41" s="55">
        <v>12</v>
      </c>
      <c r="FB41" s="56">
        <v>323</v>
      </c>
      <c r="FC41" s="55">
        <v>20</v>
      </c>
      <c r="FD41" s="56">
        <v>350</v>
      </c>
      <c r="FE41" s="55">
        <v>16</v>
      </c>
      <c r="FF41" s="56">
        <v>350</v>
      </c>
      <c r="FG41" s="55">
        <v>27</v>
      </c>
      <c r="FH41" s="56">
        <v>375</v>
      </c>
      <c r="FI41" s="55">
        <v>11</v>
      </c>
      <c r="FJ41" s="56">
        <v>350</v>
      </c>
      <c r="FK41" s="55">
        <v>23</v>
      </c>
      <c r="FL41" s="56">
        <v>360</v>
      </c>
      <c r="FM41" s="55">
        <v>23</v>
      </c>
      <c r="FN41" s="56">
        <v>370</v>
      </c>
      <c r="FO41" s="55">
        <v>31</v>
      </c>
      <c r="FP41" s="56">
        <v>380</v>
      </c>
      <c r="FQ41" s="55">
        <v>24</v>
      </c>
      <c r="FR41" s="56">
        <v>380</v>
      </c>
      <c r="FS41" s="55">
        <v>20</v>
      </c>
      <c r="FT41" s="56">
        <v>358</v>
      </c>
      <c r="FU41" s="55">
        <v>24</v>
      </c>
      <c r="FV41" s="56">
        <v>395</v>
      </c>
      <c r="FW41" s="55">
        <v>25</v>
      </c>
      <c r="FX41" s="56">
        <v>420</v>
      </c>
      <c r="FY41" s="55">
        <v>24</v>
      </c>
      <c r="FZ41" s="56">
        <v>410</v>
      </c>
      <c r="GA41" s="55">
        <v>18</v>
      </c>
      <c r="GB41" s="56">
        <v>430</v>
      </c>
      <c r="GC41" s="55">
        <v>22</v>
      </c>
      <c r="GD41" s="56">
        <v>428</v>
      </c>
      <c r="GE41" s="55">
        <v>22</v>
      </c>
      <c r="GF41" s="56">
        <v>460</v>
      </c>
      <c r="GG41" s="55">
        <v>11</v>
      </c>
      <c r="GH41" s="56">
        <v>470</v>
      </c>
      <c r="GI41" s="55">
        <v>24</v>
      </c>
      <c r="GJ41" s="56">
        <v>480</v>
      </c>
      <c r="GK41" s="55">
        <v>20</v>
      </c>
      <c r="GL41" s="56">
        <v>470</v>
      </c>
      <c r="GM41" s="55">
        <v>26</v>
      </c>
      <c r="GN41" s="56">
        <v>525</v>
      </c>
      <c r="GO41" s="55">
        <v>12</v>
      </c>
      <c r="GP41" s="56">
        <v>481</v>
      </c>
      <c r="GQ41" s="55">
        <v>22</v>
      </c>
      <c r="GR41" s="56">
        <v>470</v>
      </c>
      <c r="GS41" s="55">
        <v>20</v>
      </c>
      <c r="GT41" s="56">
        <v>500</v>
      </c>
      <c r="GU41" s="55">
        <v>21</v>
      </c>
      <c r="GV41" s="56">
        <v>550</v>
      </c>
      <c r="GW41" s="55">
        <v>9</v>
      </c>
      <c r="GX41" s="56">
        <v>540</v>
      </c>
      <c r="GY41" s="55">
        <v>31</v>
      </c>
      <c r="GZ41" s="56">
        <v>525</v>
      </c>
      <c r="HA41">
        <v>15</v>
      </c>
      <c r="HB41" s="56">
        <v>500</v>
      </c>
      <c r="HC41">
        <v>15</v>
      </c>
      <c r="HD41" s="56">
        <v>600</v>
      </c>
      <c r="HE41">
        <v>13</v>
      </c>
      <c r="HF41" s="56">
        <v>550</v>
      </c>
    </row>
    <row r="42" spans="1:214" x14ac:dyDescent="0.25">
      <c r="A42" s="53"/>
      <c r="B42" s="54" t="s">
        <v>782</v>
      </c>
      <c r="C42" s="55">
        <v>64</v>
      </c>
      <c r="D42" s="56">
        <v>133</v>
      </c>
      <c r="E42" s="55">
        <v>79</v>
      </c>
      <c r="F42" s="56">
        <v>135</v>
      </c>
      <c r="G42" s="55">
        <v>76</v>
      </c>
      <c r="H42" s="56">
        <v>135</v>
      </c>
      <c r="I42" s="55">
        <v>77</v>
      </c>
      <c r="J42" s="56">
        <v>140</v>
      </c>
      <c r="K42" s="55">
        <v>65</v>
      </c>
      <c r="L42" s="56">
        <v>150</v>
      </c>
      <c r="M42" s="55">
        <v>85</v>
      </c>
      <c r="N42" s="56">
        <v>135</v>
      </c>
      <c r="O42" s="55">
        <v>69</v>
      </c>
      <c r="P42" s="56">
        <v>150</v>
      </c>
      <c r="Q42" s="55">
        <v>82</v>
      </c>
      <c r="R42" s="56">
        <v>140</v>
      </c>
      <c r="S42" s="55">
        <v>75</v>
      </c>
      <c r="T42" s="56">
        <v>150</v>
      </c>
      <c r="U42" s="55">
        <v>76</v>
      </c>
      <c r="V42" s="56">
        <v>150</v>
      </c>
      <c r="W42" s="55">
        <v>77</v>
      </c>
      <c r="X42" s="56">
        <v>155</v>
      </c>
      <c r="Y42" s="55">
        <v>67</v>
      </c>
      <c r="Z42" s="56">
        <v>150</v>
      </c>
      <c r="AA42" s="55">
        <v>71</v>
      </c>
      <c r="AB42" s="56">
        <v>165</v>
      </c>
      <c r="AC42" s="55">
        <v>71</v>
      </c>
      <c r="AD42" s="56">
        <v>160</v>
      </c>
      <c r="AE42" s="55">
        <v>75</v>
      </c>
      <c r="AF42" s="56">
        <v>165</v>
      </c>
      <c r="AG42" s="55">
        <v>75</v>
      </c>
      <c r="AH42" s="56">
        <v>170</v>
      </c>
      <c r="AI42" s="55">
        <v>81</v>
      </c>
      <c r="AJ42" s="56">
        <v>170</v>
      </c>
      <c r="AK42" s="55">
        <v>89</v>
      </c>
      <c r="AL42" s="56">
        <v>170</v>
      </c>
      <c r="AM42" s="55">
        <v>96</v>
      </c>
      <c r="AN42" s="56">
        <v>178</v>
      </c>
      <c r="AO42" s="55">
        <v>90</v>
      </c>
      <c r="AP42" s="56">
        <v>180</v>
      </c>
      <c r="AQ42" s="55">
        <v>64</v>
      </c>
      <c r="AR42" s="56">
        <v>183</v>
      </c>
      <c r="AS42" s="55">
        <v>100</v>
      </c>
      <c r="AT42" s="56">
        <v>170</v>
      </c>
      <c r="AU42" s="55">
        <v>81</v>
      </c>
      <c r="AV42" s="56">
        <v>185</v>
      </c>
      <c r="AW42" s="55">
        <v>74</v>
      </c>
      <c r="AX42" s="56">
        <v>190</v>
      </c>
      <c r="AY42" s="55">
        <v>94</v>
      </c>
      <c r="AZ42" s="56">
        <v>175</v>
      </c>
      <c r="BA42" s="55">
        <v>75</v>
      </c>
      <c r="BB42" s="56">
        <v>185</v>
      </c>
      <c r="BC42" s="55">
        <v>87</v>
      </c>
      <c r="BD42" s="56">
        <v>200</v>
      </c>
      <c r="BE42" s="55">
        <v>91</v>
      </c>
      <c r="BF42" s="56">
        <v>195</v>
      </c>
      <c r="BG42" s="55">
        <v>100</v>
      </c>
      <c r="BH42" s="56">
        <v>190</v>
      </c>
      <c r="BI42" s="55">
        <v>87</v>
      </c>
      <c r="BJ42" s="56">
        <v>200</v>
      </c>
      <c r="BK42" s="55">
        <v>80</v>
      </c>
      <c r="BL42" s="56">
        <v>200</v>
      </c>
      <c r="BM42" s="55">
        <v>106</v>
      </c>
      <c r="BN42" s="56">
        <v>200</v>
      </c>
      <c r="BO42" s="55">
        <v>90</v>
      </c>
      <c r="BP42" s="56">
        <v>208</v>
      </c>
      <c r="BQ42" s="55">
        <v>94</v>
      </c>
      <c r="BR42" s="56">
        <v>210</v>
      </c>
      <c r="BS42" s="55">
        <v>76</v>
      </c>
      <c r="BT42" s="56">
        <v>230</v>
      </c>
      <c r="BU42" s="55">
        <v>110</v>
      </c>
      <c r="BV42" s="56">
        <v>200</v>
      </c>
      <c r="BW42" s="55">
        <v>73</v>
      </c>
      <c r="BX42" s="56">
        <v>230</v>
      </c>
      <c r="BY42" s="55">
        <v>72</v>
      </c>
      <c r="BZ42" s="56">
        <v>228</v>
      </c>
      <c r="CA42" s="55">
        <v>89</v>
      </c>
      <c r="CB42" s="56">
        <v>240</v>
      </c>
      <c r="CC42" s="55">
        <v>92</v>
      </c>
      <c r="CD42" s="56">
        <v>240</v>
      </c>
      <c r="CE42" s="55">
        <v>68</v>
      </c>
      <c r="CF42" s="56">
        <v>240</v>
      </c>
      <c r="CG42" s="55">
        <v>77</v>
      </c>
      <c r="CH42" s="56">
        <v>240</v>
      </c>
      <c r="CI42" s="55">
        <v>84</v>
      </c>
      <c r="CJ42" s="56">
        <v>240</v>
      </c>
      <c r="CK42" s="55">
        <v>64</v>
      </c>
      <c r="CL42" s="56">
        <v>268</v>
      </c>
      <c r="CM42" s="55">
        <v>71</v>
      </c>
      <c r="CN42" s="56">
        <v>250</v>
      </c>
      <c r="CO42" s="55">
        <v>81</v>
      </c>
      <c r="CP42" s="56">
        <v>260</v>
      </c>
      <c r="CQ42" s="55">
        <v>81</v>
      </c>
      <c r="CR42" s="56">
        <v>277</v>
      </c>
      <c r="CS42" s="55">
        <v>80</v>
      </c>
      <c r="CT42" s="56">
        <v>270</v>
      </c>
      <c r="CU42" s="55">
        <v>62</v>
      </c>
      <c r="CV42" s="56">
        <v>280</v>
      </c>
      <c r="CW42" s="55">
        <v>95</v>
      </c>
      <c r="CX42" s="56">
        <v>275</v>
      </c>
      <c r="CY42" s="55">
        <v>77</v>
      </c>
      <c r="CZ42" s="56">
        <v>280</v>
      </c>
      <c r="DA42" s="55">
        <v>101</v>
      </c>
      <c r="DB42" s="56">
        <v>290</v>
      </c>
      <c r="DC42" s="55">
        <v>82</v>
      </c>
      <c r="DD42" s="56">
        <v>300</v>
      </c>
      <c r="DE42" s="55">
        <v>81</v>
      </c>
      <c r="DF42" s="56">
        <v>290</v>
      </c>
      <c r="DG42" s="55">
        <v>97</v>
      </c>
      <c r="DH42" s="56">
        <v>290</v>
      </c>
      <c r="DI42" s="55">
        <v>87</v>
      </c>
      <c r="DJ42" s="56">
        <v>290</v>
      </c>
      <c r="DK42" s="55">
        <v>99</v>
      </c>
      <c r="DL42" s="56">
        <v>280</v>
      </c>
      <c r="DM42" s="55">
        <v>93</v>
      </c>
      <c r="DN42" s="56">
        <v>295</v>
      </c>
      <c r="DO42" s="55">
        <v>82</v>
      </c>
      <c r="DP42" s="56">
        <v>280</v>
      </c>
      <c r="DQ42" s="55">
        <v>109</v>
      </c>
      <c r="DR42" s="56">
        <v>280</v>
      </c>
      <c r="DS42" s="55">
        <v>80</v>
      </c>
      <c r="DT42" s="56">
        <v>290</v>
      </c>
      <c r="DU42" s="55">
        <v>110</v>
      </c>
      <c r="DV42" s="56">
        <v>280</v>
      </c>
      <c r="DW42" s="55">
        <v>105</v>
      </c>
      <c r="DX42" s="56">
        <v>280</v>
      </c>
      <c r="DY42" s="55">
        <v>125</v>
      </c>
      <c r="DZ42" s="56">
        <v>290</v>
      </c>
      <c r="EA42" s="55">
        <v>83</v>
      </c>
      <c r="EB42" s="56">
        <v>290</v>
      </c>
      <c r="EC42" s="55">
        <v>87</v>
      </c>
      <c r="ED42" s="56">
        <v>310</v>
      </c>
      <c r="EE42" s="55">
        <v>94</v>
      </c>
      <c r="EF42" s="56">
        <v>300</v>
      </c>
      <c r="EG42" s="55">
        <v>99</v>
      </c>
      <c r="EH42" s="56">
        <v>290</v>
      </c>
      <c r="EI42" s="55">
        <v>95</v>
      </c>
      <c r="EJ42" s="56">
        <v>300</v>
      </c>
      <c r="EK42" s="55">
        <v>126</v>
      </c>
      <c r="EL42" s="56">
        <v>295</v>
      </c>
      <c r="EM42" s="55">
        <v>94</v>
      </c>
      <c r="EN42" s="56">
        <v>293</v>
      </c>
      <c r="EO42" s="55">
        <v>105</v>
      </c>
      <c r="EP42" s="56">
        <v>305</v>
      </c>
      <c r="EQ42" s="55">
        <v>102</v>
      </c>
      <c r="ER42" s="56">
        <v>310</v>
      </c>
      <c r="ES42" s="55">
        <v>86</v>
      </c>
      <c r="ET42" s="56">
        <v>320</v>
      </c>
      <c r="EU42" s="55">
        <v>84</v>
      </c>
      <c r="EV42" s="56">
        <v>320</v>
      </c>
      <c r="EW42" s="55">
        <v>80</v>
      </c>
      <c r="EX42" s="56">
        <v>330</v>
      </c>
      <c r="EY42" s="55">
        <v>110</v>
      </c>
      <c r="EZ42" s="56">
        <v>330</v>
      </c>
      <c r="FA42" s="55">
        <v>96</v>
      </c>
      <c r="FB42" s="56">
        <v>335</v>
      </c>
      <c r="FC42" s="55">
        <v>102</v>
      </c>
      <c r="FD42" s="56">
        <v>330</v>
      </c>
      <c r="FE42" s="55">
        <v>88</v>
      </c>
      <c r="FF42" s="56">
        <v>330</v>
      </c>
      <c r="FG42" s="55">
        <v>81</v>
      </c>
      <c r="FH42" s="56">
        <v>340</v>
      </c>
      <c r="FI42" s="55">
        <v>120</v>
      </c>
      <c r="FJ42" s="56">
        <v>340</v>
      </c>
      <c r="FK42" s="55">
        <v>114</v>
      </c>
      <c r="FL42" s="56">
        <v>332</v>
      </c>
      <c r="FM42" s="55">
        <v>94</v>
      </c>
      <c r="FN42" s="56">
        <v>350</v>
      </c>
      <c r="FO42" s="55">
        <v>86</v>
      </c>
      <c r="FP42" s="56">
        <v>340</v>
      </c>
      <c r="FQ42" s="55">
        <v>88</v>
      </c>
      <c r="FR42" s="56">
        <v>350</v>
      </c>
      <c r="FS42" s="55">
        <v>115</v>
      </c>
      <c r="FT42" s="56">
        <v>350</v>
      </c>
      <c r="FU42" s="55">
        <v>66</v>
      </c>
      <c r="FV42" s="56">
        <v>360</v>
      </c>
      <c r="FW42" s="55">
        <v>72</v>
      </c>
      <c r="FX42" s="56">
        <v>363</v>
      </c>
      <c r="FY42" s="55">
        <v>66</v>
      </c>
      <c r="FZ42" s="56">
        <v>370</v>
      </c>
      <c r="GA42" s="55">
        <v>84</v>
      </c>
      <c r="GB42" s="56">
        <v>370</v>
      </c>
      <c r="GC42" s="55">
        <v>89</v>
      </c>
      <c r="GD42" s="56">
        <v>375</v>
      </c>
      <c r="GE42" s="55">
        <v>62</v>
      </c>
      <c r="GF42" s="56">
        <v>380</v>
      </c>
      <c r="GG42" s="55">
        <v>98</v>
      </c>
      <c r="GH42" s="56">
        <v>390</v>
      </c>
      <c r="GI42" s="55">
        <v>94</v>
      </c>
      <c r="GJ42" s="56">
        <v>390</v>
      </c>
      <c r="GK42" s="55">
        <v>109</v>
      </c>
      <c r="GL42" s="56">
        <v>400</v>
      </c>
      <c r="GM42" s="55">
        <v>86</v>
      </c>
      <c r="GN42" s="56">
        <v>400</v>
      </c>
      <c r="GO42" s="55">
        <v>73</v>
      </c>
      <c r="GP42" s="56">
        <v>420</v>
      </c>
      <c r="GQ42" s="55">
        <v>103</v>
      </c>
      <c r="GR42" s="56">
        <v>410</v>
      </c>
      <c r="GS42" s="55">
        <v>101</v>
      </c>
      <c r="GT42" s="56">
        <v>410</v>
      </c>
      <c r="GU42" s="55">
        <v>93</v>
      </c>
      <c r="GV42" s="56">
        <v>445</v>
      </c>
      <c r="GW42" s="55">
        <v>89</v>
      </c>
      <c r="GX42" s="56">
        <v>440</v>
      </c>
      <c r="GY42" s="55">
        <v>90</v>
      </c>
      <c r="GZ42" s="56">
        <v>450</v>
      </c>
      <c r="HA42">
        <v>72</v>
      </c>
      <c r="HB42" s="56">
        <v>440</v>
      </c>
      <c r="HC42">
        <v>73</v>
      </c>
      <c r="HD42" s="56">
        <v>440</v>
      </c>
      <c r="HE42">
        <v>74</v>
      </c>
      <c r="HF42" s="56">
        <v>433</v>
      </c>
    </row>
    <row r="43" spans="1:214" x14ac:dyDescent="0.25">
      <c r="A43" s="53"/>
      <c r="B43" s="54" t="s">
        <v>783</v>
      </c>
      <c r="C43" s="55">
        <v>79</v>
      </c>
      <c r="D43" s="56">
        <v>130</v>
      </c>
      <c r="E43" s="55">
        <v>79</v>
      </c>
      <c r="F43" s="56">
        <v>130</v>
      </c>
      <c r="G43" s="55">
        <v>87</v>
      </c>
      <c r="H43" s="56">
        <v>135</v>
      </c>
      <c r="I43" s="55">
        <v>58</v>
      </c>
      <c r="J43" s="56">
        <v>130</v>
      </c>
      <c r="K43" s="55">
        <v>70</v>
      </c>
      <c r="L43" s="56">
        <v>130</v>
      </c>
      <c r="M43" s="55">
        <v>63</v>
      </c>
      <c r="N43" s="56">
        <v>130</v>
      </c>
      <c r="O43" s="55">
        <v>69</v>
      </c>
      <c r="P43" s="56">
        <v>135</v>
      </c>
      <c r="Q43" s="55">
        <v>60</v>
      </c>
      <c r="R43" s="56">
        <v>140</v>
      </c>
      <c r="S43" s="55">
        <v>70</v>
      </c>
      <c r="T43" s="56">
        <v>143</v>
      </c>
      <c r="U43" s="55">
        <v>65</v>
      </c>
      <c r="V43" s="56">
        <v>140</v>
      </c>
      <c r="W43" s="55">
        <v>46</v>
      </c>
      <c r="X43" s="56">
        <v>140</v>
      </c>
      <c r="Y43" s="55">
        <v>43</v>
      </c>
      <c r="Z43" s="56">
        <v>140</v>
      </c>
      <c r="AA43" s="55">
        <v>57</v>
      </c>
      <c r="AB43" s="56">
        <v>150</v>
      </c>
      <c r="AC43" s="55">
        <v>59</v>
      </c>
      <c r="AD43" s="56">
        <v>150</v>
      </c>
      <c r="AE43" s="55">
        <v>56</v>
      </c>
      <c r="AF43" s="56">
        <v>150</v>
      </c>
      <c r="AG43" s="55">
        <v>50</v>
      </c>
      <c r="AH43" s="56">
        <v>150</v>
      </c>
      <c r="AI43" s="55">
        <v>58</v>
      </c>
      <c r="AJ43" s="56">
        <v>160</v>
      </c>
      <c r="AK43" s="55">
        <v>69</v>
      </c>
      <c r="AL43" s="56">
        <v>150</v>
      </c>
      <c r="AM43" s="55">
        <v>60</v>
      </c>
      <c r="AN43" s="56">
        <v>170</v>
      </c>
      <c r="AO43" s="55">
        <v>68</v>
      </c>
      <c r="AP43" s="56">
        <v>173</v>
      </c>
      <c r="AQ43" s="55">
        <v>57</v>
      </c>
      <c r="AR43" s="56">
        <v>180</v>
      </c>
      <c r="AS43" s="55">
        <v>53</v>
      </c>
      <c r="AT43" s="56">
        <v>175</v>
      </c>
      <c r="AU43" s="55">
        <v>54</v>
      </c>
      <c r="AV43" s="56">
        <v>170</v>
      </c>
      <c r="AW43" s="55">
        <v>71</v>
      </c>
      <c r="AX43" s="56">
        <v>180</v>
      </c>
      <c r="AY43" s="55">
        <v>69</v>
      </c>
      <c r="AZ43" s="56">
        <v>180</v>
      </c>
      <c r="BA43" s="55">
        <v>62</v>
      </c>
      <c r="BB43" s="56">
        <v>180</v>
      </c>
      <c r="BC43" s="55">
        <v>61</v>
      </c>
      <c r="BD43" s="56">
        <v>180</v>
      </c>
      <c r="BE43" s="55">
        <v>66</v>
      </c>
      <c r="BF43" s="56">
        <v>190</v>
      </c>
      <c r="BG43" s="55">
        <v>76</v>
      </c>
      <c r="BH43" s="56">
        <v>180</v>
      </c>
      <c r="BI43" s="55">
        <v>69</v>
      </c>
      <c r="BJ43" s="56">
        <v>180</v>
      </c>
      <c r="BK43" s="55">
        <v>51</v>
      </c>
      <c r="BL43" s="56">
        <v>180</v>
      </c>
      <c r="BM43" s="55">
        <v>69</v>
      </c>
      <c r="BN43" s="56">
        <v>180</v>
      </c>
      <c r="BO43" s="55">
        <v>73</v>
      </c>
      <c r="BP43" s="56">
        <v>190</v>
      </c>
      <c r="BQ43" s="55">
        <v>84</v>
      </c>
      <c r="BR43" s="56">
        <v>200</v>
      </c>
      <c r="BS43" s="55">
        <v>79</v>
      </c>
      <c r="BT43" s="56">
        <v>200</v>
      </c>
      <c r="BU43" s="55">
        <v>76</v>
      </c>
      <c r="BV43" s="56">
        <v>190</v>
      </c>
      <c r="BW43" s="55">
        <v>84</v>
      </c>
      <c r="BX43" s="56">
        <v>203</v>
      </c>
      <c r="BY43" s="55">
        <v>78</v>
      </c>
      <c r="BZ43" s="56">
        <v>200</v>
      </c>
      <c r="CA43" s="55">
        <v>77</v>
      </c>
      <c r="CB43" s="56">
        <v>200</v>
      </c>
      <c r="CC43" s="55">
        <v>82</v>
      </c>
      <c r="CD43" s="56">
        <v>200</v>
      </c>
      <c r="CE43" s="55">
        <v>89</v>
      </c>
      <c r="CF43" s="56">
        <v>203</v>
      </c>
      <c r="CG43" s="55">
        <v>101</v>
      </c>
      <c r="CH43" s="56">
        <v>200</v>
      </c>
      <c r="CI43" s="55">
        <v>89</v>
      </c>
      <c r="CJ43" s="56">
        <v>210</v>
      </c>
      <c r="CK43" s="55">
        <v>105</v>
      </c>
      <c r="CL43" s="56">
        <v>220</v>
      </c>
      <c r="CM43" s="55">
        <v>89</v>
      </c>
      <c r="CN43" s="56">
        <v>220</v>
      </c>
      <c r="CO43" s="55">
        <v>85</v>
      </c>
      <c r="CP43" s="56">
        <v>220</v>
      </c>
      <c r="CQ43" s="55">
        <v>82</v>
      </c>
      <c r="CR43" s="56">
        <v>233</v>
      </c>
      <c r="CS43" s="55">
        <v>82</v>
      </c>
      <c r="CT43" s="56">
        <v>208</v>
      </c>
      <c r="CU43" s="55">
        <v>92</v>
      </c>
      <c r="CV43" s="56">
        <v>220</v>
      </c>
      <c r="CW43" s="55">
        <v>86</v>
      </c>
      <c r="CX43" s="56">
        <v>230</v>
      </c>
      <c r="CY43" s="55">
        <v>83</v>
      </c>
      <c r="CZ43" s="56">
        <v>245</v>
      </c>
      <c r="DA43" s="55">
        <v>88</v>
      </c>
      <c r="DB43" s="56">
        <v>240</v>
      </c>
      <c r="DC43" s="55">
        <v>88</v>
      </c>
      <c r="DD43" s="56">
        <v>240</v>
      </c>
      <c r="DE43" s="55">
        <v>72</v>
      </c>
      <c r="DF43" s="56">
        <v>240</v>
      </c>
      <c r="DG43" s="55">
        <v>78</v>
      </c>
      <c r="DH43" s="56">
        <v>254</v>
      </c>
      <c r="DI43" s="55">
        <v>78</v>
      </c>
      <c r="DJ43" s="56">
        <v>250</v>
      </c>
      <c r="DK43" s="55">
        <v>95</v>
      </c>
      <c r="DL43" s="56">
        <v>240</v>
      </c>
      <c r="DM43" s="55">
        <v>89</v>
      </c>
      <c r="DN43" s="56">
        <v>240</v>
      </c>
      <c r="DO43" s="55">
        <v>79</v>
      </c>
      <c r="DP43" s="56">
        <v>250</v>
      </c>
      <c r="DQ43" s="55">
        <v>86</v>
      </c>
      <c r="DR43" s="56">
        <v>250</v>
      </c>
      <c r="DS43" s="55">
        <v>77</v>
      </c>
      <c r="DT43" s="56">
        <v>265</v>
      </c>
      <c r="DU43" s="55">
        <v>91</v>
      </c>
      <c r="DV43" s="56">
        <v>240</v>
      </c>
      <c r="DW43" s="55">
        <v>81</v>
      </c>
      <c r="DX43" s="56">
        <v>250</v>
      </c>
      <c r="DY43" s="55">
        <v>84</v>
      </c>
      <c r="DZ43" s="56">
        <v>260</v>
      </c>
      <c r="EA43" s="55">
        <v>89</v>
      </c>
      <c r="EB43" s="56">
        <v>255</v>
      </c>
      <c r="EC43" s="55">
        <v>76</v>
      </c>
      <c r="ED43" s="56">
        <v>270</v>
      </c>
      <c r="EE43" s="55">
        <v>81</v>
      </c>
      <c r="EF43" s="56">
        <v>260</v>
      </c>
      <c r="EG43" s="55">
        <v>103</v>
      </c>
      <c r="EH43" s="56">
        <v>275</v>
      </c>
      <c r="EI43" s="55">
        <v>94</v>
      </c>
      <c r="EJ43" s="56">
        <v>278</v>
      </c>
      <c r="EK43" s="55">
        <v>90</v>
      </c>
      <c r="EL43" s="56">
        <v>268</v>
      </c>
      <c r="EM43" s="55">
        <v>78</v>
      </c>
      <c r="EN43" s="56">
        <v>273</v>
      </c>
      <c r="EO43" s="55">
        <v>98</v>
      </c>
      <c r="EP43" s="56">
        <v>260</v>
      </c>
      <c r="EQ43" s="55">
        <v>93</v>
      </c>
      <c r="ER43" s="56">
        <v>270</v>
      </c>
      <c r="ES43" s="55">
        <v>95</v>
      </c>
      <c r="ET43" s="56">
        <v>275</v>
      </c>
      <c r="EU43" s="55">
        <v>82</v>
      </c>
      <c r="EV43" s="56">
        <v>280</v>
      </c>
      <c r="EW43" s="55">
        <v>82</v>
      </c>
      <c r="EX43" s="56">
        <v>270</v>
      </c>
      <c r="EY43" s="55">
        <v>84</v>
      </c>
      <c r="EZ43" s="56">
        <v>280</v>
      </c>
      <c r="FA43" s="55">
        <v>76</v>
      </c>
      <c r="FB43" s="56">
        <v>290</v>
      </c>
      <c r="FC43" s="55">
        <v>60</v>
      </c>
      <c r="FD43" s="56">
        <v>300</v>
      </c>
      <c r="FE43" s="55">
        <v>74</v>
      </c>
      <c r="FF43" s="56">
        <v>298</v>
      </c>
      <c r="FG43" s="55">
        <v>75</v>
      </c>
      <c r="FH43" s="56">
        <v>300</v>
      </c>
      <c r="FI43" s="55">
        <v>77</v>
      </c>
      <c r="FJ43" s="56">
        <v>290</v>
      </c>
      <c r="FK43" s="55">
        <v>68</v>
      </c>
      <c r="FL43" s="56">
        <v>300</v>
      </c>
      <c r="FM43" s="55">
        <v>86</v>
      </c>
      <c r="FN43" s="56">
        <v>295</v>
      </c>
      <c r="FO43" s="55">
        <v>72</v>
      </c>
      <c r="FP43" s="56">
        <v>310</v>
      </c>
      <c r="FQ43" s="55">
        <v>67</v>
      </c>
      <c r="FR43" s="56">
        <v>305</v>
      </c>
      <c r="FS43" s="55">
        <v>64</v>
      </c>
      <c r="FT43" s="56">
        <v>320</v>
      </c>
      <c r="FU43" s="55">
        <v>52</v>
      </c>
      <c r="FV43" s="56">
        <v>330</v>
      </c>
      <c r="FW43" s="55">
        <v>61</v>
      </c>
      <c r="FX43" s="56">
        <v>320</v>
      </c>
      <c r="FY43" s="55">
        <v>54</v>
      </c>
      <c r="FZ43" s="56">
        <v>350</v>
      </c>
      <c r="GA43" s="55">
        <v>51</v>
      </c>
      <c r="GB43" s="56">
        <v>360</v>
      </c>
      <c r="GC43" s="55">
        <v>63</v>
      </c>
      <c r="GD43" s="56">
        <v>370</v>
      </c>
      <c r="GE43" s="55">
        <v>48</v>
      </c>
      <c r="GF43" s="56">
        <v>373</v>
      </c>
      <c r="GG43" s="55">
        <v>58</v>
      </c>
      <c r="GH43" s="56">
        <v>385</v>
      </c>
      <c r="GI43" s="55">
        <v>50</v>
      </c>
      <c r="GJ43" s="56">
        <v>400</v>
      </c>
      <c r="GK43" s="55">
        <v>50</v>
      </c>
      <c r="GL43" s="56">
        <v>410</v>
      </c>
      <c r="GM43" s="55">
        <v>48</v>
      </c>
      <c r="GN43" s="56">
        <v>430</v>
      </c>
      <c r="GO43" s="55">
        <v>64</v>
      </c>
      <c r="GP43" s="56">
        <v>430</v>
      </c>
      <c r="GQ43" s="55">
        <v>60</v>
      </c>
      <c r="GR43" s="56">
        <v>430</v>
      </c>
      <c r="GS43" s="55">
        <v>52</v>
      </c>
      <c r="GT43" s="56">
        <v>430</v>
      </c>
      <c r="GU43" s="55">
        <v>64</v>
      </c>
      <c r="GV43" s="56">
        <v>450</v>
      </c>
      <c r="GW43" s="55">
        <v>55</v>
      </c>
      <c r="GX43" s="56">
        <v>450</v>
      </c>
      <c r="GY43" s="55">
        <v>55</v>
      </c>
      <c r="GZ43" s="56">
        <v>450</v>
      </c>
      <c r="HA43">
        <v>58</v>
      </c>
      <c r="HB43" s="56">
        <v>460</v>
      </c>
      <c r="HC43">
        <v>48</v>
      </c>
      <c r="HD43" s="56">
        <v>450</v>
      </c>
      <c r="HE43">
        <v>58</v>
      </c>
      <c r="HF43" s="56">
        <v>460</v>
      </c>
    </row>
    <row r="44" spans="1:214" x14ac:dyDescent="0.25">
      <c r="A44" s="53"/>
      <c r="B44" s="54" t="s">
        <v>784</v>
      </c>
      <c r="C44" s="55">
        <v>29</v>
      </c>
      <c r="D44" s="56">
        <v>125</v>
      </c>
      <c r="E44" s="55">
        <v>30</v>
      </c>
      <c r="F44" s="56">
        <v>120</v>
      </c>
      <c r="G44" s="55">
        <v>23</v>
      </c>
      <c r="H44" s="56">
        <v>125</v>
      </c>
      <c r="I44" s="55">
        <v>34</v>
      </c>
      <c r="J44" s="56">
        <v>128</v>
      </c>
      <c r="K44" s="55">
        <v>28</v>
      </c>
      <c r="L44" s="56">
        <v>130</v>
      </c>
      <c r="M44" s="55">
        <v>33</v>
      </c>
      <c r="N44" s="56">
        <v>125</v>
      </c>
      <c r="O44" s="55">
        <v>26</v>
      </c>
      <c r="P44" s="56">
        <v>125</v>
      </c>
      <c r="Q44" s="55">
        <v>27</v>
      </c>
      <c r="R44" s="56">
        <v>125</v>
      </c>
      <c r="S44" s="55">
        <v>19</v>
      </c>
      <c r="T44" s="56">
        <v>140</v>
      </c>
      <c r="U44" s="55">
        <v>25</v>
      </c>
      <c r="V44" s="56">
        <v>130</v>
      </c>
      <c r="W44" s="55">
        <v>29</v>
      </c>
      <c r="X44" s="56">
        <v>140</v>
      </c>
      <c r="Y44" s="55">
        <v>20</v>
      </c>
      <c r="Z44" s="56">
        <v>130</v>
      </c>
      <c r="AA44" s="55">
        <v>27</v>
      </c>
      <c r="AB44" s="56">
        <v>130</v>
      </c>
      <c r="AC44" s="55">
        <v>29</v>
      </c>
      <c r="AD44" s="56">
        <v>135</v>
      </c>
      <c r="AE44" s="55">
        <v>22</v>
      </c>
      <c r="AF44" s="56">
        <v>150</v>
      </c>
      <c r="AG44" s="55">
        <v>28</v>
      </c>
      <c r="AH44" s="56">
        <v>145</v>
      </c>
      <c r="AI44" s="55">
        <v>27</v>
      </c>
      <c r="AJ44" s="56">
        <v>155</v>
      </c>
      <c r="AK44" s="55">
        <v>25</v>
      </c>
      <c r="AL44" s="56">
        <v>150</v>
      </c>
      <c r="AM44" s="55">
        <v>27</v>
      </c>
      <c r="AN44" s="56">
        <v>155</v>
      </c>
      <c r="AO44" s="55">
        <v>32</v>
      </c>
      <c r="AP44" s="56">
        <v>155</v>
      </c>
      <c r="AQ44" s="55">
        <v>27</v>
      </c>
      <c r="AR44" s="56">
        <v>160</v>
      </c>
      <c r="AS44" s="55">
        <v>29</v>
      </c>
      <c r="AT44" s="56">
        <v>155</v>
      </c>
      <c r="AU44" s="55">
        <v>36</v>
      </c>
      <c r="AV44" s="56">
        <v>180</v>
      </c>
      <c r="AW44" s="55">
        <v>26</v>
      </c>
      <c r="AX44" s="56">
        <v>170</v>
      </c>
      <c r="AY44" s="55">
        <v>34</v>
      </c>
      <c r="AZ44" s="56">
        <v>170</v>
      </c>
      <c r="BA44" s="55">
        <v>26</v>
      </c>
      <c r="BB44" s="56">
        <v>180</v>
      </c>
      <c r="BC44" s="55">
        <v>26</v>
      </c>
      <c r="BD44" s="56">
        <v>178</v>
      </c>
      <c r="BE44" s="55">
        <v>35</v>
      </c>
      <c r="BF44" s="56">
        <v>180</v>
      </c>
      <c r="BG44" s="55">
        <v>18</v>
      </c>
      <c r="BH44" s="56">
        <v>180</v>
      </c>
      <c r="BI44" s="55">
        <v>30</v>
      </c>
      <c r="BJ44" s="56">
        <v>180</v>
      </c>
      <c r="BK44" s="55">
        <v>22</v>
      </c>
      <c r="BL44" s="56">
        <v>180</v>
      </c>
      <c r="BM44" s="55">
        <v>40</v>
      </c>
      <c r="BN44" s="56">
        <v>188</v>
      </c>
      <c r="BO44" s="55">
        <v>28</v>
      </c>
      <c r="BP44" s="56">
        <v>210</v>
      </c>
      <c r="BQ44" s="55">
        <v>29</v>
      </c>
      <c r="BR44" s="56">
        <v>200</v>
      </c>
      <c r="BS44" s="55">
        <v>28</v>
      </c>
      <c r="BT44" s="56">
        <v>205</v>
      </c>
      <c r="BU44" s="55">
        <v>34</v>
      </c>
      <c r="BV44" s="56">
        <v>193</v>
      </c>
      <c r="BW44" s="55">
        <v>32</v>
      </c>
      <c r="BX44" s="56">
        <v>210</v>
      </c>
      <c r="BY44" s="55">
        <v>38</v>
      </c>
      <c r="BZ44" s="56">
        <v>205</v>
      </c>
      <c r="CA44" s="55">
        <v>41</v>
      </c>
      <c r="CB44" s="56">
        <v>220</v>
      </c>
      <c r="CC44" s="55">
        <v>45</v>
      </c>
      <c r="CD44" s="56">
        <v>220</v>
      </c>
      <c r="CE44" s="55">
        <v>30</v>
      </c>
      <c r="CF44" s="56">
        <v>235</v>
      </c>
      <c r="CG44" s="55">
        <v>29</v>
      </c>
      <c r="CH44" s="56">
        <v>250</v>
      </c>
      <c r="CI44" s="55">
        <v>25</v>
      </c>
      <c r="CJ44" s="56">
        <v>240</v>
      </c>
      <c r="CK44" s="55">
        <v>26</v>
      </c>
      <c r="CL44" s="56">
        <v>228</v>
      </c>
      <c r="CM44" s="55">
        <v>33</v>
      </c>
      <c r="CN44" s="56">
        <v>235</v>
      </c>
      <c r="CO44" s="55">
        <v>25</v>
      </c>
      <c r="CP44" s="56">
        <v>240</v>
      </c>
      <c r="CQ44" s="55">
        <v>24</v>
      </c>
      <c r="CR44" s="56">
        <v>240</v>
      </c>
      <c r="CS44" s="55">
        <v>39</v>
      </c>
      <c r="CT44" s="56">
        <v>250</v>
      </c>
      <c r="CU44" s="55">
        <v>24</v>
      </c>
      <c r="CV44" s="56">
        <v>285</v>
      </c>
      <c r="CW44" s="55">
        <v>30</v>
      </c>
      <c r="CX44" s="56">
        <v>228</v>
      </c>
      <c r="CY44" s="55">
        <v>38</v>
      </c>
      <c r="CZ44" s="56">
        <v>243</v>
      </c>
      <c r="DA44" s="55">
        <v>36</v>
      </c>
      <c r="DB44" s="56">
        <v>260</v>
      </c>
      <c r="DC44" s="55">
        <v>24</v>
      </c>
      <c r="DD44" s="56">
        <v>240</v>
      </c>
      <c r="DE44" s="55">
        <v>26</v>
      </c>
      <c r="DF44" s="56">
        <v>273</v>
      </c>
      <c r="DG44" s="55">
        <v>29</v>
      </c>
      <c r="DH44" s="56">
        <v>260</v>
      </c>
      <c r="DI44" s="55">
        <v>30</v>
      </c>
      <c r="DJ44" s="56">
        <v>240</v>
      </c>
      <c r="DK44" s="55">
        <v>33</v>
      </c>
      <c r="DL44" s="56">
        <v>250</v>
      </c>
      <c r="DM44" s="55">
        <v>33</v>
      </c>
      <c r="DN44" s="56">
        <v>240</v>
      </c>
      <c r="DO44" s="55">
        <v>26</v>
      </c>
      <c r="DP44" s="56">
        <v>263</v>
      </c>
      <c r="DQ44" s="55">
        <v>36</v>
      </c>
      <c r="DR44" s="56">
        <v>275</v>
      </c>
      <c r="DS44" s="55">
        <v>32</v>
      </c>
      <c r="DT44" s="56">
        <v>253</v>
      </c>
      <c r="DU44" s="55">
        <v>28</v>
      </c>
      <c r="DV44" s="56">
        <v>250</v>
      </c>
      <c r="DW44" s="55">
        <v>31</v>
      </c>
      <c r="DX44" s="56">
        <v>280</v>
      </c>
      <c r="DY44" s="55">
        <v>30</v>
      </c>
      <c r="DZ44" s="56">
        <v>258</v>
      </c>
      <c r="EA44" s="55">
        <v>33</v>
      </c>
      <c r="EB44" s="56">
        <v>280</v>
      </c>
      <c r="EC44" s="55">
        <v>30</v>
      </c>
      <c r="ED44" s="56">
        <v>250</v>
      </c>
      <c r="EE44" s="55">
        <v>30</v>
      </c>
      <c r="EF44" s="56">
        <v>270</v>
      </c>
      <c r="EG44" s="55">
        <v>30</v>
      </c>
      <c r="EH44" s="56">
        <v>280</v>
      </c>
      <c r="EI44" s="55">
        <v>36</v>
      </c>
      <c r="EJ44" s="56">
        <v>283</v>
      </c>
      <c r="EK44" s="55">
        <v>25</v>
      </c>
      <c r="EL44" s="56">
        <v>270</v>
      </c>
      <c r="EM44" s="55">
        <v>27</v>
      </c>
      <c r="EN44" s="56">
        <v>295</v>
      </c>
      <c r="EO44" s="55">
        <v>36</v>
      </c>
      <c r="EP44" s="56">
        <v>300</v>
      </c>
      <c r="EQ44" s="55">
        <v>26</v>
      </c>
      <c r="ER44" s="56">
        <v>300</v>
      </c>
      <c r="ES44" s="55">
        <v>34</v>
      </c>
      <c r="ET44" s="56">
        <v>290</v>
      </c>
      <c r="EU44" s="55">
        <v>33</v>
      </c>
      <c r="EV44" s="56">
        <v>300</v>
      </c>
      <c r="EW44" s="55">
        <v>36</v>
      </c>
      <c r="EX44" s="56">
        <v>320</v>
      </c>
      <c r="EY44" s="55">
        <v>25</v>
      </c>
      <c r="EZ44" s="56">
        <v>320</v>
      </c>
      <c r="FA44" s="55">
        <v>34</v>
      </c>
      <c r="FB44" s="56">
        <v>300</v>
      </c>
      <c r="FC44" s="55">
        <v>22</v>
      </c>
      <c r="FD44" s="56">
        <v>300</v>
      </c>
      <c r="FE44" s="55">
        <v>21</v>
      </c>
      <c r="FF44" s="56">
        <v>310</v>
      </c>
      <c r="FG44" s="55">
        <v>24</v>
      </c>
      <c r="FH44" s="56">
        <v>320</v>
      </c>
      <c r="FI44" s="55">
        <v>38</v>
      </c>
      <c r="FJ44" s="56">
        <v>300</v>
      </c>
      <c r="FK44" s="55">
        <v>27</v>
      </c>
      <c r="FL44" s="56">
        <v>320</v>
      </c>
      <c r="FM44" s="55">
        <v>31</v>
      </c>
      <c r="FN44" s="56">
        <v>320</v>
      </c>
      <c r="FO44" s="55">
        <v>33</v>
      </c>
      <c r="FP44" s="56">
        <v>340</v>
      </c>
      <c r="FQ44" s="55">
        <v>20</v>
      </c>
      <c r="FR44" s="56">
        <v>365</v>
      </c>
      <c r="FS44" s="55">
        <v>25</v>
      </c>
      <c r="FT44" s="56">
        <v>320</v>
      </c>
      <c r="FU44" s="55">
        <v>20</v>
      </c>
      <c r="FV44" s="56">
        <v>335</v>
      </c>
      <c r="FW44" s="55">
        <v>33</v>
      </c>
      <c r="FX44" s="56">
        <v>360</v>
      </c>
      <c r="FY44" s="55">
        <v>24</v>
      </c>
      <c r="FZ44" s="56">
        <v>368</v>
      </c>
      <c r="GA44" s="55">
        <v>24</v>
      </c>
      <c r="GB44" s="56">
        <v>360</v>
      </c>
      <c r="GC44" s="55">
        <v>27</v>
      </c>
      <c r="GD44" s="56">
        <v>400</v>
      </c>
      <c r="GE44" s="55">
        <v>27</v>
      </c>
      <c r="GF44" s="56">
        <v>385</v>
      </c>
      <c r="GG44" s="55">
        <v>21</v>
      </c>
      <c r="GH44" s="56">
        <v>360</v>
      </c>
      <c r="GI44" s="55">
        <v>20</v>
      </c>
      <c r="GJ44" s="56">
        <v>380</v>
      </c>
      <c r="GK44" s="55">
        <v>27</v>
      </c>
      <c r="GL44" s="56">
        <v>400</v>
      </c>
      <c r="GM44" s="55">
        <v>21</v>
      </c>
      <c r="GN44" s="56">
        <v>395</v>
      </c>
      <c r="GO44" s="55">
        <v>25</v>
      </c>
      <c r="GP44" s="56">
        <v>400</v>
      </c>
      <c r="GQ44" s="55">
        <v>19</v>
      </c>
      <c r="GR44" s="56">
        <v>420</v>
      </c>
      <c r="GS44" s="55">
        <v>21</v>
      </c>
      <c r="GT44" s="56">
        <v>420</v>
      </c>
      <c r="GU44" s="55">
        <v>26</v>
      </c>
      <c r="GV44" s="56">
        <v>395</v>
      </c>
      <c r="GW44" s="55">
        <v>24</v>
      </c>
      <c r="GX44" s="56">
        <v>410</v>
      </c>
      <c r="GY44" s="55">
        <v>20</v>
      </c>
      <c r="GZ44" s="56">
        <v>418</v>
      </c>
      <c r="HA44">
        <v>26</v>
      </c>
      <c r="HB44" s="56">
        <v>413</v>
      </c>
      <c r="HC44">
        <v>22</v>
      </c>
      <c r="HD44" s="56">
        <v>430</v>
      </c>
      <c r="HE44">
        <v>19</v>
      </c>
      <c r="HF44" s="56">
        <v>400</v>
      </c>
    </row>
    <row r="45" spans="1:214" x14ac:dyDescent="0.25">
      <c r="A45" s="53"/>
      <c r="B45" s="54" t="s">
        <v>785</v>
      </c>
      <c r="C45" s="55">
        <v>19</v>
      </c>
      <c r="D45" s="56">
        <v>112</v>
      </c>
      <c r="E45" s="55">
        <v>18</v>
      </c>
      <c r="F45" s="56">
        <v>115</v>
      </c>
      <c r="G45" s="55">
        <v>17</v>
      </c>
      <c r="H45" s="56">
        <v>110</v>
      </c>
      <c r="I45" s="55">
        <v>19</v>
      </c>
      <c r="J45" s="56">
        <v>115</v>
      </c>
      <c r="K45" s="55">
        <v>10</v>
      </c>
      <c r="L45" s="56">
        <v>123</v>
      </c>
      <c r="M45" s="55">
        <v>14</v>
      </c>
      <c r="N45" s="56">
        <v>114</v>
      </c>
      <c r="O45" s="55">
        <v>12</v>
      </c>
      <c r="P45" s="56">
        <v>108</v>
      </c>
      <c r="Q45" s="55">
        <v>11</v>
      </c>
      <c r="R45" s="56">
        <v>125</v>
      </c>
      <c r="S45" s="55">
        <v>18</v>
      </c>
      <c r="T45" s="56">
        <v>114</v>
      </c>
      <c r="U45" s="55">
        <v>19</v>
      </c>
      <c r="V45" s="56">
        <v>120</v>
      </c>
      <c r="W45" s="55">
        <v>14</v>
      </c>
      <c r="X45" s="56">
        <v>120</v>
      </c>
      <c r="Y45" s="55">
        <v>24</v>
      </c>
      <c r="Z45" s="56">
        <v>120</v>
      </c>
      <c r="AA45" s="55">
        <v>11</v>
      </c>
      <c r="AB45" s="56">
        <v>125</v>
      </c>
      <c r="AC45" s="55">
        <v>17</v>
      </c>
      <c r="AD45" s="56">
        <v>140</v>
      </c>
      <c r="AE45" s="55">
        <v>13</v>
      </c>
      <c r="AF45" s="56">
        <v>140</v>
      </c>
      <c r="AG45" s="55">
        <v>28</v>
      </c>
      <c r="AH45" s="56">
        <v>140</v>
      </c>
      <c r="AI45" s="55">
        <v>18</v>
      </c>
      <c r="AJ45" s="56">
        <v>140</v>
      </c>
      <c r="AK45" s="55">
        <v>17</v>
      </c>
      <c r="AL45" s="56">
        <v>140</v>
      </c>
      <c r="AM45" s="55">
        <v>18</v>
      </c>
      <c r="AN45" s="56">
        <v>147</v>
      </c>
      <c r="AO45" s="55">
        <v>11</v>
      </c>
      <c r="AP45" s="56">
        <v>140</v>
      </c>
      <c r="AQ45" s="55">
        <v>9</v>
      </c>
      <c r="AR45" s="56">
        <v>150</v>
      </c>
      <c r="AS45" s="55">
        <v>16</v>
      </c>
      <c r="AT45" s="56">
        <v>153</v>
      </c>
      <c r="AU45" s="55">
        <v>20</v>
      </c>
      <c r="AV45" s="56">
        <v>153</v>
      </c>
      <c r="AW45" s="55">
        <v>27</v>
      </c>
      <c r="AX45" s="56">
        <v>150</v>
      </c>
      <c r="AY45" s="55">
        <v>23</v>
      </c>
      <c r="AZ45" s="56">
        <v>160</v>
      </c>
      <c r="BA45" s="55">
        <v>28</v>
      </c>
      <c r="BB45" s="56">
        <v>153</v>
      </c>
      <c r="BC45" s="55">
        <v>17</v>
      </c>
      <c r="BD45" s="56">
        <v>160</v>
      </c>
      <c r="BE45" s="55">
        <v>28</v>
      </c>
      <c r="BF45" s="56">
        <v>178</v>
      </c>
      <c r="BG45" s="55">
        <v>20</v>
      </c>
      <c r="BH45" s="56">
        <v>158</v>
      </c>
      <c r="BI45" s="55">
        <v>24</v>
      </c>
      <c r="BJ45" s="56">
        <v>158</v>
      </c>
      <c r="BK45" s="55">
        <v>17</v>
      </c>
      <c r="BL45" s="56">
        <v>180</v>
      </c>
      <c r="BM45" s="55">
        <v>22</v>
      </c>
      <c r="BN45" s="56">
        <v>178</v>
      </c>
      <c r="BO45" s="55">
        <v>12</v>
      </c>
      <c r="BP45" s="56">
        <v>185</v>
      </c>
      <c r="BQ45" s="55">
        <v>29</v>
      </c>
      <c r="BR45" s="56">
        <v>170</v>
      </c>
      <c r="BS45" s="55">
        <v>20</v>
      </c>
      <c r="BT45" s="56">
        <v>183</v>
      </c>
      <c r="BU45" s="55">
        <v>19</v>
      </c>
      <c r="BV45" s="56">
        <v>175</v>
      </c>
      <c r="BW45" s="55">
        <v>30</v>
      </c>
      <c r="BX45" s="56">
        <v>188</v>
      </c>
      <c r="BY45" s="55">
        <v>23</v>
      </c>
      <c r="BZ45" s="56">
        <v>195</v>
      </c>
      <c r="CA45" s="55">
        <v>17</v>
      </c>
      <c r="CB45" s="56">
        <v>200</v>
      </c>
      <c r="CC45" s="55">
        <v>26</v>
      </c>
      <c r="CD45" s="56">
        <v>188</v>
      </c>
      <c r="CE45" s="55">
        <v>32</v>
      </c>
      <c r="CF45" s="56">
        <v>180</v>
      </c>
      <c r="CG45" s="55">
        <v>24</v>
      </c>
      <c r="CH45" s="56">
        <v>188</v>
      </c>
      <c r="CI45" s="55">
        <v>16</v>
      </c>
      <c r="CJ45" s="56">
        <v>205</v>
      </c>
      <c r="CK45" s="55">
        <v>28</v>
      </c>
      <c r="CL45" s="56">
        <v>210</v>
      </c>
      <c r="CM45" s="55">
        <v>26</v>
      </c>
      <c r="CN45" s="56">
        <v>200</v>
      </c>
      <c r="CO45" s="55">
        <v>33</v>
      </c>
      <c r="CP45" s="56">
        <v>200</v>
      </c>
      <c r="CQ45" s="55">
        <v>20</v>
      </c>
      <c r="CR45" s="56">
        <v>250</v>
      </c>
      <c r="CS45" s="55">
        <v>25</v>
      </c>
      <c r="CT45" s="56">
        <v>230</v>
      </c>
      <c r="CU45" s="55">
        <v>21</v>
      </c>
      <c r="CV45" s="56">
        <v>240</v>
      </c>
      <c r="CW45" s="55">
        <v>27</v>
      </c>
      <c r="CX45" s="56">
        <v>230</v>
      </c>
      <c r="CY45" s="55">
        <v>23</v>
      </c>
      <c r="CZ45" s="56">
        <v>240</v>
      </c>
      <c r="DA45" s="55">
        <v>36</v>
      </c>
      <c r="DB45" s="56">
        <v>250</v>
      </c>
      <c r="DC45" s="55">
        <v>26</v>
      </c>
      <c r="DD45" s="56">
        <v>240</v>
      </c>
      <c r="DE45" s="55">
        <v>34</v>
      </c>
      <c r="DF45" s="56">
        <v>250</v>
      </c>
      <c r="DG45" s="55">
        <v>26</v>
      </c>
      <c r="DH45" s="56">
        <v>235</v>
      </c>
      <c r="DI45" s="55">
        <v>30</v>
      </c>
      <c r="DJ45" s="56">
        <v>230</v>
      </c>
      <c r="DK45" s="55">
        <v>27</v>
      </c>
      <c r="DL45" s="56">
        <v>250</v>
      </c>
      <c r="DM45" s="55">
        <v>29</v>
      </c>
      <c r="DN45" s="56">
        <v>250</v>
      </c>
      <c r="DO45" s="55">
        <v>24</v>
      </c>
      <c r="DP45" s="56">
        <v>255</v>
      </c>
      <c r="DQ45" s="55">
        <v>28</v>
      </c>
      <c r="DR45" s="56">
        <v>260</v>
      </c>
      <c r="DS45" s="55">
        <v>18</v>
      </c>
      <c r="DT45" s="56">
        <v>278</v>
      </c>
      <c r="DU45" s="55">
        <v>20</v>
      </c>
      <c r="DV45" s="56">
        <v>235</v>
      </c>
      <c r="DW45" s="55">
        <v>27</v>
      </c>
      <c r="DX45" s="56">
        <v>280</v>
      </c>
      <c r="DY45" s="55">
        <v>22</v>
      </c>
      <c r="DZ45" s="56">
        <v>255</v>
      </c>
      <c r="EA45" s="55">
        <v>23</v>
      </c>
      <c r="EB45" s="56">
        <v>250</v>
      </c>
      <c r="EC45" s="55">
        <v>20</v>
      </c>
      <c r="ED45" s="56">
        <v>260</v>
      </c>
      <c r="EE45" s="55">
        <v>21</v>
      </c>
      <c r="EF45" s="56">
        <v>285</v>
      </c>
      <c r="EG45" s="55">
        <v>27</v>
      </c>
      <c r="EH45" s="56">
        <v>280</v>
      </c>
      <c r="EI45" s="55">
        <v>27</v>
      </c>
      <c r="EJ45" s="56">
        <v>270</v>
      </c>
      <c r="EK45" s="55">
        <v>35</v>
      </c>
      <c r="EL45" s="56">
        <v>250</v>
      </c>
      <c r="EM45" s="55">
        <v>34</v>
      </c>
      <c r="EN45" s="56">
        <v>280</v>
      </c>
      <c r="EO45" s="55">
        <v>21</v>
      </c>
      <c r="EP45" s="56">
        <v>280</v>
      </c>
      <c r="EQ45" s="55">
        <v>24</v>
      </c>
      <c r="ER45" s="56">
        <v>285</v>
      </c>
      <c r="ES45" s="55">
        <v>22</v>
      </c>
      <c r="ET45" s="56">
        <v>300</v>
      </c>
      <c r="EU45" s="55">
        <v>34</v>
      </c>
      <c r="EV45" s="56">
        <v>280</v>
      </c>
      <c r="EW45" s="55">
        <v>31</v>
      </c>
      <c r="EX45" s="56">
        <v>300</v>
      </c>
      <c r="EY45" s="55">
        <v>17</v>
      </c>
      <c r="EZ45" s="56">
        <v>320</v>
      </c>
      <c r="FA45" s="55">
        <v>29</v>
      </c>
      <c r="FB45" s="56">
        <v>330</v>
      </c>
      <c r="FC45" s="55">
        <v>28</v>
      </c>
      <c r="FD45" s="56">
        <v>300</v>
      </c>
      <c r="FE45" s="55">
        <v>30</v>
      </c>
      <c r="FF45" s="56">
        <v>293</v>
      </c>
      <c r="FG45" s="55">
        <v>27</v>
      </c>
      <c r="FH45" s="56">
        <v>340</v>
      </c>
      <c r="FI45" s="55">
        <v>27</v>
      </c>
      <c r="FJ45" s="56">
        <v>310</v>
      </c>
      <c r="FK45" s="55">
        <v>26</v>
      </c>
      <c r="FL45" s="56">
        <v>300</v>
      </c>
      <c r="FM45" s="55">
        <v>26</v>
      </c>
      <c r="FN45" s="56">
        <v>340</v>
      </c>
      <c r="FO45" s="55">
        <v>35</v>
      </c>
      <c r="FP45" s="56">
        <v>320</v>
      </c>
      <c r="FQ45" s="55">
        <v>24</v>
      </c>
      <c r="FR45" s="56">
        <v>350</v>
      </c>
      <c r="FS45" s="55">
        <v>24</v>
      </c>
      <c r="FT45" s="56">
        <v>328</v>
      </c>
      <c r="FU45" s="55">
        <v>21</v>
      </c>
      <c r="FV45" s="56">
        <v>350</v>
      </c>
      <c r="FW45" s="55">
        <v>20</v>
      </c>
      <c r="FX45" s="56">
        <v>350</v>
      </c>
      <c r="FY45" s="55">
        <v>23</v>
      </c>
      <c r="FZ45" s="56">
        <v>360</v>
      </c>
      <c r="GA45" s="55">
        <v>31</v>
      </c>
      <c r="GB45" s="56">
        <v>360</v>
      </c>
      <c r="GC45" s="55">
        <v>21</v>
      </c>
      <c r="GD45" s="56">
        <v>390</v>
      </c>
      <c r="GE45" s="55">
        <v>26</v>
      </c>
      <c r="GF45" s="56">
        <v>365</v>
      </c>
      <c r="GG45" s="55">
        <v>27</v>
      </c>
      <c r="GH45" s="56">
        <v>400</v>
      </c>
      <c r="GI45" s="55">
        <v>18</v>
      </c>
      <c r="GJ45" s="56">
        <v>395</v>
      </c>
      <c r="GK45" s="55">
        <v>25</v>
      </c>
      <c r="GL45" s="56">
        <v>450</v>
      </c>
      <c r="GM45" s="55">
        <v>27</v>
      </c>
      <c r="GN45" s="56">
        <v>420</v>
      </c>
      <c r="GO45" s="55">
        <v>36</v>
      </c>
      <c r="GP45" s="56">
        <v>445</v>
      </c>
      <c r="GQ45" s="55">
        <v>21</v>
      </c>
      <c r="GR45" s="56">
        <v>450</v>
      </c>
      <c r="GS45" s="55">
        <v>27</v>
      </c>
      <c r="GT45" s="56">
        <v>450</v>
      </c>
      <c r="GU45" s="55">
        <v>23</v>
      </c>
      <c r="GV45" s="56">
        <v>450</v>
      </c>
      <c r="GW45" s="55">
        <v>29</v>
      </c>
      <c r="GX45" s="56">
        <v>450</v>
      </c>
      <c r="GY45" s="55">
        <v>33</v>
      </c>
      <c r="GZ45" s="56">
        <v>450</v>
      </c>
      <c r="HA45">
        <v>19</v>
      </c>
      <c r="HB45" s="56">
        <v>480</v>
      </c>
      <c r="HC45">
        <v>22</v>
      </c>
      <c r="HD45" s="56">
        <v>500</v>
      </c>
      <c r="HE45">
        <v>20</v>
      </c>
      <c r="HF45" s="56">
        <v>475</v>
      </c>
    </row>
    <row r="46" spans="1:214" x14ac:dyDescent="0.25">
      <c r="A46" s="53"/>
      <c r="B46" s="54" t="s">
        <v>786</v>
      </c>
      <c r="C46" s="55">
        <v>10</v>
      </c>
      <c r="D46" s="56">
        <v>120</v>
      </c>
      <c r="E46" s="55">
        <v>11</v>
      </c>
      <c r="F46" s="56">
        <v>100</v>
      </c>
      <c r="G46" s="55">
        <v>12</v>
      </c>
      <c r="H46" s="56">
        <v>123</v>
      </c>
      <c r="I46" s="55">
        <v>15</v>
      </c>
      <c r="J46" s="56">
        <v>120</v>
      </c>
      <c r="K46" s="55">
        <v>11</v>
      </c>
      <c r="L46" s="56">
        <v>100</v>
      </c>
      <c r="M46" s="55">
        <v>9</v>
      </c>
      <c r="N46" s="56">
        <v>130</v>
      </c>
      <c r="O46" s="55">
        <v>6</v>
      </c>
      <c r="P46" s="56">
        <v>91</v>
      </c>
      <c r="Q46" s="55">
        <v>13</v>
      </c>
      <c r="R46" s="56">
        <v>110</v>
      </c>
      <c r="S46" s="55">
        <v>11</v>
      </c>
      <c r="T46" s="56">
        <v>110</v>
      </c>
      <c r="U46" s="55" t="s">
        <v>2</v>
      </c>
      <c r="V46" s="56" t="s">
        <v>2</v>
      </c>
      <c r="W46" s="55">
        <v>9</v>
      </c>
      <c r="X46" s="56">
        <v>120</v>
      </c>
      <c r="Y46" s="55">
        <v>7</v>
      </c>
      <c r="Z46" s="56">
        <v>125</v>
      </c>
      <c r="AA46" s="55">
        <v>9</v>
      </c>
      <c r="AB46" s="56">
        <v>120</v>
      </c>
      <c r="AC46" s="55">
        <v>11</v>
      </c>
      <c r="AD46" s="56">
        <v>125</v>
      </c>
      <c r="AE46" s="55">
        <v>6</v>
      </c>
      <c r="AF46" s="56">
        <v>130</v>
      </c>
      <c r="AG46" s="55">
        <v>13</v>
      </c>
      <c r="AH46" s="56">
        <v>130</v>
      </c>
      <c r="AI46" s="55">
        <v>13</v>
      </c>
      <c r="AJ46" s="56">
        <v>120</v>
      </c>
      <c r="AK46" s="55">
        <v>6</v>
      </c>
      <c r="AL46" s="56">
        <v>150</v>
      </c>
      <c r="AM46" s="55">
        <v>10</v>
      </c>
      <c r="AN46" s="56">
        <v>140</v>
      </c>
      <c r="AO46" s="55">
        <v>12</v>
      </c>
      <c r="AP46" s="56">
        <v>143</v>
      </c>
      <c r="AQ46" s="55" t="s">
        <v>2</v>
      </c>
      <c r="AR46" s="56" t="s">
        <v>2</v>
      </c>
      <c r="AS46" s="55">
        <v>12</v>
      </c>
      <c r="AT46" s="56">
        <v>135</v>
      </c>
      <c r="AU46" s="55">
        <v>8</v>
      </c>
      <c r="AV46" s="56">
        <v>160</v>
      </c>
      <c r="AW46" s="55">
        <v>15</v>
      </c>
      <c r="AX46" s="56">
        <v>130</v>
      </c>
      <c r="AY46" s="55">
        <v>10</v>
      </c>
      <c r="AZ46" s="56">
        <v>150</v>
      </c>
      <c r="BA46" s="55">
        <v>15</v>
      </c>
      <c r="BB46" s="56">
        <v>150</v>
      </c>
      <c r="BC46" s="55">
        <v>11</v>
      </c>
      <c r="BD46" s="56">
        <v>150</v>
      </c>
      <c r="BE46" s="55">
        <v>6</v>
      </c>
      <c r="BF46" s="56">
        <v>130</v>
      </c>
      <c r="BG46" s="55">
        <v>10</v>
      </c>
      <c r="BH46" s="56">
        <v>155</v>
      </c>
      <c r="BI46" s="55">
        <v>12</v>
      </c>
      <c r="BJ46" s="56">
        <v>150</v>
      </c>
      <c r="BK46" s="55">
        <v>9</v>
      </c>
      <c r="BL46" s="56">
        <v>140</v>
      </c>
      <c r="BM46" s="55">
        <v>12</v>
      </c>
      <c r="BN46" s="56">
        <v>140</v>
      </c>
      <c r="BO46" s="55">
        <v>5</v>
      </c>
      <c r="BP46" s="56">
        <v>200</v>
      </c>
      <c r="BQ46" s="55">
        <v>11</v>
      </c>
      <c r="BR46" s="56">
        <v>150</v>
      </c>
      <c r="BS46" s="55">
        <v>10</v>
      </c>
      <c r="BT46" s="56">
        <v>140</v>
      </c>
      <c r="BU46" s="55">
        <v>10</v>
      </c>
      <c r="BV46" s="56">
        <v>145</v>
      </c>
      <c r="BW46" s="55">
        <v>12</v>
      </c>
      <c r="BX46" s="56">
        <v>155</v>
      </c>
      <c r="BY46" s="55">
        <v>9</v>
      </c>
      <c r="BZ46" s="56">
        <v>160</v>
      </c>
      <c r="CA46" s="55">
        <v>9</v>
      </c>
      <c r="CB46" s="56">
        <v>160</v>
      </c>
      <c r="CC46" s="55">
        <v>15</v>
      </c>
      <c r="CD46" s="56">
        <v>155</v>
      </c>
      <c r="CE46" s="55">
        <v>13</v>
      </c>
      <c r="CF46" s="56">
        <v>170</v>
      </c>
      <c r="CG46" s="55">
        <v>14</v>
      </c>
      <c r="CH46" s="56">
        <v>180</v>
      </c>
      <c r="CI46" s="55">
        <v>12</v>
      </c>
      <c r="CJ46" s="56">
        <v>190</v>
      </c>
      <c r="CK46" s="55">
        <v>15</v>
      </c>
      <c r="CL46" s="56">
        <v>200</v>
      </c>
      <c r="CM46" s="55">
        <v>21</v>
      </c>
      <c r="CN46" s="56">
        <v>170</v>
      </c>
      <c r="CO46" s="55">
        <v>12</v>
      </c>
      <c r="CP46" s="56">
        <v>205</v>
      </c>
      <c r="CQ46" s="55">
        <v>11</v>
      </c>
      <c r="CR46" s="56">
        <v>200</v>
      </c>
      <c r="CS46" s="55">
        <v>19</v>
      </c>
      <c r="CT46" s="56">
        <v>200</v>
      </c>
      <c r="CU46" s="55">
        <v>15</v>
      </c>
      <c r="CV46" s="56">
        <v>175</v>
      </c>
      <c r="CW46" s="55">
        <v>24</v>
      </c>
      <c r="CX46" s="56">
        <v>183</v>
      </c>
      <c r="CY46" s="55">
        <v>11</v>
      </c>
      <c r="CZ46" s="56">
        <v>180</v>
      </c>
      <c r="DA46" s="55">
        <v>15</v>
      </c>
      <c r="DB46" s="56">
        <v>210</v>
      </c>
      <c r="DC46" s="55">
        <v>17</v>
      </c>
      <c r="DD46" s="56">
        <v>190</v>
      </c>
      <c r="DE46" s="55">
        <v>18</v>
      </c>
      <c r="DF46" s="56">
        <v>195</v>
      </c>
      <c r="DG46" s="55">
        <v>23</v>
      </c>
      <c r="DH46" s="56">
        <v>190</v>
      </c>
      <c r="DI46" s="55">
        <v>19</v>
      </c>
      <c r="DJ46" s="56">
        <v>200</v>
      </c>
      <c r="DK46" s="55">
        <v>13</v>
      </c>
      <c r="DL46" s="56">
        <v>190</v>
      </c>
      <c r="DM46" s="55">
        <v>21</v>
      </c>
      <c r="DN46" s="56">
        <v>220</v>
      </c>
      <c r="DO46" s="55">
        <v>16</v>
      </c>
      <c r="DP46" s="56">
        <v>195</v>
      </c>
      <c r="DQ46" s="55">
        <v>8</v>
      </c>
      <c r="DR46" s="56">
        <v>245</v>
      </c>
      <c r="DS46" s="55">
        <v>11</v>
      </c>
      <c r="DT46" s="56">
        <v>225</v>
      </c>
      <c r="DU46" s="55">
        <v>9</v>
      </c>
      <c r="DV46" s="56">
        <v>200</v>
      </c>
      <c r="DW46" s="55">
        <v>16</v>
      </c>
      <c r="DX46" s="56">
        <v>215</v>
      </c>
      <c r="DY46" s="55">
        <v>16</v>
      </c>
      <c r="DZ46" s="56">
        <v>228</v>
      </c>
      <c r="EA46" s="55">
        <v>8</v>
      </c>
      <c r="EB46" s="56">
        <v>208</v>
      </c>
      <c r="EC46" s="55">
        <v>17</v>
      </c>
      <c r="ED46" s="56">
        <v>200</v>
      </c>
      <c r="EE46" s="55">
        <v>16</v>
      </c>
      <c r="EF46" s="56">
        <v>250</v>
      </c>
      <c r="EG46" s="55">
        <v>18</v>
      </c>
      <c r="EH46" s="56">
        <v>235</v>
      </c>
      <c r="EI46" s="55">
        <v>14</v>
      </c>
      <c r="EJ46" s="56">
        <v>220</v>
      </c>
      <c r="EK46" s="55">
        <v>16</v>
      </c>
      <c r="EL46" s="56">
        <v>235</v>
      </c>
      <c r="EM46" s="55">
        <v>10</v>
      </c>
      <c r="EN46" s="56">
        <v>238</v>
      </c>
      <c r="EO46" s="55">
        <v>22</v>
      </c>
      <c r="EP46" s="56">
        <v>228</v>
      </c>
      <c r="EQ46" s="55">
        <v>11</v>
      </c>
      <c r="ER46" s="56">
        <v>240</v>
      </c>
      <c r="ES46" s="55">
        <v>10</v>
      </c>
      <c r="ET46" s="56">
        <v>278</v>
      </c>
      <c r="EU46" s="55">
        <v>13</v>
      </c>
      <c r="EV46" s="56">
        <v>260</v>
      </c>
      <c r="EW46" s="55">
        <v>22</v>
      </c>
      <c r="EX46" s="56">
        <v>255</v>
      </c>
      <c r="EY46" s="55">
        <v>14</v>
      </c>
      <c r="EZ46" s="56">
        <v>250</v>
      </c>
      <c r="FA46" s="55">
        <v>7</v>
      </c>
      <c r="FB46" s="56">
        <v>260</v>
      </c>
      <c r="FC46" s="55">
        <v>10</v>
      </c>
      <c r="FD46" s="56">
        <v>263</v>
      </c>
      <c r="FE46" s="55">
        <v>19</v>
      </c>
      <c r="FF46" s="56">
        <v>250</v>
      </c>
      <c r="FG46" s="55">
        <v>21</v>
      </c>
      <c r="FH46" s="56">
        <v>280</v>
      </c>
      <c r="FI46" s="55">
        <v>12</v>
      </c>
      <c r="FJ46" s="56">
        <v>260</v>
      </c>
      <c r="FK46" s="55">
        <v>12</v>
      </c>
      <c r="FL46" s="56">
        <v>265</v>
      </c>
      <c r="FM46" s="55">
        <v>30</v>
      </c>
      <c r="FN46" s="56">
        <v>265</v>
      </c>
      <c r="FO46" s="55">
        <v>11</v>
      </c>
      <c r="FP46" s="56">
        <v>300</v>
      </c>
      <c r="FQ46" s="55">
        <v>11</v>
      </c>
      <c r="FR46" s="56">
        <v>300</v>
      </c>
      <c r="FS46" s="55" t="s">
        <v>2</v>
      </c>
      <c r="FT46" s="56" t="s">
        <v>2</v>
      </c>
      <c r="FU46" s="55">
        <v>12</v>
      </c>
      <c r="FV46" s="56">
        <v>265</v>
      </c>
      <c r="FW46" s="55">
        <v>9</v>
      </c>
      <c r="FX46" s="56">
        <v>300</v>
      </c>
      <c r="FY46" s="55">
        <v>11</v>
      </c>
      <c r="FZ46" s="56">
        <v>300</v>
      </c>
      <c r="GA46" s="55">
        <v>9</v>
      </c>
      <c r="GB46" s="56">
        <v>300</v>
      </c>
      <c r="GC46" s="55">
        <v>13</v>
      </c>
      <c r="GD46" s="56">
        <v>330</v>
      </c>
      <c r="GE46" s="55">
        <v>12</v>
      </c>
      <c r="GF46" s="56">
        <v>335</v>
      </c>
      <c r="GG46" s="55">
        <v>8</v>
      </c>
      <c r="GH46" s="56">
        <v>370</v>
      </c>
      <c r="GI46" s="55">
        <v>7</v>
      </c>
      <c r="GJ46" s="56">
        <v>320</v>
      </c>
      <c r="GK46" s="55">
        <v>12</v>
      </c>
      <c r="GL46" s="56">
        <v>430</v>
      </c>
      <c r="GM46" s="55">
        <v>11</v>
      </c>
      <c r="GN46" s="56">
        <v>360</v>
      </c>
      <c r="GO46" s="55">
        <v>9</v>
      </c>
      <c r="GP46" s="56">
        <v>360</v>
      </c>
      <c r="GQ46" s="55" t="s">
        <v>2</v>
      </c>
      <c r="GR46" s="56" t="s">
        <v>2</v>
      </c>
      <c r="GS46" s="55">
        <v>6</v>
      </c>
      <c r="GT46" s="56">
        <v>360</v>
      </c>
      <c r="GU46" s="55">
        <v>8</v>
      </c>
      <c r="GV46" s="56">
        <v>325</v>
      </c>
      <c r="GW46" s="55" t="s">
        <v>2</v>
      </c>
      <c r="GX46" s="56" t="s">
        <v>2</v>
      </c>
      <c r="GY46" s="55">
        <v>11</v>
      </c>
      <c r="GZ46" s="56">
        <v>400</v>
      </c>
      <c r="HA46">
        <v>5</v>
      </c>
      <c r="HB46" s="56">
        <v>460</v>
      </c>
      <c r="HC46">
        <v>7</v>
      </c>
      <c r="HD46" s="56">
        <v>500</v>
      </c>
      <c r="HE46" t="s">
        <v>2</v>
      </c>
      <c r="HF46" s="56" t="s">
        <v>2</v>
      </c>
    </row>
    <row r="47" spans="1:214" x14ac:dyDescent="0.25">
      <c r="A47" s="53"/>
      <c r="B47" s="54" t="s">
        <v>787</v>
      </c>
      <c r="C47" s="55">
        <v>84</v>
      </c>
      <c r="D47" s="56">
        <v>135</v>
      </c>
      <c r="E47" s="55">
        <v>77</v>
      </c>
      <c r="F47" s="56">
        <v>140</v>
      </c>
      <c r="G47" s="55">
        <v>72</v>
      </c>
      <c r="H47" s="56">
        <v>137</v>
      </c>
      <c r="I47" s="55">
        <v>75</v>
      </c>
      <c r="J47" s="56">
        <v>140</v>
      </c>
      <c r="K47" s="55">
        <v>69</v>
      </c>
      <c r="L47" s="56">
        <v>145</v>
      </c>
      <c r="M47" s="55">
        <v>69</v>
      </c>
      <c r="N47" s="56">
        <v>135</v>
      </c>
      <c r="O47" s="55">
        <v>49</v>
      </c>
      <c r="P47" s="56">
        <v>150</v>
      </c>
      <c r="Q47" s="55">
        <v>80</v>
      </c>
      <c r="R47" s="56">
        <v>140</v>
      </c>
      <c r="S47" s="55">
        <v>63</v>
      </c>
      <c r="T47" s="56">
        <v>145</v>
      </c>
      <c r="U47" s="55">
        <v>56</v>
      </c>
      <c r="V47" s="56">
        <v>140</v>
      </c>
      <c r="W47" s="55">
        <v>73</v>
      </c>
      <c r="X47" s="56">
        <v>150</v>
      </c>
      <c r="Y47" s="55">
        <v>62</v>
      </c>
      <c r="Z47" s="56">
        <v>150</v>
      </c>
      <c r="AA47" s="55">
        <v>79</v>
      </c>
      <c r="AB47" s="56">
        <v>150</v>
      </c>
      <c r="AC47" s="55">
        <v>87</v>
      </c>
      <c r="AD47" s="56">
        <v>150</v>
      </c>
      <c r="AE47" s="55">
        <v>70</v>
      </c>
      <c r="AF47" s="56">
        <v>155</v>
      </c>
      <c r="AG47" s="55">
        <v>84</v>
      </c>
      <c r="AH47" s="56">
        <v>155</v>
      </c>
      <c r="AI47" s="55">
        <v>70</v>
      </c>
      <c r="AJ47" s="56">
        <v>160</v>
      </c>
      <c r="AK47" s="55">
        <v>71</v>
      </c>
      <c r="AL47" s="56">
        <v>155</v>
      </c>
      <c r="AM47" s="55">
        <v>69</v>
      </c>
      <c r="AN47" s="56">
        <v>170</v>
      </c>
      <c r="AO47" s="55">
        <v>67</v>
      </c>
      <c r="AP47" s="56">
        <v>165</v>
      </c>
      <c r="AQ47" s="55">
        <v>63</v>
      </c>
      <c r="AR47" s="56">
        <v>165</v>
      </c>
      <c r="AS47" s="55">
        <v>74</v>
      </c>
      <c r="AT47" s="56">
        <v>170</v>
      </c>
      <c r="AU47" s="55">
        <v>62</v>
      </c>
      <c r="AV47" s="56">
        <v>180</v>
      </c>
      <c r="AW47" s="55">
        <v>60</v>
      </c>
      <c r="AX47" s="56">
        <v>188</v>
      </c>
      <c r="AY47" s="55">
        <v>58</v>
      </c>
      <c r="AZ47" s="56">
        <v>180</v>
      </c>
      <c r="BA47" s="55">
        <v>68</v>
      </c>
      <c r="BB47" s="56">
        <v>178</v>
      </c>
      <c r="BC47" s="55">
        <v>53</v>
      </c>
      <c r="BD47" s="56">
        <v>195</v>
      </c>
      <c r="BE47" s="55">
        <v>79</v>
      </c>
      <c r="BF47" s="56">
        <v>185</v>
      </c>
      <c r="BG47" s="55">
        <v>71</v>
      </c>
      <c r="BH47" s="56">
        <v>200</v>
      </c>
      <c r="BI47" s="55">
        <v>67</v>
      </c>
      <c r="BJ47" s="56">
        <v>180</v>
      </c>
      <c r="BK47" s="55">
        <v>54</v>
      </c>
      <c r="BL47" s="56">
        <v>185</v>
      </c>
      <c r="BM47" s="55">
        <v>73</v>
      </c>
      <c r="BN47" s="56">
        <v>195</v>
      </c>
      <c r="BO47" s="55">
        <v>65</v>
      </c>
      <c r="BP47" s="56">
        <v>190</v>
      </c>
      <c r="BQ47" s="55">
        <v>72</v>
      </c>
      <c r="BR47" s="56">
        <v>200</v>
      </c>
      <c r="BS47" s="55">
        <v>58</v>
      </c>
      <c r="BT47" s="56">
        <v>200</v>
      </c>
      <c r="BU47" s="55">
        <v>80</v>
      </c>
      <c r="BV47" s="56">
        <v>210</v>
      </c>
      <c r="BW47" s="55">
        <v>65</v>
      </c>
      <c r="BX47" s="56">
        <v>200</v>
      </c>
      <c r="BY47" s="55">
        <v>77</v>
      </c>
      <c r="BZ47" s="56">
        <v>210</v>
      </c>
      <c r="CA47" s="55">
        <v>62</v>
      </c>
      <c r="CB47" s="56">
        <v>210</v>
      </c>
      <c r="CC47" s="55">
        <v>74</v>
      </c>
      <c r="CD47" s="56">
        <v>210</v>
      </c>
      <c r="CE47" s="55">
        <v>71</v>
      </c>
      <c r="CF47" s="56">
        <v>210</v>
      </c>
      <c r="CG47" s="55">
        <v>65</v>
      </c>
      <c r="CH47" s="56">
        <v>220</v>
      </c>
      <c r="CI47" s="55">
        <v>65</v>
      </c>
      <c r="CJ47" s="56">
        <v>225</v>
      </c>
      <c r="CK47" s="55">
        <v>73</v>
      </c>
      <c r="CL47" s="56">
        <v>230</v>
      </c>
      <c r="CM47" s="55">
        <v>56</v>
      </c>
      <c r="CN47" s="56">
        <v>230</v>
      </c>
      <c r="CO47" s="55">
        <v>65</v>
      </c>
      <c r="CP47" s="56">
        <v>225</v>
      </c>
      <c r="CQ47" s="55">
        <v>63</v>
      </c>
      <c r="CR47" s="56">
        <v>240</v>
      </c>
      <c r="CS47" s="55">
        <v>81</v>
      </c>
      <c r="CT47" s="56">
        <v>230</v>
      </c>
      <c r="CU47" s="55">
        <v>69</v>
      </c>
      <c r="CV47" s="56">
        <v>240</v>
      </c>
      <c r="CW47" s="55">
        <v>68</v>
      </c>
      <c r="CX47" s="56">
        <v>233</v>
      </c>
      <c r="CY47" s="55">
        <v>61</v>
      </c>
      <c r="CZ47" s="56">
        <v>260</v>
      </c>
      <c r="DA47" s="55">
        <v>71</v>
      </c>
      <c r="DB47" s="56">
        <v>250</v>
      </c>
      <c r="DC47" s="55">
        <v>84</v>
      </c>
      <c r="DD47" s="56">
        <v>243</v>
      </c>
      <c r="DE47" s="55">
        <v>63</v>
      </c>
      <c r="DF47" s="56">
        <v>240</v>
      </c>
      <c r="DG47" s="55">
        <v>60</v>
      </c>
      <c r="DH47" s="56">
        <v>258</v>
      </c>
      <c r="DI47" s="55">
        <v>66</v>
      </c>
      <c r="DJ47" s="56">
        <v>260</v>
      </c>
      <c r="DK47" s="55">
        <v>63</v>
      </c>
      <c r="DL47" s="56">
        <v>260</v>
      </c>
      <c r="DM47" s="55">
        <v>68</v>
      </c>
      <c r="DN47" s="56">
        <v>260</v>
      </c>
      <c r="DO47" s="55">
        <v>66</v>
      </c>
      <c r="DP47" s="56">
        <v>260</v>
      </c>
      <c r="DQ47" s="55">
        <v>74</v>
      </c>
      <c r="DR47" s="56">
        <v>265</v>
      </c>
      <c r="DS47" s="55">
        <v>73</v>
      </c>
      <c r="DT47" s="56">
        <v>285</v>
      </c>
      <c r="DU47" s="55">
        <v>74</v>
      </c>
      <c r="DV47" s="56">
        <v>275</v>
      </c>
      <c r="DW47" s="55">
        <v>75</v>
      </c>
      <c r="DX47" s="56">
        <v>260</v>
      </c>
      <c r="DY47" s="55">
        <v>81</v>
      </c>
      <c r="DZ47" s="56">
        <v>275</v>
      </c>
      <c r="EA47" s="55">
        <v>85</v>
      </c>
      <c r="EB47" s="56">
        <v>275</v>
      </c>
      <c r="EC47" s="55">
        <v>90</v>
      </c>
      <c r="ED47" s="56">
        <v>270</v>
      </c>
      <c r="EE47" s="55">
        <v>101</v>
      </c>
      <c r="EF47" s="56">
        <v>275</v>
      </c>
      <c r="EG47" s="55">
        <v>97</v>
      </c>
      <c r="EH47" s="56">
        <v>275</v>
      </c>
      <c r="EI47" s="55">
        <v>88</v>
      </c>
      <c r="EJ47" s="56">
        <v>275</v>
      </c>
      <c r="EK47" s="55">
        <v>93</v>
      </c>
      <c r="EL47" s="56">
        <v>270</v>
      </c>
      <c r="EM47" s="55">
        <v>89</v>
      </c>
      <c r="EN47" s="56">
        <v>285</v>
      </c>
      <c r="EO47" s="55">
        <v>85</v>
      </c>
      <c r="EP47" s="56">
        <v>290</v>
      </c>
      <c r="EQ47" s="55">
        <v>95</v>
      </c>
      <c r="ER47" s="56">
        <v>285</v>
      </c>
      <c r="ES47" s="55">
        <v>84</v>
      </c>
      <c r="ET47" s="56">
        <v>290</v>
      </c>
      <c r="EU47" s="55">
        <v>71</v>
      </c>
      <c r="EV47" s="56">
        <v>270</v>
      </c>
      <c r="EW47" s="55">
        <v>83</v>
      </c>
      <c r="EX47" s="56">
        <v>310</v>
      </c>
      <c r="EY47" s="55">
        <v>91</v>
      </c>
      <c r="EZ47" s="56">
        <v>290</v>
      </c>
      <c r="FA47" s="55">
        <v>75</v>
      </c>
      <c r="FB47" s="56">
        <v>300</v>
      </c>
      <c r="FC47" s="55">
        <v>61</v>
      </c>
      <c r="FD47" s="56">
        <v>305</v>
      </c>
      <c r="FE47" s="55">
        <v>79</v>
      </c>
      <c r="FF47" s="56">
        <v>320</v>
      </c>
      <c r="FG47" s="55">
        <v>78</v>
      </c>
      <c r="FH47" s="56">
        <v>310</v>
      </c>
      <c r="FI47" s="55">
        <v>72</v>
      </c>
      <c r="FJ47" s="56">
        <v>305</v>
      </c>
      <c r="FK47" s="55">
        <v>88</v>
      </c>
      <c r="FL47" s="56">
        <v>320</v>
      </c>
      <c r="FM47" s="55">
        <v>85</v>
      </c>
      <c r="FN47" s="56">
        <v>330</v>
      </c>
      <c r="FO47" s="55">
        <v>84</v>
      </c>
      <c r="FP47" s="56">
        <v>320</v>
      </c>
      <c r="FQ47" s="55">
        <v>76</v>
      </c>
      <c r="FR47" s="56">
        <v>320</v>
      </c>
      <c r="FS47" s="55">
        <v>67</v>
      </c>
      <c r="FT47" s="56">
        <v>340</v>
      </c>
      <c r="FU47" s="55">
        <v>82</v>
      </c>
      <c r="FV47" s="56">
        <v>360</v>
      </c>
      <c r="FW47" s="55">
        <v>69</v>
      </c>
      <c r="FX47" s="56">
        <v>390</v>
      </c>
      <c r="FY47" s="55">
        <v>54</v>
      </c>
      <c r="FZ47" s="56">
        <v>360</v>
      </c>
      <c r="GA47" s="55">
        <v>65</v>
      </c>
      <c r="GB47" s="56">
        <v>380</v>
      </c>
      <c r="GC47" s="55">
        <v>75</v>
      </c>
      <c r="GD47" s="56">
        <v>400</v>
      </c>
      <c r="GE47" s="55">
        <v>64</v>
      </c>
      <c r="GF47" s="56">
        <v>420</v>
      </c>
      <c r="GG47" s="55">
        <v>55</v>
      </c>
      <c r="GH47" s="56">
        <v>410</v>
      </c>
      <c r="GI47" s="55">
        <v>69</v>
      </c>
      <c r="GJ47" s="56">
        <v>430</v>
      </c>
      <c r="GK47" s="55">
        <v>69</v>
      </c>
      <c r="GL47" s="56">
        <v>420</v>
      </c>
      <c r="GM47" s="55">
        <v>80</v>
      </c>
      <c r="GN47" s="56">
        <v>408</v>
      </c>
      <c r="GO47" s="55">
        <v>70</v>
      </c>
      <c r="GP47" s="56">
        <v>430</v>
      </c>
      <c r="GQ47" s="55">
        <v>74</v>
      </c>
      <c r="GR47" s="56">
        <v>423</v>
      </c>
      <c r="GS47" s="55">
        <v>70</v>
      </c>
      <c r="GT47" s="56">
        <v>440</v>
      </c>
      <c r="GU47" s="55">
        <v>59</v>
      </c>
      <c r="GV47" s="56">
        <v>440</v>
      </c>
      <c r="GW47" s="55">
        <v>56</v>
      </c>
      <c r="GX47" s="56">
        <v>450</v>
      </c>
      <c r="GY47" s="55">
        <v>73</v>
      </c>
      <c r="GZ47" s="56">
        <v>450</v>
      </c>
      <c r="HA47">
        <v>85</v>
      </c>
      <c r="HB47" s="56">
        <v>460</v>
      </c>
      <c r="HC47">
        <v>58</v>
      </c>
      <c r="HD47" s="56">
        <v>460</v>
      </c>
      <c r="HE47">
        <v>42</v>
      </c>
      <c r="HF47" s="56">
        <v>500</v>
      </c>
    </row>
    <row r="48" spans="1:214" x14ac:dyDescent="0.25">
      <c r="A48" s="53"/>
      <c r="B48" s="54" t="s">
        <v>788</v>
      </c>
      <c r="C48" s="55">
        <v>106</v>
      </c>
      <c r="D48" s="56">
        <v>160</v>
      </c>
      <c r="E48" s="55">
        <v>124</v>
      </c>
      <c r="F48" s="56">
        <v>160</v>
      </c>
      <c r="G48" s="55">
        <v>129</v>
      </c>
      <c r="H48" s="56">
        <v>165</v>
      </c>
      <c r="I48" s="55">
        <v>164</v>
      </c>
      <c r="J48" s="56">
        <v>170</v>
      </c>
      <c r="K48" s="55">
        <v>122</v>
      </c>
      <c r="L48" s="56">
        <v>165</v>
      </c>
      <c r="M48" s="55">
        <v>124</v>
      </c>
      <c r="N48" s="56">
        <v>165</v>
      </c>
      <c r="O48" s="55">
        <v>126</v>
      </c>
      <c r="P48" s="56">
        <v>170</v>
      </c>
      <c r="Q48" s="55">
        <v>139</v>
      </c>
      <c r="R48" s="56">
        <v>165</v>
      </c>
      <c r="S48" s="55">
        <v>103</v>
      </c>
      <c r="T48" s="56">
        <v>170</v>
      </c>
      <c r="U48" s="55">
        <v>121</v>
      </c>
      <c r="V48" s="56">
        <v>175</v>
      </c>
      <c r="W48" s="55">
        <v>110</v>
      </c>
      <c r="X48" s="56">
        <v>175</v>
      </c>
      <c r="Y48" s="55">
        <v>147</v>
      </c>
      <c r="Z48" s="56">
        <v>170</v>
      </c>
      <c r="AA48" s="55">
        <v>118</v>
      </c>
      <c r="AB48" s="56">
        <v>175</v>
      </c>
      <c r="AC48" s="55">
        <v>129</v>
      </c>
      <c r="AD48" s="56">
        <v>180</v>
      </c>
      <c r="AE48" s="55">
        <v>131</v>
      </c>
      <c r="AF48" s="56">
        <v>185</v>
      </c>
      <c r="AG48" s="55">
        <v>148</v>
      </c>
      <c r="AH48" s="56">
        <v>190</v>
      </c>
      <c r="AI48" s="55">
        <v>108</v>
      </c>
      <c r="AJ48" s="56">
        <v>195</v>
      </c>
      <c r="AK48" s="55">
        <v>146</v>
      </c>
      <c r="AL48" s="56">
        <v>210</v>
      </c>
      <c r="AM48" s="55">
        <v>157</v>
      </c>
      <c r="AN48" s="56">
        <v>210</v>
      </c>
      <c r="AO48" s="55">
        <v>157</v>
      </c>
      <c r="AP48" s="56">
        <v>200</v>
      </c>
      <c r="AQ48" s="55">
        <v>114</v>
      </c>
      <c r="AR48" s="56">
        <v>210</v>
      </c>
      <c r="AS48" s="55">
        <v>119</v>
      </c>
      <c r="AT48" s="56">
        <v>210</v>
      </c>
      <c r="AU48" s="55">
        <v>134</v>
      </c>
      <c r="AV48" s="56">
        <v>215</v>
      </c>
      <c r="AW48" s="55">
        <v>162</v>
      </c>
      <c r="AX48" s="56">
        <v>228</v>
      </c>
      <c r="AY48" s="55">
        <v>125</v>
      </c>
      <c r="AZ48" s="56">
        <v>215</v>
      </c>
      <c r="BA48" s="55">
        <v>149</v>
      </c>
      <c r="BB48" s="56">
        <v>220</v>
      </c>
      <c r="BC48" s="55">
        <v>113</v>
      </c>
      <c r="BD48" s="56">
        <v>225</v>
      </c>
      <c r="BE48" s="55">
        <v>136</v>
      </c>
      <c r="BF48" s="56">
        <v>230</v>
      </c>
      <c r="BG48" s="55">
        <v>114</v>
      </c>
      <c r="BH48" s="56">
        <v>235</v>
      </c>
      <c r="BI48" s="55">
        <v>116</v>
      </c>
      <c r="BJ48" s="56">
        <v>225</v>
      </c>
      <c r="BK48" s="55">
        <v>129</v>
      </c>
      <c r="BL48" s="56">
        <v>240</v>
      </c>
      <c r="BM48" s="55">
        <v>134</v>
      </c>
      <c r="BN48" s="56">
        <v>240</v>
      </c>
      <c r="BO48" s="55">
        <v>130</v>
      </c>
      <c r="BP48" s="56">
        <v>248</v>
      </c>
      <c r="BQ48" s="55">
        <v>133</v>
      </c>
      <c r="BR48" s="56">
        <v>245</v>
      </c>
      <c r="BS48" s="55">
        <v>145</v>
      </c>
      <c r="BT48" s="56">
        <v>245</v>
      </c>
      <c r="BU48" s="55">
        <v>172</v>
      </c>
      <c r="BV48" s="56">
        <v>240</v>
      </c>
      <c r="BW48" s="55">
        <v>151</v>
      </c>
      <c r="BX48" s="56">
        <v>240</v>
      </c>
      <c r="BY48" s="55">
        <v>165</v>
      </c>
      <c r="BZ48" s="56">
        <v>250</v>
      </c>
      <c r="CA48" s="55">
        <v>132</v>
      </c>
      <c r="CB48" s="56">
        <v>250</v>
      </c>
      <c r="CC48" s="55">
        <v>129</v>
      </c>
      <c r="CD48" s="56">
        <v>250</v>
      </c>
      <c r="CE48" s="55">
        <v>115</v>
      </c>
      <c r="CF48" s="56">
        <v>250</v>
      </c>
      <c r="CG48" s="55">
        <v>132</v>
      </c>
      <c r="CH48" s="56">
        <v>253</v>
      </c>
      <c r="CI48" s="55">
        <v>103</v>
      </c>
      <c r="CJ48" s="56">
        <v>250</v>
      </c>
      <c r="CK48" s="55">
        <v>133</v>
      </c>
      <c r="CL48" s="56">
        <v>250</v>
      </c>
      <c r="CM48" s="55">
        <v>161</v>
      </c>
      <c r="CN48" s="56">
        <v>260</v>
      </c>
      <c r="CO48" s="55">
        <v>121</v>
      </c>
      <c r="CP48" s="56">
        <v>260</v>
      </c>
      <c r="CQ48" s="55">
        <v>138</v>
      </c>
      <c r="CR48" s="56">
        <v>265</v>
      </c>
      <c r="CS48" s="55">
        <v>150</v>
      </c>
      <c r="CT48" s="56">
        <v>265</v>
      </c>
      <c r="CU48" s="55">
        <v>143</v>
      </c>
      <c r="CV48" s="56">
        <v>270</v>
      </c>
      <c r="CW48" s="55">
        <v>150</v>
      </c>
      <c r="CX48" s="56">
        <v>265</v>
      </c>
      <c r="CY48" s="55">
        <v>140</v>
      </c>
      <c r="CZ48" s="56">
        <v>275</v>
      </c>
      <c r="DA48" s="55">
        <v>158</v>
      </c>
      <c r="DB48" s="56">
        <v>277</v>
      </c>
      <c r="DC48" s="55">
        <v>164</v>
      </c>
      <c r="DD48" s="56">
        <v>280</v>
      </c>
      <c r="DE48" s="55">
        <v>157</v>
      </c>
      <c r="DF48" s="56">
        <v>275</v>
      </c>
      <c r="DG48" s="55">
        <v>159</v>
      </c>
      <c r="DH48" s="56">
        <v>290</v>
      </c>
      <c r="DI48" s="55">
        <v>171</v>
      </c>
      <c r="DJ48" s="56">
        <v>280</v>
      </c>
      <c r="DK48" s="55">
        <v>155</v>
      </c>
      <c r="DL48" s="56">
        <v>275</v>
      </c>
      <c r="DM48" s="55">
        <v>156</v>
      </c>
      <c r="DN48" s="56">
        <v>285</v>
      </c>
      <c r="DO48" s="55">
        <v>154</v>
      </c>
      <c r="DP48" s="56">
        <v>290</v>
      </c>
      <c r="DQ48" s="55">
        <v>170</v>
      </c>
      <c r="DR48" s="56">
        <v>295</v>
      </c>
      <c r="DS48" s="55">
        <v>138</v>
      </c>
      <c r="DT48" s="56">
        <v>290</v>
      </c>
      <c r="DU48" s="55">
        <v>170</v>
      </c>
      <c r="DV48" s="56">
        <v>300</v>
      </c>
      <c r="DW48" s="55">
        <v>191</v>
      </c>
      <c r="DX48" s="56">
        <v>300</v>
      </c>
      <c r="DY48" s="55">
        <v>164</v>
      </c>
      <c r="DZ48" s="56">
        <v>300</v>
      </c>
      <c r="EA48" s="55">
        <v>152</v>
      </c>
      <c r="EB48" s="56">
        <v>300</v>
      </c>
      <c r="EC48" s="55">
        <v>131</v>
      </c>
      <c r="ED48" s="56">
        <v>310</v>
      </c>
      <c r="EE48" s="55">
        <v>193</v>
      </c>
      <c r="EF48" s="56">
        <v>300</v>
      </c>
      <c r="EG48" s="55">
        <v>172</v>
      </c>
      <c r="EH48" s="56">
        <v>300</v>
      </c>
      <c r="EI48" s="55">
        <v>155</v>
      </c>
      <c r="EJ48" s="56">
        <v>300</v>
      </c>
      <c r="EK48" s="55">
        <v>158</v>
      </c>
      <c r="EL48" s="56">
        <v>300</v>
      </c>
      <c r="EM48" s="55">
        <v>154</v>
      </c>
      <c r="EN48" s="56">
        <v>310</v>
      </c>
      <c r="EO48" s="55">
        <v>172</v>
      </c>
      <c r="EP48" s="56">
        <v>310</v>
      </c>
      <c r="EQ48" s="55">
        <v>153</v>
      </c>
      <c r="ER48" s="56">
        <v>310</v>
      </c>
      <c r="ES48" s="55">
        <v>146</v>
      </c>
      <c r="ET48" s="56">
        <v>300</v>
      </c>
      <c r="EU48" s="55">
        <v>153</v>
      </c>
      <c r="EV48" s="56">
        <v>320</v>
      </c>
      <c r="EW48" s="55">
        <v>163</v>
      </c>
      <c r="EX48" s="56">
        <v>320</v>
      </c>
      <c r="EY48" s="55">
        <v>147</v>
      </c>
      <c r="EZ48" s="56">
        <v>315</v>
      </c>
      <c r="FA48" s="55">
        <v>152</v>
      </c>
      <c r="FB48" s="56">
        <v>320</v>
      </c>
      <c r="FC48" s="55">
        <v>148</v>
      </c>
      <c r="FD48" s="56">
        <v>330</v>
      </c>
      <c r="FE48" s="55">
        <v>146</v>
      </c>
      <c r="FF48" s="56">
        <v>330</v>
      </c>
      <c r="FG48" s="55">
        <v>139</v>
      </c>
      <c r="FH48" s="56">
        <v>340</v>
      </c>
      <c r="FI48" s="55">
        <v>140</v>
      </c>
      <c r="FJ48" s="56">
        <v>325</v>
      </c>
      <c r="FK48" s="55">
        <v>142</v>
      </c>
      <c r="FL48" s="56">
        <v>343</v>
      </c>
      <c r="FM48" s="55">
        <v>138</v>
      </c>
      <c r="FN48" s="56">
        <v>335</v>
      </c>
      <c r="FO48" s="55">
        <v>140</v>
      </c>
      <c r="FP48" s="56">
        <v>333</v>
      </c>
      <c r="FQ48" s="55">
        <v>116</v>
      </c>
      <c r="FR48" s="56">
        <v>330</v>
      </c>
      <c r="FS48" s="55">
        <v>142</v>
      </c>
      <c r="FT48" s="56">
        <v>355</v>
      </c>
      <c r="FU48" s="55">
        <v>114</v>
      </c>
      <c r="FV48" s="56">
        <v>363</v>
      </c>
      <c r="FW48" s="55">
        <v>99</v>
      </c>
      <c r="FX48" s="56">
        <v>380</v>
      </c>
      <c r="FY48" s="55">
        <v>138</v>
      </c>
      <c r="FZ48" s="56">
        <v>380</v>
      </c>
      <c r="GA48" s="55">
        <v>143</v>
      </c>
      <c r="GB48" s="56">
        <v>390</v>
      </c>
      <c r="GC48" s="55">
        <v>138</v>
      </c>
      <c r="GD48" s="56">
        <v>400</v>
      </c>
      <c r="GE48" s="55">
        <v>134</v>
      </c>
      <c r="GF48" s="56">
        <v>420</v>
      </c>
      <c r="GG48" s="55">
        <v>132</v>
      </c>
      <c r="GH48" s="56">
        <v>420</v>
      </c>
      <c r="GI48" s="55">
        <v>133</v>
      </c>
      <c r="GJ48" s="56">
        <v>425</v>
      </c>
      <c r="GK48" s="55">
        <v>115</v>
      </c>
      <c r="GL48" s="56">
        <v>420</v>
      </c>
      <c r="GM48" s="55">
        <v>118</v>
      </c>
      <c r="GN48" s="56">
        <v>440</v>
      </c>
      <c r="GO48" s="55">
        <v>125</v>
      </c>
      <c r="GP48" s="56">
        <v>450</v>
      </c>
      <c r="GQ48" s="55">
        <v>105</v>
      </c>
      <c r="GR48" s="56">
        <v>450</v>
      </c>
      <c r="GS48" s="55">
        <v>120</v>
      </c>
      <c r="GT48" s="56">
        <v>458</v>
      </c>
      <c r="GU48" s="55">
        <v>139</v>
      </c>
      <c r="GV48" s="56">
        <v>470</v>
      </c>
      <c r="GW48" s="55">
        <v>109</v>
      </c>
      <c r="GX48" s="56">
        <v>480</v>
      </c>
      <c r="GY48" s="55">
        <v>141</v>
      </c>
      <c r="GZ48" s="56">
        <v>480</v>
      </c>
      <c r="HA48">
        <v>116</v>
      </c>
      <c r="HB48" s="56">
        <v>520</v>
      </c>
      <c r="HC48">
        <v>144</v>
      </c>
      <c r="HD48" s="56">
        <v>520</v>
      </c>
      <c r="HE48">
        <v>143</v>
      </c>
      <c r="HF48" s="56">
        <v>525</v>
      </c>
    </row>
    <row r="49" spans="1:215" x14ac:dyDescent="0.25">
      <c r="A49" s="57"/>
      <c r="B49" s="57" t="s">
        <v>752</v>
      </c>
      <c r="C49" s="58">
        <v>709</v>
      </c>
      <c r="D49" s="59">
        <v>140</v>
      </c>
      <c r="E49" s="58">
        <v>759</v>
      </c>
      <c r="F49" s="59">
        <v>140</v>
      </c>
      <c r="G49" s="58">
        <v>737</v>
      </c>
      <c r="H49" s="59">
        <v>145</v>
      </c>
      <c r="I49" s="58">
        <v>781</v>
      </c>
      <c r="J49" s="59">
        <v>145</v>
      </c>
      <c r="K49" s="58">
        <v>703</v>
      </c>
      <c r="L49" s="59">
        <v>150</v>
      </c>
      <c r="M49" s="58">
        <v>768</v>
      </c>
      <c r="N49" s="59">
        <v>150</v>
      </c>
      <c r="O49" s="58">
        <v>635</v>
      </c>
      <c r="P49" s="59">
        <v>150</v>
      </c>
      <c r="Q49" s="58">
        <v>722</v>
      </c>
      <c r="R49" s="59">
        <v>150</v>
      </c>
      <c r="S49" s="58">
        <v>643</v>
      </c>
      <c r="T49" s="59">
        <v>150</v>
      </c>
      <c r="U49" s="58">
        <v>671</v>
      </c>
      <c r="V49" s="59">
        <v>150</v>
      </c>
      <c r="W49" s="58">
        <v>672</v>
      </c>
      <c r="X49" s="59">
        <v>155</v>
      </c>
      <c r="Y49" s="58">
        <v>697</v>
      </c>
      <c r="Z49" s="59">
        <v>160</v>
      </c>
      <c r="AA49" s="58">
        <v>706</v>
      </c>
      <c r="AB49" s="59">
        <v>160</v>
      </c>
      <c r="AC49" s="58">
        <v>712</v>
      </c>
      <c r="AD49" s="59">
        <v>160</v>
      </c>
      <c r="AE49" s="58">
        <v>662</v>
      </c>
      <c r="AF49" s="59">
        <v>165</v>
      </c>
      <c r="AG49" s="58">
        <v>747</v>
      </c>
      <c r="AH49" s="59">
        <v>170</v>
      </c>
      <c r="AI49" s="58">
        <v>705</v>
      </c>
      <c r="AJ49" s="59">
        <v>170</v>
      </c>
      <c r="AK49" s="58">
        <v>728</v>
      </c>
      <c r="AL49" s="59">
        <v>170</v>
      </c>
      <c r="AM49" s="58">
        <v>752</v>
      </c>
      <c r="AN49" s="59">
        <v>180</v>
      </c>
      <c r="AO49" s="58">
        <v>774</v>
      </c>
      <c r="AP49" s="59">
        <v>180</v>
      </c>
      <c r="AQ49" s="58">
        <v>628</v>
      </c>
      <c r="AR49" s="59">
        <v>180</v>
      </c>
      <c r="AS49" s="58">
        <v>706</v>
      </c>
      <c r="AT49" s="59">
        <v>180</v>
      </c>
      <c r="AU49" s="58">
        <v>710</v>
      </c>
      <c r="AV49" s="59">
        <v>190</v>
      </c>
      <c r="AW49" s="58">
        <v>791</v>
      </c>
      <c r="AX49" s="59">
        <v>190</v>
      </c>
      <c r="AY49" s="58">
        <v>722</v>
      </c>
      <c r="AZ49" s="59">
        <v>185</v>
      </c>
      <c r="BA49" s="58">
        <v>754</v>
      </c>
      <c r="BB49" s="59">
        <v>185</v>
      </c>
      <c r="BC49" s="58">
        <v>679</v>
      </c>
      <c r="BD49" s="59">
        <v>200</v>
      </c>
      <c r="BE49" s="58">
        <v>768</v>
      </c>
      <c r="BF49" s="59">
        <v>200</v>
      </c>
      <c r="BG49" s="58">
        <v>693</v>
      </c>
      <c r="BH49" s="59">
        <v>195</v>
      </c>
      <c r="BI49" s="58">
        <v>714</v>
      </c>
      <c r="BJ49" s="59">
        <v>195</v>
      </c>
      <c r="BK49" s="58">
        <v>648</v>
      </c>
      <c r="BL49" s="59">
        <v>200</v>
      </c>
      <c r="BM49" s="58">
        <v>782</v>
      </c>
      <c r="BN49" s="59">
        <v>200</v>
      </c>
      <c r="BO49" s="58">
        <v>723</v>
      </c>
      <c r="BP49" s="59">
        <v>210</v>
      </c>
      <c r="BQ49" s="58">
        <v>780</v>
      </c>
      <c r="BR49" s="59">
        <v>210</v>
      </c>
      <c r="BS49" s="58">
        <v>728</v>
      </c>
      <c r="BT49" s="59">
        <v>220</v>
      </c>
      <c r="BU49" s="58">
        <v>874</v>
      </c>
      <c r="BV49" s="59">
        <v>210</v>
      </c>
      <c r="BW49" s="58">
        <v>807</v>
      </c>
      <c r="BX49" s="59">
        <v>220</v>
      </c>
      <c r="BY49" s="58">
        <v>792</v>
      </c>
      <c r="BZ49" s="59">
        <v>220</v>
      </c>
      <c r="CA49" s="58">
        <v>772</v>
      </c>
      <c r="CB49" s="59">
        <v>220</v>
      </c>
      <c r="CC49" s="58">
        <v>810</v>
      </c>
      <c r="CD49" s="59">
        <v>220</v>
      </c>
      <c r="CE49" s="58">
        <v>748</v>
      </c>
      <c r="CF49" s="59">
        <v>223</v>
      </c>
      <c r="CG49" s="58">
        <v>746</v>
      </c>
      <c r="CH49" s="59">
        <v>230</v>
      </c>
      <c r="CI49" s="58">
        <v>701</v>
      </c>
      <c r="CJ49" s="59">
        <v>230</v>
      </c>
      <c r="CK49" s="58">
        <v>767</v>
      </c>
      <c r="CL49" s="59">
        <v>230</v>
      </c>
      <c r="CM49" s="58">
        <v>835</v>
      </c>
      <c r="CN49" s="59">
        <v>240</v>
      </c>
      <c r="CO49" s="58">
        <v>725</v>
      </c>
      <c r="CP49" s="59">
        <v>240</v>
      </c>
      <c r="CQ49" s="58">
        <v>744</v>
      </c>
      <c r="CR49" s="59">
        <v>245</v>
      </c>
      <c r="CS49" s="58">
        <v>835</v>
      </c>
      <c r="CT49" s="59">
        <v>250</v>
      </c>
      <c r="CU49" s="58">
        <v>752</v>
      </c>
      <c r="CV49" s="59">
        <v>250</v>
      </c>
      <c r="CW49" s="58">
        <v>811</v>
      </c>
      <c r="CX49" s="59">
        <v>250</v>
      </c>
      <c r="CY49" s="58">
        <v>774</v>
      </c>
      <c r="CZ49" s="59">
        <v>260</v>
      </c>
      <c r="DA49" s="58">
        <v>882</v>
      </c>
      <c r="DB49" s="59">
        <v>260</v>
      </c>
      <c r="DC49" s="58">
        <v>845</v>
      </c>
      <c r="DD49" s="59">
        <v>260</v>
      </c>
      <c r="DE49" s="58">
        <v>780</v>
      </c>
      <c r="DF49" s="59">
        <v>255</v>
      </c>
      <c r="DG49" s="58">
        <v>808</v>
      </c>
      <c r="DH49" s="59">
        <v>260</v>
      </c>
      <c r="DI49" s="58">
        <v>848</v>
      </c>
      <c r="DJ49" s="59">
        <v>260</v>
      </c>
      <c r="DK49" s="58">
        <v>839</v>
      </c>
      <c r="DL49" s="59">
        <v>260</v>
      </c>
      <c r="DM49" s="58">
        <v>836</v>
      </c>
      <c r="DN49" s="59">
        <v>265</v>
      </c>
      <c r="DO49" s="58">
        <v>740</v>
      </c>
      <c r="DP49" s="59">
        <v>270</v>
      </c>
      <c r="DQ49" s="58">
        <v>847</v>
      </c>
      <c r="DR49" s="59">
        <v>270</v>
      </c>
      <c r="DS49" s="58">
        <v>765</v>
      </c>
      <c r="DT49" s="59">
        <v>275</v>
      </c>
      <c r="DU49" s="58">
        <v>800</v>
      </c>
      <c r="DV49" s="59">
        <v>270</v>
      </c>
      <c r="DW49" s="58">
        <v>903</v>
      </c>
      <c r="DX49" s="59">
        <v>280</v>
      </c>
      <c r="DY49" s="58">
        <v>896</v>
      </c>
      <c r="DZ49" s="59">
        <v>280</v>
      </c>
      <c r="EA49" s="58">
        <v>845</v>
      </c>
      <c r="EB49" s="59">
        <v>280</v>
      </c>
      <c r="EC49" s="58">
        <v>797</v>
      </c>
      <c r="ED49" s="59">
        <v>279</v>
      </c>
      <c r="EE49" s="58">
        <v>905</v>
      </c>
      <c r="EF49" s="59">
        <v>280</v>
      </c>
      <c r="EG49" s="58">
        <v>934</v>
      </c>
      <c r="EH49" s="59">
        <v>280</v>
      </c>
      <c r="EI49" s="58">
        <v>817</v>
      </c>
      <c r="EJ49" s="59">
        <v>285</v>
      </c>
      <c r="EK49" s="58">
        <v>878</v>
      </c>
      <c r="EL49" s="59">
        <v>285</v>
      </c>
      <c r="EM49" s="58">
        <v>859</v>
      </c>
      <c r="EN49" s="59">
        <v>290</v>
      </c>
      <c r="EO49" s="58">
        <v>901</v>
      </c>
      <c r="EP49" s="59">
        <v>295</v>
      </c>
      <c r="EQ49" s="58">
        <v>856</v>
      </c>
      <c r="ER49" s="59">
        <v>290</v>
      </c>
      <c r="ES49" s="58">
        <v>832</v>
      </c>
      <c r="ET49" s="59">
        <v>295</v>
      </c>
      <c r="EU49" s="58">
        <v>799</v>
      </c>
      <c r="EV49" s="59">
        <v>300</v>
      </c>
      <c r="EW49" s="58">
        <v>832</v>
      </c>
      <c r="EX49" s="59">
        <v>300</v>
      </c>
      <c r="EY49" s="58">
        <v>806</v>
      </c>
      <c r="EZ49" s="59">
        <v>300</v>
      </c>
      <c r="FA49" s="58">
        <v>789</v>
      </c>
      <c r="FB49" s="59">
        <v>300</v>
      </c>
      <c r="FC49" s="58">
        <v>715</v>
      </c>
      <c r="FD49" s="59">
        <v>315</v>
      </c>
      <c r="FE49" s="58">
        <v>766</v>
      </c>
      <c r="FF49" s="59">
        <v>320</v>
      </c>
      <c r="FG49" s="58">
        <v>792</v>
      </c>
      <c r="FH49" s="59">
        <v>320</v>
      </c>
      <c r="FI49" s="58">
        <v>781</v>
      </c>
      <c r="FJ49" s="59">
        <v>320</v>
      </c>
      <c r="FK49" s="58">
        <v>791</v>
      </c>
      <c r="FL49" s="59">
        <v>320</v>
      </c>
      <c r="FM49" s="58">
        <v>823</v>
      </c>
      <c r="FN49" s="59">
        <v>330</v>
      </c>
      <c r="FO49" s="58">
        <v>772</v>
      </c>
      <c r="FP49" s="59">
        <v>330</v>
      </c>
      <c r="FQ49" s="58">
        <v>726</v>
      </c>
      <c r="FR49" s="59">
        <v>330</v>
      </c>
      <c r="FS49" s="58">
        <v>707</v>
      </c>
      <c r="FT49" s="59">
        <v>345</v>
      </c>
      <c r="FU49" s="58">
        <v>657</v>
      </c>
      <c r="FV49" s="59">
        <v>350</v>
      </c>
      <c r="FW49" s="58">
        <v>648</v>
      </c>
      <c r="FX49" s="59">
        <v>360</v>
      </c>
      <c r="FY49" s="58">
        <v>666</v>
      </c>
      <c r="FZ49" s="59">
        <v>370</v>
      </c>
      <c r="GA49" s="58">
        <v>690</v>
      </c>
      <c r="GB49" s="59">
        <v>375</v>
      </c>
      <c r="GC49" s="58">
        <v>695</v>
      </c>
      <c r="GD49" s="59">
        <v>390</v>
      </c>
      <c r="GE49" s="58">
        <v>698</v>
      </c>
      <c r="GF49" s="59">
        <v>400</v>
      </c>
      <c r="GG49" s="58">
        <v>669</v>
      </c>
      <c r="GH49" s="59">
        <v>400</v>
      </c>
      <c r="GI49" s="58">
        <v>657</v>
      </c>
      <c r="GJ49" s="59">
        <v>410</v>
      </c>
      <c r="GK49" s="58">
        <v>672</v>
      </c>
      <c r="GL49" s="59">
        <v>410</v>
      </c>
      <c r="GM49" s="58">
        <v>687</v>
      </c>
      <c r="GN49" s="59">
        <v>420</v>
      </c>
      <c r="GO49" s="58">
        <v>635</v>
      </c>
      <c r="GP49" s="59">
        <v>430</v>
      </c>
      <c r="GQ49" s="58">
        <v>635</v>
      </c>
      <c r="GR49" s="59">
        <v>430</v>
      </c>
      <c r="GS49" s="58">
        <v>665</v>
      </c>
      <c r="GT49" s="59">
        <v>450</v>
      </c>
      <c r="GU49" s="58">
        <v>706</v>
      </c>
      <c r="GV49" s="59">
        <v>450</v>
      </c>
      <c r="GW49" s="58">
        <v>617</v>
      </c>
      <c r="GX49" s="59">
        <v>450</v>
      </c>
      <c r="GY49" s="58">
        <v>722</v>
      </c>
      <c r="GZ49" s="59">
        <v>460</v>
      </c>
      <c r="HA49" s="6">
        <v>687</v>
      </c>
      <c r="HB49" s="59">
        <v>475</v>
      </c>
      <c r="HC49" s="6">
        <v>647</v>
      </c>
      <c r="HD49" s="59">
        <v>490</v>
      </c>
      <c r="HE49" s="6">
        <v>661</v>
      </c>
      <c r="HF49" s="59">
        <v>480</v>
      </c>
    </row>
    <row r="50" spans="1:215" s="10" customFormat="1" x14ac:dyDescent="0.25">
      <c r="A50" s="53" t="s">
        <v>789</v>
      </c>
      <c r="B50" s="54" t="s">
        <v>790</v>
      </c>
      <c r="C50" s="55">
        <v>64</v>
      </c>
      <c r="D50" s="56">
        <v>115</v>
      </c>
      <c r="E50" s="55">
        <v>57</v>
      </c>
      <c r="F50" s="56">
        <v>120</v>
      </c>
      <c r="G50" s="55">
        <v>55</v>
      </c>
      <c r="H50" s="56">
        <v>120</v>
      </c>
      <c r="I50" s="55">
        <v>61</v>
      </c>
      <c r="J50" s="56">
        <v>125</v>
      </c>
      <c r="K50" s="55">
        <v>61</v>
      </c>
      <c r="L50" s="56">
        <v>120</v>
      </c>
      <c r="M50" s="55">
        <v>67</v>
      </c>
      <c r="N50" s="56">
        <v>125</v>
      </c>
      <c r="O50" s="55">
        <v>43</v>
      </c>
      <c r="P50" s="56">
        <v>125</v>
      </c>
      <c r="Q50" s="55">
        <v>62</v>
      </c>
      <c r="R50" s="56">
        <v>130</v>
      </c>
      <c r="S50" s="55">
        <v>55</v>
      </c>
      <c r="T50" s="56">
        <v>130</v>
      </c>
      <c r="U50" s="55">
        <v>53</v>
      </c>
      <c r="V50" s="56">
        <v>140</v>
      </c>
      <c r="W50" s="55">
        <v>61</v>
      </c>
      <c r="X50" s="56">
        <v>130</v>
      </c>
      <c r="Y50" s="55">
        <v>56</v>
      </c>
      <c r="Z50" s="56">
        <v>143</v>
      </c>
      <c r="AA50" s="55">
        <v>74</v>
      </c>
      <c r="AB50" s="56">
        <v>145</v>
      </c>
      <c r="AC50" s="55">
        <v>80</v>
      </c>
      <c r="AD50" s="56">
        <v>150</v>
      </c>
      <c r="AE50" s="55">
        <v>63</v>
      </c>
      <c r="AF50" s="56">
        <v>142</v>
      </c>
      <c r="AG50" s="55">
        <v>64</v>
      </c>
      <c r="AH50" s="56">
        <v>150</v>
      </c>
      <c r="AI50" s="55">
        <v>76</v>
      </c>
      <c r="AJ50" s="56">
        <v>160</v>
      </c>
      <c r="AK50" s="55">
        <v>56</v>
      </c>
      <c r="AL50" s="56">
        <v>155</v>
      </c>
      <c r="AM50" s="55">
        <v>77</v>
      </c>
      <c r="AN50" s="56">
        <v>160</v>
      </c>
      <c r="AO50" s="55">
        <v>71</v>
      </c>
      <c r="AP50" s="56">
        <v>160</v>
      </c>
      <c r="AQ50" s="55">
        <v>77</v>
      </c>
      <c r="AR50" s="56">
        <v>160</v>
      </c>
      <c r="AS50" s="55">
        <v>72</v>
      </c>
      <c r="AT50" s="56">
        <v>160</v>
      </c>
      <c r="AU50" s="55">
        <v>71</v>
      </c>
      <c r="AV50" s="56">
        <v>170</v>
      </c>
      <c r="AW50" s="55">
        <v>63</v>
      </c>
      <c r="AX50" s="56">
        <v>170</v>
      </c>
      <c r="AY50" s="55">
        <v>83</v>
      </c>
      <c r="AZ50" s="56">
        <v>180</v>
      </c>
      <c r="BA50" s="55">
        <v>94</v>
      </c>
      <c r="BB50" s="56">
        <v>170</v>
      </c>
      <c r="BC50" s="55">
        <v>78</v>
      </c>
      <c r="BD50" s="56">
        <v>170</v>
      </c>
      <c r="BE50" s="55">
        <v>74</v>
      </c>
      <c r="BF50" s="56">
        <v>180</v>
      </c>
      <c r="BG50" s="55">
        <v>65</v>
      </c>
      <c r="BH50" s="56">
        <v>180</v>
      </c>
      <c r="BI50" s="55">
        <v>72</v>
      </c>
      <c r="BJ50" s="56">
        <v>180</v>
      </c>
      <c r="BK50" s="55">
        <v>74</v>
      </c>
      <c r="BL50" s="56">
        <v>180</v>
      </c>
      <c r="BM50" s="55">
        <v>87</v>
      </c>
      <c r="BN50" s="56">
        <v>180</v>
      </c>
      <c r="BO50" s="55">
        <v>87</v>
      </c>
      <c r="BP50" s="56">
        <v>185</v>
      </c>
      <c r="BQ50" s="55">
        <v>86</v>
      </c>
      <c r="BR50" s="56">
        <v>188</v>
      </c>
      <c r="BS50" s="55">
        <v>86</v>
      </c>
      <c r="BT50" s="56">
        <v>180</v>
      </c>
      <c r="BU50" s="55">
        <v>93</v>
      </c>
      <c r="BV50" s="56">
        <v>200</v>
      </c>
      <c r="BW50" s="55">
        <v>99</v>
      </c>
      <c r="BX50" s="56">
        <v>200</v>
      </c>
      <c r="BY50" s="55">
        <v>95</v>
      </c>
      <c r="BZ50" s="56">
        <v>210</v>
      </c>
      <c r="CA50" s="55">
        <v>85</v>
      </c>
      <c r="CB50" s="56">
        <v>220</v>
      </c>
      <c r="CC50" s="55">
        <v>102</v>
      </c>
      <c r="CD50" s="56">
        <v>210</v>
      </c>
      <c r="CE50" s="55">
        <v>82</v>
      </c>
      <c r="CF50" s="56">
        <v>220</v>
      </c>
      <c r="CG50" s="55">
        <v>111</v>
      </c>
      <c r="CH50" s="56">
        <v>220</v>
      </c>
      <c r="CI50" s="55">
        <v>141</v>
      </c>
      <c r="CJ50" s="56">
        <v>250</v>
      </c>
      <c r="CK50" s="55">
        <v>135</v>
      </c>
      <c r="CL50" s="56">
        <v>290</v>
      </c>
      <c r="CM50" s="55">
        <v>181</v>
      </c>
      <c r="CN50" s="56">
        <v>300</v>
      </c>
      <c r="CO50" s="55">
        <v>163</v>
      </c>
      <c r="CP50" s="56">
        <v>300</v>
      </c>
      <c r="CQ50" s="55">
        <v>127</v>
      </c>
      <c r="CR50" s="56">
        <v>300</v>
      </c>
      <c r="CS50" s="55">
        <v>133</v>
      </c>
      <c r="CT50" s="56">
        <v>325</v>
      </c>
      <c r="CU50" s="55">
        <v>167</v>
      </c>
      <c r="CV50" s="56">
        <v>340</v>
      </c>
      <c r="CW50" s="55">
        <v>135</v>
      </c>
      <c r="CX50" s="56">
        <v>330</v>
      </c>
      <c r="CY50" s="55">
        <v>143</v>
      </c>
      <c r="CZ50" s="56">
        <v>320</v>
      </c>
      <c r="DA50" s="55">
        <v>153</v>
      </c>
      <c r="DB50" s="56">
        <v>320</v>
      </c>
      <c r="DC50" s="55">
        <v>150</v>
      </c>
      <c r="DD50" s="56">
        <v>280</v>
      </c>
      <c r="DE50" s="55">
        <v>137</v>
      </c>
      <c r="DF50" s="56">
        <v>260</v>
      </c>
      <c r="DG50" s="55">
        <v>157</v>
      </c>
      <c r="DH50" s="56">
        <v>250</v>
      </c>
      <c r="DI50" s="55">
        <v>145</v>
      </c>
      <c r="DJ50" s="56">
        <v>260</v>
      </c>
      <c r="DK50" s="55">
        <v>157</v>
      </c>
      <c r="DL50" s="56">
        <v>250</v>
      </c>
      <c r="DM50" s="55">
        <v>151</v>
      </c>
      <c r="DN50" s="56">
        <v>250</v>
      </c>
      <c r="DO50" s="55">
        <v>119</v>
      </c>
      <c r="DP50" s="56">
        <v>250</v>
      </c>
      <c r="DQ50" s="55">
        <v>117</v>
      </c>
      <c r="DR50" s="56">
        <v>250</v>
      </c>
      <c r="DS50" s="55">
        <v>92</v>
      </c>
      <c r="DT50" s="56">
        <v>270</v>
      </c>
      <c r="DU50" s="55">
        <v>121</v>
      </c>
      <c r="DV50" s="56">
        <v>260</v>
      </c>
      <c r="DW50" s="55">
        <v>108</v>
      </c>
      <c r="DX50" s="56">
        <v>270</v>
      </c>
      <c r="DY50" s="55">
        <v>104</v>
      </c>
      <c r="DZ50" s="56">
        <v>270</v>
      </c>
      <c r="EA50" s="55">
        <v>110</v>
      </c>
      <c r="EB50" s="56">
        <v>260</v>
      </c>
      <c r="EC50" s="55">
        <v>98</v>
      </c>
      <c r="ED50" s="56">
        <v>260</v>
      </c>
      <c r="EE50" s="55">
        <v>91</v>
      </c>
      <c r="EF50" s="56">
        <v>270</v>
      </c>
      <c r="EG50" s="55">
        <v>91</v>
      </c>
      <c r="EH50" s="56">
        <v>270</v>
      </c>
      <c r="EI50" s="55">
        <v>85</v>
      </c>
      <c r="EJ50" s="56">
        <v>280</v>
      </c>
      <c r="EK50" s="55">
        <v>100</v>
      </c>
      <c r="EL50" s="56">
        <v>280</v>
      </c>
      <c r="EM50" s="55">
        <v>78</v>
      </c>
      <c r="EN50" s="56">
        <v>290</v>
      </c>
      <c r="EO50" s="55">
        <v>96</v>
      </c>
      <c r="EP50" s="56">
        <v>280</v>
      </c>
      <c r="EQ50" s="55">
        <v>106</v>
      </c>
      <c r="ER50" s="56">
        <v>290</v>
      </c>
      <c r="ES50" s="55">
        <v>91</v>
      </c>
      <c r="ET50" s="56">
        <v>295</v>
      </c>
      <c r="EU50" s="55">
        <v>74</v>
      </c>
      <c r="EV50" s="56">
        <v>295</v>
      </c>
      <c r="EW50" s="55">
        <v>77</v>
      </c>
      <c r="EX50" s="56">
        <v>300</v>
      </c>
      <c r="EY50" s="55">
        <v>86</v>
      </c>
      <c r="EZ50" s="56">
        <v>318</v>
      </c>
      <c r="FA50" s="55">
        <v>92</v>
      </c>
      <c r="FB50" s="56">
        <v>318</v>
      </c>
      <c r="FC50" s="55">
        <v>64</v>
      </c>
      <c r="FD50" s="56">
        <v>315</v>
      </c>
      <c r="FE50" s="55">
        <v>80</v>
      </c>
      <c r="FF50" s="56">
        <v>320</v>
      </c>
      <c r="FG50" s="55">
        <v>74</v>
      </c>
      <c r="FH50" s="56">
        <v>320</v>
      </c>
      <c r="FI50" s="55">
        <v>81</v>
      </c>
      <c r="FJ50" s="56">
        <v>325</v>
      </c>
      <c r="FK50" s="55">
        <v>72</v>
      </c>
      <c r="FL50" s="56">
        <v>330</v>
      </c>
      <c r="FM50" s="55">
        <v>72</v>
      </c>
      <c r="FN50" s="56">
        <v>330</v>
      </c>
      <c r="FO50" s="55">
        <v>77</v>
      </c>
      <c r="FP50" s="56">
        <v>340</v>
      </c>
      <c r="FQ50" s="55">
        <v>64</v>
      </c>
      <c r="FR50" s="56">
        <v>350</v>
      </c>
      <c r="FS50" s="55">
        <v>69</v>
      </c>
      <c r="FT50" s="56">
        <v>340</v>
      </c>
      <c r="FU50" s="55">
        <v>53</v>
      </c>
      <c r="FV50" s="56">
        <v>360</v>
      </c>
      <c r="FW50" s="55">
        <v>72</v>
      </c>
      <c r="FX50" s="56">
        <v>380</v>
      </c>
      <c r="FY50" s="55">
        <v>61</v>
      </c>
      <c r="FZ50" s="56">
        <v>400</v>
      </c>
      <c r="GA50" s="55">
        <v>68</v>
      </c>
      <c r="GB50" s="56">
        <v>420</v>
      </c>
      <c r="GC50" s="55">
        <v>50</v>
      </c>
      <c r="GD50" s="56">
        <v>440</v>
      </c>
      <c r="GE50" s="55">
        <v>59</v>
      </c>
      <c r="GF50" s="56">
        <v>420</v>
      </c>
      <c r="GG50" s="55">
        <v>61</v>
      </c>
      <c r="GH50" s="56">
        <v>400</v>
      </c>
      <c r="GI50" s="55">
        <v>55</v>
      </c>
      <c r="GJ50" s="56">
        <v>420</v>
      </c>
      <c r="GK50" s="55">
        <v>58</v>
      </c>
      <c r="GL50" s="56">
        <v>450</v>
      </c>
      <c r="GM50" s="55">
        <v>62</v>
      </c>
      <c r="GN50" s="56">
        <v>420</v>
      </c>
      <c r="GO50" s="55">
        <v>76</v>
      </c>
      <c r="GP50" s="56">
        <v>430</v>
      </c>
      <c r="GQ50" s="55">
        <v>42</v>
      </c>
      <c r="GR50" s="56">
        <v>445</v>
      </c>
      <c r="GS50" s="55">
        <v>56</v>
      </c>
      <c r="GT50" s="56">
        <v>465</v>
      </c>
      <c r="GU50" s="55">
        <v>72</v>
      </c>
      <c r="GV50" s="56">
        <v>450</v>
      </c>
      <c r="GW50" s="55">
        <v>83</v>
      </c>
      <c r="GX50" s="56">
        <v>450</v>
      </c>
      <c r="GY50" s="55">
        <v>65</v>
      </c>
      <c r="GZ50" s="56">
        <v>480</v>
      </c>
      <c r="HA50" s="7">
        <v>58</v>
      </c>
      <c r="HB50" s="56">
        <v>475</v>
      </c>
      <c r="HC50" s="7">
        <v>60</v>
      </c>
      <c r="HD50" s="56">
        <v>475</v>
      </c>
      <c r="HE50" s="7">
        <v>55</v>
      </c>
      <c r="HF50" s="56">
        <v>460</v>
      </c>
    </row>
    <row r="51" spans="1:215" x14ac:dyDescent="0.25">
      <c r="A51" s="53"/>
      <c r="B51" s="54" t="s">
        <v>791</v>
      </c>
      <c r="C51" s="55">
        <v>95</v>
      </c>
      <c r="D51" s="56">
        <v>135</v>
      </c>
      <c r="E51" s="55">
        <v>88</v>
      </c>
      <c r="F51" s="56">
        <v>133</v>
      </c>
      <c r="G51" s="55">
        <v>102</v>
      </c>
      <c r="H51" s="56">
        <v>138</v>
      </c>
      <c r="I51" s="55">
        <v>89</v>
      </c>
      <c r="J51" s="56">
        <v>135</v>
      </c>
      <c r="K51" s="55">
        <v>81</v>
      </c>
      <c r="L51" s="56">
        <v>140</v>
      </c>
      <c r="M51" s="55">
        <v>89</v>
      </c>
      <c r="N51" s="56">
        <v>135</v>
      </c>
      <c r="O51" s="55">
        <v>73</v>
      </c>
      <c r="P51" s="56">
        <v>140</v>
      </c>
      <c r="Q51" s="55">
        <v>83</v>
      </c>
      <c r="R51" s="56">
        <v>140</v>
      </c>
      <c r="S51" s="55">
        <v>76</v>
      </c>
      <c r="T51" s="56">
        <v>150</v>
      </c>
      <c r="U51" s="55">
        <v>76</v>
      </c>
      <c r="V51" s="56">
        <v>150</v>
      </c>
      <c r="W51" s="55">
        <v>76</v>
      </c>
      <c r="X51" s="56">
        <v>153</v>
      </c>
      <c r="Y51" s="55">
        <v>97</v>
      </c>
      <c r="Z51" s="56">
        <v>155</v>
      </c>
      <c r="AA51" s="55">
        <v>72</v>
      </c>
      <c r="AB51" s="56">
        <v>160</v>
      </c>
      <c r="AC51" s="55">
        <v>79</v>
      </c>
      <c r="AD51" s="56">
        <v>160</v>
      </c>
      <c r="AE51" s="55">
        <v>82</v>
      </c>
      <c r="AF51" s="56">
        <v>163</v>
      </c>
      <c r="AG51" s="55">
        <v>90</v>
      </c>
      <c r="AH51" s="56">
        <v>160</v>
      </c>
      <c r="AI51" s="55">
        <v>86</v>
      </c>
      <c r="AJ51" s="56">
        <v>175</v>
      </c>
      <c r="AK51" s="55">
        <v>80</v>
      </c>
      <c r="AL51" s="56">
        <v>175</v>
      </c>
      <c r="AM51" s="55">
        <v>106</v>
      </c>
      <c r="AN51" s="56">
        <v>173</v>
      </c>
      <c r="AO51" s="55">
        <v>99</v>
      </c>
      <c r="AP51" s="56">
        <v>180</v>
      </c>
      <c r="AQ51" s="55">
        <v>73</v>
      </c>
      <c r="AR51" s="56">
        <v>180</v>
      </c>
      <c r="AS51" s="55">
        <v>92</v>
      </c>
      <c r="AT51" s="56">
        <v>180</v>
      </c>
      <c r="AU51" s="55">
        <v>95</v>
      </c>
      <c r="AV51" s="56">
        <v>180</v>
      </c>
      <c r="AW51" s="55">
        <v>84</v>
      </c>
      <c r="AX51" s="56">
        <v>185</v>
      </c>
      <c r="AY51" s="55">
        <v>92</v>
      </c>
      <c r="AZ51" s="56">
        <v>185</v>
      </c>
      <c r="BA51" s="55">
        <v>90</v>
      </c>
      <c r="BB51" s="56">
        <v>180</v>
      </c>
      <c r="BC51" s="55">
        <v>104</v>
      </c>
      <c r="BD51" s="56">
        <v>185</v>
      </c>
      <c r="BE51" s="55">
        <v>95</v>
      </c>
      <c r="BF51" s="56">
        <v>190</v>
      </c>
      <c r="BG51" s="55">
        <v>79</v>
      </c>
      <c r="BH51" s="56">
        <v>190</v>
      </c>
      <c r="BI51" s="55">
        <v>100</v>
      </c>
      <c r="BJ51" s="56">
        <v>190</v>
      </c>
      <c r="BK51" s="55">
        <v>97</v>
      </c>
      <c r="BL51" s="56">
        <v>190</v>
      </c>
      <c r="BM51" s="55">
        <v>116</v>
      </c>
      <c r="BN51" s="56">
        <v>190</v>
      </c>
      <c r="BO51" s="55">
        <v>96</v>
      </c>
      <c r="BP51" s="56">
        <v>195</v>
      </c>
      <c r="BQ51" s="55">
        <v>97</v>
      </c>
      <c r="BR51" s="56">
        <v>200</v>
      </c>
      <c r="BS51" s="55">
        <v>97</v>
      </c>
      <c r="BT51" s="56">
        <v>195</v>
      </c>
      <c r="BU51" s="55">
        <v>85</v>
      </c>
      <c r="BV51" s="56">
        <v>210</v>
      </c>
      <c r="BW51" s="55">
        <v>110</v>
      </c>
      <c r="BX51" s="56">
        <v>210</v>
      </c>
      <c r="BY51" s="55">
        <v>87</v>
      </c>
      <c r="BZ51" s="56">
        <v>210</v>
      </c>
      <c r="CA51" s="55">
        <v>97</v>
      </c>
      <c r="CB51" s="56">
        <v>230</v>
      </c>
      <c r="CC51" s="55">
        <v>98</v>
      </c>
      <c r="CD51" s="56">
        <v>220</v>
      </c>
      <c r="CE51" s="55">
        <v>97</v>
      </c>
      <c r="CF51" s="56">
        <v>230</v>
      </c>
      <c r="CG51" s="55">
        <v>100</v>
      </c>
      <c r="CH51" s="56">
        <v>230</v>
      </c>
      <c r="CI51" s="55">
        <v>125</v>
      </c>
      <c r="CJ51" s="56">
        <v>240</v>
      </c>
      <c r="CK51" s="55">
        <v>102</v>
      </c>
      <c r="CL51" s="56">
        <v>235</v>
      </c>
      <c r="CM51" s="55">
        <v>123</v>
      </c>
      <c r="CN51" s="56">
        <v>250</v>
      </c>
      <c r="CO51" s="55">
        <v>120</v>
      </c>
      <c r="CP51" s="56">
        <v>250</v>
      </c>
      <c r="CQ51" s="55">
        <v>95</v>
      </c>
      <c r="CR51" s="56">
        <v>260</v>
      </c>
      <c r="CS51" s="55">
        <v>133</v>
      </c>
      <c r="CT51" s="56">
        <v>260</v>
      </c>
      <c r="CU51" s="55">
        <v>110</v>
      </c>
      <c r="CV51" s="56">
        <v>258</v>
      </c>
      <c r="CW51" s="55">
        <v>134</v>
      </c>
      <c r="CX51" s="56">
        <v>267</v>
      </c>
      <c r="CY51" s="55">
        <v>105</v>
      </c>
      <c r="CZ51" s="56">
        <v>275</v>
      </c>
      <c r="DA51" s="55">
        <v>125</v>
      </c>
      <c r="DB51" s="56">
        <v>270</v>
      </c>
      <c r="DC51" s="55">
        <v>151</v>
      </c>
      <c r="DD51" s="56">
        <v>265</v>
      </c>
      <c r="DE51" s="55">
        <v>122</v>
      </c>
      <c r="DF51" s="56">
        <v>270</v>
      </c>
      <c r="DG51" s="55">
        <v>113</v>
      </c>
      <c r="DH51" s="56">
        <v>275</v>
      </c>
      <c r="DI51" s="55">
        <v>145</v>
      </c>
      <c r="DJ51" s="56">
        <v>275</v>
      </c>
      <c r="DK51" s="55">
        <v>127</v>
      </c>
      <c r="DL51" s="56">
        <v>270</v>
      </c>
      <c r="DM51" s="55">
        <v>141</v>
      </c>
      <c r="DN51" s="56">
        <v>275</v>
      </c>
      <c r="DO51" s="55">
        <v>145</v>
      </c>
      <c r="DP51" s="56">
        <v>280</v>
      </c>
      <c r="DQ51" s="55">
        <v>129</v>
      </c>
      <c r="DR51" s="56">
        <v>280</v>
      </c>
      <c r="DS51" s="55">
        <v>115</v>
      </c>
      <c r="DT51" s="56">
        <v>280</v>
      </c>
      <c r="DU51" s="55">
        <v>105</v>
      </c>
      <c r="DV51" s="56">
        <v>290</v>
      </c>
      <c r="DW51" s="55">
        <v>133</v>
      </c>
      <c r="DX51" s="56">
        <v>285</v>
      </c>
      <c r="DY51" s="55">
        <v>153</v>
      </c>
      <c r="DZ51" s="56">
        <v>295</v>
      </c>
      <c r="EA51" s="55">
        <v>138</v>
      </c>
      <c r="EB51" s="56">
        <v>285</v>
      </c>
      <c r="EC51" s="55">
        <v>140</v>
      </c>
      <c r="ED51" s="56">
        <v>290</v>
      </c>
      <c r="EE51" s="55">
        <v>115</v>
      </c>
      <c r="EF51" s="56">
        <v>300</v>
      </c>
      <c r="EG51" s="55">
        <v>149</v>
      </c>
      <c r="EH51" s="56">
        <v>300</v>
      </c>
      <c r="EI51" s="55">
        <v>127</v>
      </c>
      <c r="EJ51" s="56">
        <v>300</v>
      </c>
      <c r="EK51" s="55">
        <v>154</v>
      </c>
      <c r="EL51" s="56">
        <v>300</v>
      </c>
      <c r="EM51" s="55">
        <v>134</v>
      </c>
      <c r="EN51" s="56">
        <v>300</v>
      </c>
      <c r="EO51" s="55">
        <v>133</v>
      </c>
      <c r="EP51" s="56">
        <v>310</v>
      </c>
      <c r="EQ51" s="55">
        <v>138</v>
      </c>
      <c r="ER51" s="56">
        <v>310</v>
      </c>
      <c r="ES51" s="55">
        <v>121</v>
      </c>
      <c r="ET51" s="56">
        <v>320</v>
      </c>
      <c r="EU51" s="55">
        <v>117</v>
      </c>
      <c r="EV51" s="56">
        <v>320</v>
      </c>
      <c r="EW51" s="55">
        <v>127</v>
      </c>
      <c r="EX51" s="56">
        <v>330</v>
      </c>
      <c r="EY51" s="55">
        <v>119</v>
      </c>
      <c r="EZ51" s="56">
        <v>330</v>
      </c>
      <c r="FA51" s="55">
        <v>129</v>
      </c>
      <c r="FB51" s="56">
        <v>320</v>
      </c>
      <c r="FC51" s="55">
        <v>142</v>
      </c>
      <c r="FD51" s="56">
        <v>340</v>
      </c>
      <c r="FE51" s="55">
        <v>127</v>
      </c>
      <c r="FF51" s="56">
        <v>340</v>
      </c>
      <c r="FG51" s="55">
        <v>112</v>
      </c>
      <c r="FH51" s="56">
        <v>340</v>
      </c>
      <c r="FI51" s="55">
        <v>121</v>
      </c>
      <c r="FJ51" s="56">
        <v>330</v>
      </c>
      <c r="FK51" s="55">
        <v>131</v>
      </c>
      <c r="FL51" s="56">
        <v>330</v>
      </c>
      <c r="FM51" s="55">
        <v>130</v>
      </c>
      <c r="FN51" s="56">
        <v>350</v>
      </c>
      <c r="FO51" s="55">
        <v>135</v>
      </c>
      <c r="FP51" s="56">
        <v>340</v>
      </c>
      <c r="FQ51" s="55">
        <v>124</v>
      </c>
      <c r="FR51" s="56">
        <v>350</v>
      </c>
      <c r="FS51" s="55">
        <v>117</v>
      </c>
      <c r="FT51" s="56">
        <v>360</v>
      </c>
      <c r="FU51" s="55">
        <v>116</v>
      </c>
      <c r="FV51" s="56">
        <v>370</v>
      </c>
      <c r="FW51" s="55">
        <v>89</v>
      </c>
      <c r="FX51" s="56">
        <v>370</v>
      </c>
      <c r="FY51" s="55">
        <v>105</v>
      </c>
      <c r="FZ51" s="56">
        <v>380</v>
      </c>
      <c r="GA51" s="55">
        <v>108</v>
      </c>
      <c r="GB51" s="56">
        <v>390</v>
      </c>
      <c r="GC51" s="55">
        <v>106</v>
      </c>
      <c r="GD51" s="56">
        <v>395</v>
      </c>
      <c r="GE51" s="55">
        <v>100</v>
      </c>
      <c r="GF51" s="56">
        <v>395</v>
      </c>
      <c r="GG51" s="55">
        <v>111</v>
      </c>
      <c r="GH51" s="56">
        <v>420</v>
      </c>
      <c r="GI51" s="55">
        <v>108</v>
      </c>
      <c r="GJ51" s="56">
        <v>418</v>
      </c>
      <c r="GK51" s="55">
        <v>93</v>
      </c>
      <c r="GL51" s="56">
        <v>430</v>
      </c>
      <c r="GM51" s="55">
        <v>93</v>
      </c>
      <c r="GN51" s="56">
        <v>430</v>
      </c>
      <c r="GO51" s="55">
        <v>110</v>
      </c>
      <c r="GP51" s="56">
        <v>440</v>
      </c>
      <c r="GQ51" s="55">
        <v>88</v>
      </c>
      <c r="GR51" s="56">
        <v>440</v>
      </c>
      <c r="GS51" s="55">
        <v>94</v>
      </c>
      <c r="GT51" s="56">
        <v>450</v>
      </c>
      <c r="GU51" s="55">
        <v>100</v>
      </c>
      <c r="GV51" s="56">
        <v>470</v>
      </c>
      <c r="GW51" s="55">
        <v>78</v>
      </c>
      <c r="GX51" s="56">
        <v>460</v>
      </c>
      <c r="GY51" s="55">
        <v>85</v>
      </c>
      <c r="GZ51" s="56">
        <v>490</v>
      </c>
      <c r="HA51">
        <v>76</v>
      </c>
      <c r="HB51" s="56">
        <v>480</v>
      </c>
      <c r="HC51">
        <v>80</v>
      </c>
      <c r="HD51" s="56">
        <v>498</v>
      </c>
      <c r="HE51">
        <v>102</v>
      </c>
      <c r="HF51" s="56">
        <v>500</v>
      </c>
    </row>
    <row r="52" spans="1:215" x14ac:dyDescent="0.25">
      <c r="A52" s="53"/>
      <c r="B52" s="54" t="s">
        <v>792</v>
      </c>
      <c r="C52" s="55">
        <v>116</v>
      </c>
      <c r="D52" s="56">
        <v>130</v>
      </c>
      <c r="E52" s="55">
        <v>131</v>
      </c>
      <c r="F52" s="56">
        <v>130</v>
      </c>
      <c r="G52" s="55">
        <v>113</v>
      </c>
      <c r="H52" s="56">
        <v>130</v>
      </c>
      <c r="I52" s="55">
        <v>133</v>
      </c>
      <c r="J52" s="56">
        <v>130</v>
      </c>
      <c r="K52" s="55">
        <v>106</v>
      </c>
      <c r="L52" s="56">
        <v>130</v>
      </c>
      <c r="M52" s="55">
        <v>137</v>
      </c>
      <c r="N52" s="56">
        <v>135</v>
      </c>
      <c r="O52" s="55">
        <v>92</v>
      </c>
      <c r="P52" s="56">
        <v>130</v>
      </c>
      <c r="Q52" s="55">
        <v>104</v>
      </c>
      <c r="R52" s="56">
        <v>135</v>
      </c>
      <c r="S52" s="55">
        <v>101</v>
      </c>
      <c r="T52" s="56">
        <v>135</v>
      </c>
      <c r="U52" s="55">
        <v>94</v>
      </c>
      <c r="V52" s="56">
        <v>140</v>
      </c>
      <c r="W52" s="55">
        <v>83</v>
      </c>
      <c r="X52" s="56">
        <v>140</v>
      </c>
      <c r="Y52" s="55">
        <v>80</v>
      </c>
      <c r="Z52" s="56">
        <v>145</v>
      </c>
      <c r="AA52" s="55">
        <v>104</v>
      </c>
      <c r="AB52" s="56">
        <v>149</v>
      </c>
      <c r="AC52" s="55">
        <v>104</v>
      </c>
      <c r="AD52" s="56">
        <v>150</v>
      </c>
      <c r="AE52" s="55">
        <v>106</v>
      </c>
      <c r="AF52" s="56">
        <v>150</v>
      </c>
      <c r="AG52" s="55">
        <v>98</v>
      </c>
      <c r="AH52" s="56">
        <v>160</v>
      </c>
      <c r="AI52" s="55">
        <v>97</v>
      </c>
      <c r="AJ52" s="56">
        <v>160</v>
      </c>
      <c r="AK52" s="55">
        <v>104</v>
      </c>
      <c r="AL52" s="56">
        <v>160</v>
      </c>
      <c r="AM52" s="55">
        <v>120</v>
      </c>
      <c r="AN52" s="56">
        <v>170</v>
      </c>
      <c r="AO52" s="55">
        <v>94</v>
      </c>
      <c r="AP52" s="56">
        <v>163</v>
      </c>
      <c r="AQ52" s="55">
        <v>98</v>
      </c>
      <c r="AR52" s="56">
        <v>180</v>
      </c>
      <c r="AS52" s="55">
        <v>83</v>
      </c>
      <c r="AT52" s="56">
        <v>170</v>
      </c>
      <c r="AU52" s="55">
        <v>105</v>
      </c>
      <c r="AV52" s="56">
        <v>180</v>
      </c>
      <c r="AW52" s="55">
        <v>118</v>
      </c>
      <c r="AX52" s="56">
        <v>183</v>
      </c>
      <c r="AY52" s="55">
        <v>114</v>
      </c>
      <c r="AZ52" s="56">
        <v>180</v>
      </c>
      <c r="BA52" s="55">
        <v>107</v>
      </c>
      <c r="BB52" s="56">
        <v>180</v>
      </c>
      <c r="BC52" s="55">
        <v>115</v>
      </c>
      <c r="BD52" s="56">
        <v>180</v>
      </c>
      <c r="BE52" s="55">
        <v>111</v>
      </c>
      <c r="BF52" s="56">
        <v>190</v>
      </c>
      <c r="BG52" s="55">
        <v>85</v>
      </c>
      <c r="BH52" s="56">
        <v>180</v>
      </c>
      <c r="BI52" s="55">
        <v>129</v>
      </c>
      <c r="BJ52" s="56">
        <v>185</v>
      </c>
      <c r="BK52" s="55">
        <v>137</v>
      </c>
      <c r="BL52" s="56">
        <v>190</v>
      </c>
      <c r="BM52" s="55">
        <v>127</v>
      </c>
      <c r="BN52" s="56">
        <v>190</v>
      </c>
      <c r="BO52" s="55">
        <v>98</v>
      </c>
      <c r="BP52" s="56">
        <v>200</v>
      </c>
      <c r="BQ52" s="55">
        <v>108</v>
      </c>
      <c r="BR52" s="56">
        <v>210</v>
      </c>
      <c r="BS52" s="55">
        <v>116</v>
      </c>
      <c r="BT52" s="56">
        <v>200</v>
      </c>
      <c r="BU52" s="55">
        <v>109</v>
      </c>
      <c r="BV52" s="56">
        <v>215</v>
      </c>
      <c r="BW52" s="55">
        <v>127</v>
      </c>
      <c r="BX52" s="56">
        <v>210</v>
      </c>
      <c r="BY52" s="55">
        <v>111</v>
      </c>
      <c r="BZ52" s="56">
        <v>220</v>
      </c>
      <c r="CA52" s="55">
        <v>132</v>
      </c>
      <c r="CB52" s="56">
        <v>215</v>
      </c>
      <c r="CC52" s="55">
        <v>129</v>
      </c>
      <c r="CD52" s="56">
        <v>220</v>
      </c>
      <c r="CE52" s="55">
        <v>113</v>
      </c>
      <c r="CF52" s="56">
        <v>225</v>
      </c>
      <c r="CG52" s="55">
        <v>132</v>
      </c>
      <c r="CH52" s="56">
        <v>220</v>
      </c>
      <c r="CI52" s="55">
        <v>126</v>
      </c>
      <c r="CJ52" s="56">
        <v>230</v>
      </c>
      <c r="CK52" s="55">
        <v>105</v>
      </c>
      <c r="CL52" s="56">
        <v>240</v>
      </c>
      <c r="CM52" s="55">
        <v>126</v>
      </c>
      <c r="CN52" s="56">
        <v>230</v>
      </c>
      <c r="CO52" s="55">
        <v>120</v>
      </c>
      <c r="CP52" s="56">
        <v>235</v>
      </c>
      <c r="CQ52" s="55">
        <v>102</v>
      </c>
      <c r="CR52" s="56">
        <v>245</v>
      </c>
      <c r="CS52" s="55">
        <v>113</v>
      </c>
      <c r="CT52" s="56">
        <v>250</v>
      </c>
      <c r="CU52" s="55">
        <v>133</v>
      </c>
      <c r="CV52" s="56">
        <v>250</v>
      </c>
      <c r="CW52" s="55">
        <v>133</v>
      </c>
      <c r="CX52" s="56">
        <v>255</v>
      </c>
      <c r="CY52" s="55">
        <v>140</v>
      </c>
      <c r="CZ52" s="56">
        <v>255</v>
      </c>
      <c r="DA52" s="55">
        <v>141</v>
      </c>
      <c r="DB52" s="56">
        <v>260</v>
      </c>
      <c r="DC52" s="55">
        <v>114</v>
      </c>
      <c r="DD52" s="56">
        <v>265</v>
      </c>
      <c r="DE52" s="55">
        <v>146</v>
      </c>
      <c r="DF52" s="56">
        <v>260</v>
      </c>
      <c r="DG52" s="55">
        <v>132</v>
      </c>
      <c r="DH52" s="56">
        <v>270</v>
      </c>
      <c r="DI52" s="55">
        <v>140</v>
      </c>
      <c r="DJ52" s="56">
        <v>260</v>
      </c>
      <c r="DK52" s="55">
        <v>166</v>
      </c>
      <c r="DL52" s="56">
        <v>260</v>
      </c>
      <c r="DM52" s="55">
        <v>146</v>
      </c>
      <c r="DN52" s="56">
        <v>270</v>
      </c>
      <c r="DO52" s="55">
        <v>143</v>
      </c>
      <c r="DP52" s="56">
        <v>270</v>
      </c>
      <c r="DQ52" s="55">
        <v>146</v>
      </c>
      <c r="DR52" s="56">
        <v>275</v>
      </c>
      <c r="DS52" s="55">
        <v>128</v>
      </c>
      <c r="DT52" s="56">
        <v>280</v>
      </c>
      <c r="DU52" s="55">
        <v>128</v>
      </c>
      <c r="DV52" s="56">
        <v>280</v>
      </c>
      <c r="DW52" s="55">
        <v>164</v>
      </c>
      <c r="DX52" s="56">
        <v>270</v>
      </c>
      <c r="DY52" s="55">
        <v>139</v>
      </c>
      <c r="DZ52" s="56">
        <v>275</v>
      </c>
      <c r="EA52" s="55">
        <v>153</v>
      </c>
      <c r="EB52" s="56">
        <v>285</v>
      </c>
      <c r="EC52" s="55">
        <v>160</v>
      </c>
      <c r="ED52" s="56">
        <v>280</v>
      </c>
      <c r="EE52" s="55">
        <v>150</v>
      </c>
      <c r="EF52" s="56">
        <v>280</v>
      </c>
      <c r="EG52" s="55">
        <v>151</v>
      </c>
      <c r="EH52" s="56">
        <v>280</v>
      </c>
      <c r="EI52" s="55">
        <v>154</v>
      </c>
      <c r="EJ52" s="56">
        <v>290</v>
      </c>
      <c r="EK52" s="55">
        <v>149</v>
      </c>
      <c r="EL52" s="56">
        <v>290</v>
      </c>
      <c r="EM52" s="55">
        <v>130</v>
      </c>
      <c r="EN52" s="56">
        <v>283</v>
      </c>
      <c r="EO52" s="55">
        <v>144</v>
      </c>
      <c r="EP52" s="56">
        <v>288</v>
      </c>
      <c r="EQ52" s="55">
        <v>144</v>
      </c>
      <c r="ER52" s="56">
        <v>290</v>
      </c>
      <c r="ES52" s="55">
        <v>144</v>
      </c>
      <c r="ET52" s="56">
        <v>300</v>
      </c>
      <c r="EU52" s="55">
        <v>130</v>
      </c>
      <c r="EV52" s="56">
        <v>291</v>
      </c>
      <c r="EW52" s="55">
        <v>125</v>
      </c>
      <c r="EX52" s="56">
        <v>300</v>
      </c>
      <c r="EY52" s="55">
        <v>130</v>
      </c>
      <c r="EZ52" s="56">
        <v>300</v>
      </c>
      <c r="FA52" s="55">
        <v>136</v>
      </c>
      <c r="FB52" s="56">
        <v>310</v>
      </c>
      <c r="FC52" s="55">
        <v>114</v>
      </c>
      <c r="FD52" s="56">
        <v>300</v>
      </c>
      <c r="FE52" s="55">
        <v>108</v>
      </c>
      <c r="FF52" s="56">
        <v>310</v>
      </c>
      <c r="FG52" s="55">
        <v>147</v>
      </c>
      <c r="FH52" s="56">
        <v>320</v>
      </c>
      <c r="FI52" s="55">
        <v>115</v>
      </c>
      <c r="FJ52" s="56">
        <v>310</v>
      </c>
      <c r="FK52" s="55">
        <v>114</v>
      </c>
      <c r="FL52" s="56">
        <v>320</v>
      </c>
      <c r="FM52" s="55">
        <v>119</v>
      </c>
      <c r="FN52" s="56">
        <v>315</v>
      </c>
      <c r="FO52" s="55">
        <v>126</v>
      </c>
      <c r="FP52" s="56">
        <v>315</v>
      </c>
      <c r="FQ52" s="55">
        <v>101</v>
      </c>
      <c r="FR52" s="56">
        <v>320</v>
      </c>
      <c r="FS52" s="55">
        <v>77</v>
      </c>
      <c r="FT52" s="56">
        <v>340</v>
      </c>
      <c r="FU52" s="55">
        <v>94</v>
      </c>
      <c r="FV52" s="56">
        <v>360</v>
      </c>
      <c r="FW52" s="55">
        <v>108</v>
      </c>
      <c r="FX52" s="56">
        <v>370</v>
      </c>
      <c r="FY52" s="55">
        <v>92</v>
      </c>
      <c r="FZ52" s="56">
        <v>370</v>
      </c>
      <c r="GA52" s="55">
        <v>93</v>
      </c>
      <c r="GB52" s="56">
        <v>380</v>
      </c>
      <c r="GC52" s="55">
        <v>78</v>
      </c>
      <c r="GD52" s="56">
        <v>390</v>
      </c>
      <c r="GE52" s="55">
        <v>94</v>
      </c>
      <c r="GF52" s="56">
        <v>400</v>
      </c>
      <c r="GG52" s="55">
        <v>89</v>
      </c>
      <c r="GH52" s="56">
        <v>420</v>
      </c>
      <c r="GI52" s="55">
        <v>89</v>
      </c>
      <c r="GJ52" s="56">
        <v>400</v>
      </c>
      <c r="GK52" s="55">
        <v>89</v>
      </c>
      <c r="GL52" s="56">
        <v>425</v>
      </c>
      <c r="GM52" s="55">
        <v>118</v>
      </c>
      <c r="GN52" s="56">
        <v>420</v>
      </c>
      <c r="GO52" s="55">
        <v>109</v>
      </c>
      <c r="GP52" s="56">
        <v>420</v>
      </c>
      <c r="GQ52" s="55">
        <v>98</v>
      </c>
      <c r="GR52" s="56">
        <v>430</v>
      </c>
      <c r="GS52" s="55">
        <v>99</v>
      </c>
      <c r="GT52" s="56">
        <v>440</v>
      </c>
      <c r="GU52" s="55">
        <v>100</v>
      </c>
      <c r="GV52" s="56">
        <v>430</v>
      </c>
      <c r="GW52" s="55">
        <v>104</v>
      </c>
      <c r="GX52" s="56">
        <v>440</v>
      </c>
      <c r="GY52" s="55">
        <v>79</v>
      </c>
      <c r="GZ52" s="56">
        <v>450</v>
      </c>
      <c r="HA52">
        <v>103</v>
      </c>
      <c r="HB52" s="56">
        <v>460</v>
      </c>
      <c r="HC52">
        <v>99</v>
      </c>
      <c r="HD52" s="56">
        <v>460</v>
      </c>
      <c r="HE52">
        <v>90</v>
      </c>
      <c r="HF52" s="56">
        <v>460</v>
      </c>
    </row>
    <row r="53" spans="1:215" x14ac:dyDescent="0.25">
      <c r="A53" s="53"/>
      <c r="B53" s="54" t="s">
        <v>793</v>
      </c>
      <c r="C53" s="55">
        <v>233</v>
      </c>
      <c r="D53" s="56">
        <v>120</v>
      </c>
      <c r="E53" s="55">
        <v>217</v>
      </c>
      <c r="F53" s="56">
        <v>120</v>
      </c>
      <c r="G53" s="55">
        <v>199</v>
      </c>
      <c r="H53" s="56">
        <v>120</v>
      </c>
      <c r="I53" s="55">
        <v>265</v>
      </c>
      <c r="J53" s="56">
        <v>120</v>
      </c>
      <c r="K53" s="55">
        <v>206</v>
      </c>
      <c r="L53" s="56">
        <v>120</v>
      </c>
      <c r="M53" s="55">
        <v>221</v>
      </c>
      <c r="N53" s="56">
        <v>120</v>
      </c>
      <c r="O53" s="55">
        <v>199</v>
      </c>
      <c r="P53" s="56">
        <v>125</v>
      </c>
      <c r="Q53" s="55">
        <v>218</v>
      </c>
      <c r="R53" s="56">
        <v>125</v>
      </c>
      <c r="S53" s="55">
        <v>185</v>
      </c>
      <c r="T53" s="56">
        <v>120</v>
      </c>
      <c r="U53" s="55">
        <v>203</v>
      </c>
      <c r="V53" s="56">
        <v>125</v>
      </c>
      <c r="W53" s="55">
        <v>185</v>
      </c>
      <c r="X53" s="56">
        <v>125</v>
      </c>
      <c r="Y53" s="55">
        <v>247</v>
      </c>
      <c r="Z53" s="56">
        <v>130</v>
      </c>
      <c r="AA53" s="55">
        <v>205</v>
      </c>
      <c r="AB53" s="56">
        <v>130</v>
      </c>
      <c r="AC53" s="55">
        <v>231</v>
      </c>
      <c r="AD53" s="56">
        <v>135</v>
      </c>
      <c r="AE53" s="55">
        <v>191</v>
      </c>
      <c r="AF53" s="56">
        <v>140</v>
      </c>
      <c r="AG53" s="55">
        <v>259</v>
      </c>
      <c r="AH53" s="56">
        <v>140</v>
      </c>
      <c r="AI53" s="55">
        <v>257</v>
      </c>
      <c r="AJ53" s="56">
        <v>140</v>
      </c>
      <c r="AK53" s="55">
        <v>234</v>
      </c>
      <c r="AL53" s="56">
        <v>143</v>
      </c>
      <c r="AM53" s="55">
        <v>236</v>
      </c>
      <c r="AN53" s="56">
        <v>147</v>
      </c>
      <c r="AO53" s="55">
        <v>297</v>
      </c>
      <c r="AP53" s="56">
        <v>150</v>
      </c>
      <c r="AQ53" s="55">
        <v>224</v>
      </c>
      <c r="AR53" s="56">
        <v>155</v>
      </c>
      <c r="AS53" s="55">
        <v>250</v>
      </c>
      <c r="AT53" s="56">
        <v>150</v>
      </c>
      <c r="AU53" s="55">
        <v>235</v>
      </c>
      <c r="AV53" s="56">
        <v>150</v>
      </c>
      <c r="AW53" s="55">
        <v>246</v>
      </c>
      <c r="AX53" s="56">
        <v>150</v>
      </c>
      <c r="AY53" s="55">
        <v>270</v>
      </c>
      <c r="AZ53" s="56">
        <v>150</v>
      </c>
      <c r="BA53" s="55">
        <v>255</v>
      </c>
      <c r="BB53" s="56">
        <v>155</v>
      </c>
      <c r="BC53" s="55">
        <v>235</v>
      </c>
      <c r="BD53" s="56">
        <v>150</v>
      </c>
      <c r="BE53" s="55">
        <v>278</v>
      </c>
      <c r="BF53" s="56">
        <v>150</v>
      </c>
      <c r="BG53" s="55">
        <v>229</v>
      </c>
      <c r="BH53" s="56">
        <v>160</v>
      </c>
      <c r="BI53" s="55">
        <v>235</v>
      </c>
      <c r="BJ53" s="56">
        <v>160</v>
      </c>
      <c r="BK53" s="55">
        <v>222</v>
      </c>
      <c r="BL53" s="56">
        <v>165</v>
      </c>
      <c r="BM53" s="55">
        <v>281</v>
      </c>
      <c r="BN53" s="56">
        <v>160</v>
      </c>
      <c r="BO53" s="55">
        <v>262</v>
      </c>
      <c r="BP53" s="56">
        <v>165</v>
      </c>
      <c r="BQ53" s="55">
        <v>269</v>
      </c>
      <c r="BR53" s="56">
        <v>170</v>
      </c>
      <c r="BS53" s="55">
        <v>286</v>
      </c>
      <c r="BT53" s="56">
        <v>170</v>
      </c>
      <c r="BU53" s="55">
        <v>273</v>
      </c>
      <c r="BV53" s="56">
        <v>180</v>
      </c>
      <c r="BW53" s="55">
        <v>220</v>
      </c>
      <c r="BX53" s="56">
        <v>180</v>
      </c>
      <c r="BY53" s="55">
        <v>279</v>
      </c>
      <c r="BZ53" s="56">
        <v>180</v>
      </c>
      <c r="CA53" s="55">
        <v>234</v>
      </c>
      <c r="CB53" s="56">
        <v>188</v>
      </c>
      <c r="CC53" s="55">
        <v>291</v>
      </c>
      <c r="CD53" s="56">
        <v>190</v>
      </c>
      <c r="CE53" s="55">
        <v>234</v>
      </c>
      <c r="CF53" s="56">
        <v>190</v>
      </c>
      <c r="CG53" s="55">
        <v>246</v>
      </c>
      <c r="CH53" s="56">
        <v>195</v>
      </c>
      <c r="CI53" s="55">
        <v>249</v>
      </c>
      <c r="CJ53" s="56">
        <v>200</v>
      </c>
      <c r="CK53" s="55">
        <v>265</v>
      </c>
      <c r="CL53" s="56">
        <v>210</v>
      </c>
      <c r="CM53" s="55">
        <v>249</v>
      </c>
      <c r="CN53" s="56">
        <v>200</v>
      </c>
      <c r="CO53" s="55">
        <v>272</v>
      </c>
      <c r="CP53" s="56">
        <v>210</v>
      </c>
      <c r="CQ53" s="55">
        <v>260</v>
      </c>
      <c r="CR53" s="56">
        <v>210</v>
      </c>
      <c r="CS53" s="55">
        <v>276</v>
      </c>
      <c r="CT53" s="56">
        <v>210</v>
      </c>
      <c r="CU53" s="55">
        <v>263</v>
      </c>
      <c r="CV53" s="56">
        <v>210</v>
      </c>
      <c r="CW53" s="55">
        <v>306</v>
      </c>
      <c r="CX53" s="56">
        <v>218</v>
      </c>
      <c r="CY53" s="55">
        <v>259</v>
      </c>
      <c r="CZ53" s="56">
        <v>220</v>
      </c>
      <c r="DA53" s="55">
        <v>320</v>
      </c>
      <c r="DB53" s="56">
        <v>230</v>
      </c>
      <c r="DC53" s="55">
        <v>287</v>
      </c>
      <c r="DD53" s="56">
        <v>225</v>
      </c>
      <c r="DE53" s="55">
        <v>305</v>
      </c>
      <c r="DF53" s="56">
        <v>230</v>
      </c>
      <c r="DG53" s="55">
        <v>278</v>
      </c>
      <c r="DH53" s="56">
        <v>230</v>
      </c>
      <c r="DI53" s="55">
        <v>307</v>
      </c>
      <c r="DJ53" s="56">
        <v>230</v>
      </c>
      <c r="DK53" s="55">
        <v>289</v>
      </c>
      <c r="DL53" s="56">
        <v>230</v>
      </c>
      <c r="DM53" s="55">
        <v>289</v>
      </c>
      <c r="DN53" s="56">
        <v>230</v>
      </c>
      <c r="DO53" s="55">
        <v>299</v>
      </c>
      <c r="DP53" s="56">
        <v>235</v>
      </c>
      <c r="DQ53" s="55">
        <v>323</v>
      </c>
      <c r="DR53" s="56">
        <v>235</v>
      </c>
      <c r="DS53" s="55">
        <v>268</v>
      </c>
      <c r="DT53" s="56">
        <v>230</v>
      </c>
      <c r="DU53" s="55">
        <v>319</v>
      </c>
      <c r="DV53" s="56">
        <v>240</v>
      </c>
      <c r="DW53" s="55">
        <v>273</v>
      </c>
      <c r="DX53" s="56">
        <v>240</v>
      </c>
      <c r="DY53" s="55">
        <v>321</v>
      </c>
      <c r="DZ53" s="56">
        <v>250</v>
      </c>
      <c r="EA53" s="55">
        <v>334</v>
      </c>
      <c r="EB53" s="56">
        <v>250</v>
      </c>
      <c r="EC53" s="55">
        <v>303</v>
      </c>
      <c r="ED53" s="56">
        <v>250</v>
      </c>
      <c r="EE53" s="55">
        <v>309</v>
      </c>
      <c r="EF53" s="56">
        <v>250</v>
      </c>
      <c r="EG53" s="55">
        <v>356</v>
      </c>
      <c r="EH53" s="56">
        <v>250</v>
      </c>
      <c r="EI53" s="55">
        <v>346</v>
      </c>
      <c r="EJ53" s="56">
        <v>250</v>
      </c>
      <c r="EK53" s="55">
        <v>355</v>
      </c>
      <c r="EL53" s="56">
        <v>245</v>
      </c>
      <c r="EM53" s="55">
        <v>294</v>
      </c>
      <c r="EN53" s="56">
        <v>250</v>
      </c>
      <c r="EO53" s="55">
        <v>377</v>
      </c>
      <c r="EP53" s="56">
        <v>260</v>
      </c>
      <c r="EQ53" s="55">
        <v>305</v>
      </c>
      <c r="ER53" s="56">
        <v>250</v>
      </c>
      <c r="ES53" s="55">
        <v>320</v>
      </c>
      <c r="ET53" s="56">
        <v>260</v>
      </c>
      <c r="EU53" s="55">
        <v>327</v>
      </c>
      <c r="EV53" s="56">
        <v>250</v>
      </c>
      <c r="EW53" s="55">
        <v>337</v>
      </c>
      <c r="EX53" s="56">
        <v>260</v>
      </c>
      <c r="EY53" s="55">
        <v>281</v>
      </c>
      <c r="EZ53" s="56">
        <v>260</v>
      </c>
      <c r="FA53" s="55">
        <v>289</v>
      </c>
      <c r="FB53" s="56">
        <v>260</v>
      </c>
      <c r="FC53" s="55">
        <v>263</v>
      </c>
      <c r="FD53" s="56">
        <v>265</v>
      </c>
      <c r="FE53" s="55">
        <v>267</v>
      </c>
      <c r="FF53" s="56">
        <v>270</v>
      </c>
      <c r="FG53" s="55">
        <v>229</v>
      </c>
      <c r="FH53" s="56">
        <v>270</v>
      </c>
      <c r="FI53" s="55">
        <v>232</v>
      </c>
      <c r="FJ53" s="56">
        <v>270</v>
      </c>
      <c r="FK53" s="55">
        <v>251</v>
      </c>
      <c r="FL53" s="56">
        <v>275</v>
      </c>
      <c r="FM53" s="55">
        <v>253</v>
      </c>
      <c r="FN53" s="56">
        <v>280</v>
      </c>
      <c r="FO53" s="55">
        <v>236</v>
      </c>
      <c r="FP53" s="56">
        <v>280</v>
      </c>
      <c r="FQ53" s="55">
        <v>218</v>
      </c>
      <c r="FR53" s="56">
        <v>290</v>
      </c>
      <c r="FS53" s="55">
        <v>186</v>
      </c>
      <c r="FT53" s="56">
        <v>318</v>
      </c>
      <c r="FU53" s="55">
        <v>230</v>
      </c>
      <c r="FV53" s="56">
        <v>320</v>
      </c>
      <c r="FW53" s="55">
        <v>248</v>
      </c>
      <c r="FX53" s="56">
        <v>330</v>
      </c>
      <c r="FY53" s="55">
        <v>222</v>
      </c>
      <c r="FZ53" s="56">
        <v>330</v>
      </c>
      <c r="GA53" s="55">
        <v>260</v>
      </c>
      <c r="GB53" s="56">
        <v>350</v>
      </c>
      <c r="GC53" s="55">
        <v>253</v>
      </c>
      <c r="GD53" s="56">
        <v>350</v>
      </c>
      <c r="GE53" s="55">
        <v>245</v>
      </c>
      <c r="GF53" s="56">
        <v>360</v>
      </c>
      <c r="GG53" s="55">
        <v>261</v>
      </c>
      <c r="GH53" s="56">
        <v>380</v>
      </c>
      <c r="GI53" s="55">
        <v>251</v>
      </c>
      <c r="GJ53" s="56">
        <v>380</v>
      </c>
      <c r="GK53" s="55">
        <v>273</v>
      </c>
      <c r="GL53" s="56">
        <v>370</v>
      </c>
      <c r="GM53" s="55">
        <v>250</v>
      </c>
      <c r="GN53" s="56">
        <v>375</v>
      </c>
      <c r="GO53" s="55">
        <v>251</v>
      </c>
      <c r="GP53" s="56">
        <v>380</v>
      </c>
      <c r="GQ53" s="55">
        <v>231</v>
      </c>
      <c r="GR53" s="56">
        <v>380</v>
      </c>
      <c r="GS53" s="55">
        <v>240</v>
      </c>
      <c r="GT53" s="56">
        <v>395</v>
      </c>
      <c r="GU53" s="55">
        <v>241</v>
      </c>
      <c r="GV53" s="56">
        <v>400</v>
      </c>
      <c r="GW53" s="55">
        <v>204</v>
      </c>
      <c r="GX53" s="56">
        <v>400</v>
      </c>
      <c r="GY53" s="55">
        <v>225</v>
      </c>
      <c r="GZ53" s="56">
        <v>420</v>
      </c>
      <c r="HA53">
        <v>200</v>
      </c>
      <c r="HB53" s="56">
        <v>420</v>
      </c>
      <c r="HC53">
        <v>231</v>
      </c>
      <c r="HD53" s="56">
        <v>430</v>
      </c>
      <c r="HE53">
        <v>271</v>
      </c>
      <c r="HF53" s="56">
        <v>435</v>
      </c>
      <c r="HG53" s="65"/>
    </row>
    <row r="54" spans="1:215" x14ac:dyDescent="0.25">
      <c r="A54" s="53"/>
      <c r="B54" s="54" t="s">
        <v>794</v>
      </c>
      <c r="C54" s="55">
        <v>63</v>
      </c>
      <c r="D54" s="56">
        <v>120</v>
      </c>
      <c r="E54" s="55">
        <v>73</v>
      </c>
      <c r="F54" s="56">
        <v>115</v>
      </c>
      <c r="G54" s="55">
        <v>62</v>
      </c>
      <c r="H54" s="56">
        <v>115</v>
      </c>
      <c r="I54" s="55">
        <v>73</v>
      </c>
      <c r="J54" s="56">
        <v>115</v>
      </c>
      <c r="K54" s="55">
        <v>60</v>
      </c>
      <c r="L54" s="56">
        <v>120</v>
      </c>
      <c r="M54" s="55">
        <v>72</v>
      </c>
      <c r="N54" s="56">
        <v>115</v>
      </c>
      <c r="O54" s="55">
        <v>54</v>
      </c>
      <c r="P54" s="56">
        <v>115</v>
      </c>
      <c r="Q54" s="55">
        <v>63</v>
      </c>
      <c r="R54" s="56">
        <v>120</v>
      </c>
      <c r="S54" s="55">
        <v>52</v>
      </c>
      <c r="T54" s="56">
        <v>120</v>
      </c>
      <c r="U54" s="55">
        <v>51</v>
      </c>
      <c r="V54" s="56">
        <v>125</v>
      </c>
      <c r="W54" s="55">
        <v>42</v>
      </c>
      <c r="X54" s="56">
        <v>125</v>
      </c>
      <c r="Y54" s="55">
        <v>57</v>
      </c>
      <c r="Z54" s="56">
        <v>130</v>
      </c>
      <c r="AA54" s="55">
        <v>51</v>
      </c>
      <c r="AB54" s="56">
        <v>130</v>
      </c>
      <c r="AC54" s="55">
        <v>65</v>
      </c>
      <c r="AD54" s="56">
        <v>130</v>
      </c>
      <c r="AE54" s="55">
        <v>51</v>
      </c>
      <c r="AF54" s="56">
        <v>135</v>
      </c>
      <c r="AG54" s="55">
        <v>55</v>
      </c>
      <c r="AH54" s="56">
        <v>135</v>
      </c>
      <c r="AI54" s="55">
        <v>54</v>
      </c>
      <c r="AJ54" s="56">
        <v>145</v>
      </c>
      <c r="AK54" s="55">
        <v>57</v>
      </c>
      <c r="AL54" s="56">
        <v>150</v>
      </c>
      <c r="AM54" s="55">
        <v>62</v>
      </c>
      <c r="AN54" s="56">
        <v>150</v>
      </c>
      <c r="AO54" s="55">
        <v>50</v>
      </c>
      <c r="AP54" s="56">
        <v>150</v>
      </c>
      <c r="AQ54" s="55">
        <v>51</v>
      </c>
      <c r="AR54" s="56">
        <v>160</v>
      </c>
      <c r="AS54" s="55">
        <v>62</v>
      </c>
      <c r="AT54" s="56">
        <v>150</v>
      </c>
      <c r="AU54" s="55">
        <v>42</v>
      </c>
      <c r="AV54" s="56">
        <v>160</v>
      </c>
      <c r="AW54" s="55">
        <v>57</v>
      </c>
      <c r="AX54" s="56">
        <v>160</v>
      </c>
      <c r="AY54" s="55">
        <v>64</v>
      </c>
      <c r="AZ54" s="56">
        <v>160</v>
      </c>
      <c r="BA54" s="55">
        <v>52</v>
      </c>
      <c r="BB54" s="56">
        <v>160</v>
      </c>
      <c r="BC54" s="55">
        <v>55</v>
      </c>
      <c r="BD54" s="56">
        <v>160</v>
      </c>
      <c r="BE54" s="55">
        <v>55</v>
      </c>
      <c r="BF54" s="56">
        <v>170</v>
      </c>
      <c r="BG54" s="55">
        <v>68</v>
      </c>
      <c r="BH54" s="56">
        <v>160</v>
      </c>
      <c r="BI54" s="55">
        <v>42</v>
      </c>
      <c r="BJ54" s="56">
        <v>163</v>
      </c>
      <c r="BK54" s="55">
        <v>54</v>
      </c>
      <c r="BL54" s="56">
        <v>168</v>
      </c>
      <c r="BM54" s="55">
        <v>64</v>
      </c>
      <c r="BN54" s="56">
        <v>178</v>
      </c>
      <c r="BO54" s="55">
        <v>45</v>
      </c>
      <c r="BP54" s="56">
        <v>175</v>
      </c>
      <c r="BQ54" s="55">
        <v>57</v>
      </c>
      <c r="BR54" s="56">
        <v>175</v>
      </c>
      <c r="BS54" s="55">
        <v>56</v>
      </c>
      <c r="BT54" s="56">
        <v>188</v>
      </c>
      <c r="BU54" s="55">
        <v>61</v>
      </c>
      <c r="BV54" s="56">
        <v>190</v>
      </c>
      <c r="BW54" s="55">
        <v>64</v>
      </c>
      <c r="BX54" s="56">
        <v>190</v>
      </c>
      <c r="BY54" s="55">
        <v>79</v>
      </c>
      <c r="BZ54" s="56">
        <v>190</v>
      </c>
      <c r="CA54" s="55">
        <v>59</v>
      </c>
      <c r="CB54" s="56">
        <v>200</v>
      </c>
      <c r="CC54" s="55">
        <v>78</v>
      </c>
      <c r="CD54" s="56">
        <v>200</v>
      </c>
      <c r="CE54" s="55">
        <v>43</v>
      </c>
      <c r="CF54" s="56">
        <v>200</v>
      </c>
      <c r="CG54" s="55">
        <v>79</v>
      </c>
      <c r="CH54" s="56">
        <v>200</v>
      </c>
      <c r="CI54" s="55">
        <v>63</v>
      </c>
      <c r="CJ54" s="56">
        <v>210</v>
      </c>
      <c r="CK54" s="55">
        <v>89</v>
      </c>
      <c r="CL54" s="56">
        <v>200</v>
      </c>
      <c r="CM54" s="55">
        <v>85</v>
      </c>
      <c r="CN54" s="56">
        <v>230</v>
      </c>
      <c r="CO54" s="55">
        <v>94</v>
      </c>
      <c r="CP54" s="56">
        <v>230</v>
      </c>
      <c r="CQ54" s="55">
        <v>76</v>
      </c>
      <c r="CR54" s="56">
        <v>220</v>
      </c>
      <c r="CS54" s="55">
        <v>80</v>
      </c>
      <c r="CT54" s="56">
        <v>238</v>
      </c>
      <c r="CU54" s="55">
        <v>69</v>
      </c>
      <c r="CV54" s="56">
        <v>245</v>
      </c>
      <c r="CW54" s="55">
        <v>80</v>
      </c>
      <c r="CX54" s="56">
        <v>240</v>
      </c>
      <c r="CY54" s="55">
        <v>77</v>
      </c>
      <c r="CZ54" s="56">
        <v>250</v>
      </c>
      <c r="DA54" s="55">
        <v>77</v>
      </c>
      <c r="DB54" s="56">
        <v>240</v>
      </c>
      <c r="DC54" s="55">
        <v>73</v>
      </c>
      <c r="DD54" s="56">
        <v>240</v>
      </c>
      <c r="DE54" s="55">
        <v>75</v>
      </c>
      <c r="DF54" s="56">
        <v>250</v>
      </c>
      <c r="DG54" s="55">
        <v>78</v>
      </c>
      <c r="DH54" s="56">
        <v>250</v>
      </c>
      <c r="DI54" s="55">
        <v>88</v>
      </c>
      <c r="DJ54" s="56">
        <v>250</v>
      </c>
      <c r="DK54" s="55">
        <v>88</v>
      </c>
      <c r="DL54" s="56">
        <v>238</v>
      </c>
      <c r="DM54" s="55">
        <v>100</v>
      </c>
      <c r="DN54" s="56">
        <v>250</v>
      </c>
      <c r="DO54" s="55">
        <v>71</v>
      </c>
      <c r="DP54" s="56">
        <v>250</v>
      </c>
      <c r="DQ54" s="55">
        <v>86</v>
      </c>
      <c r="DR54" s="56">
        <v>250</v>
      </c>
      <c r="DS54" s="55">
        <v>82</v>
      </c>
      <c r="DT54" s="56">
        <v>260</v>
      </c>
      <c r="DU54" s="55">
        <v>71</v>
      </c>
      <c r="DV54" s="56">
        <v>240</v>
      </c>
      <c r="DW54" s="55">
        <v>78</v>
      </c>
      <c r="DX54" s="56">
        <v>250</v>
      </c>
      <c r="DY54" s="55">
        <v>69</v>
      </c>
      <c r="DZ54" s="56">
        <v>250</v>
      </c>
      <c r="EA54" s="55">
        <v>89</v>
      </c>
      <c r="EB54" s="56">
        <v>255</v>
      </c>
      <c r="EC54" s="55">
        <v>86</v>
      </c>
      <c r="ED54" s="56">
        <v>253</v>
      </c>
      <c r="EE54" s="55">
        <v>71</v>
      </c>
      <c r="EF54" s="56">
        <v>250</v>
      </c>
      <c r="EG54" s="55">
        <v>76</v>
      </c>
      <c r="EH54" s="56">
        <v>260</v>
      </c>
      <c r="EI54" s="55">
        <v>77</v>
      </c>
      <c r="EJ54" s="56">
        <v>250</v>
      </c>
      <c r="EK54" s="55">
        <v>96</v>
      </c>
      <c r="EL54" s="56">
        <v>270</v>
      </c>
      <c r="EM54" s="55">
        <v>83</v>
      </c>
      <c r="EN54" s="56">
        <v>260</v>
      </c>
      <c r="EO54" s="55">
        <v>64</v>
      </c>
      <c r="EP54" s="56">
        <v>273</v>
      </c>
      <c r="EQ54" s="55">
        <v>88</v>
      </c>
      <c r="ER54" s="56">
        <v>263</v>
      </c>
      <c r="ES54" s="55">
        <v>75</v>
      </c>
      <c r="ET54" s="56">
        <v>275</v>
      </c>
      <c r="EU54" s="55">
        <v>65</v>
      </c>
      <c r="EV54" s="56">
        <v>260</v>
      </c>
      <c r="EW54" s="55">
        <v>74</v>
      </c>
      <c r="EX54" s="56">
        <v>270</v>
      </c>
      <c r="EY54" s="55">
        <v>72</v>
      </c>
      <c r="EZ54" s="56">
        <v>280</v>
      </c>
      <c r="FA54" s="55">
        <v>73</v>
      </c>
      <c r="FB54" s="56">
        <v>270</v>
      </c>
      <c r="FC54" s="55">
        <v>59</v>
      </c>
      <c r="FD54" s="56">
        <v>280</v>
      </c>
      <c r="FE54" s="55">
        <v>58</v>
      </c>
      <c r="FF54" s="56">
        <v>300</v>
      </c>
      <c r="FG54" s="55">
        <v>66</v>
      </c>
      <c r="FH54" s="56">
        <v>288</v>
      </c>
      <c r="FI54" s="55">
        <v>73</v>
      </c>
      <c r="FJ54" s="56">
        <v>280</v>
      </c>
      <c r="FK54" s="55">
        <v>54</v>
      </c>
      <c r="FL54" s="56">
        <v>300</v>
      </c>
      <c r="FM54" s="55">
        <v>66</v>
      </c>
      <c r="FN54" s="56">
        <v>300</v>
      </c>
      <c r="FO54" s="55">
        <v>69</v>
      </c>
      <c r="FP54" s="56">
        <v>300</v>
      </c>
      <c r="FQ54" s="55">
        <v>56</v>
      </c>
      <c r="FR54" s="56">
        <v>310</v>
      </c>
      <c r="FS54" s="55">
        <v>47</v>
      </c>
      <c r="FT54" s="56">
        <v>320</v>
      </c>
      <c r="FU54" s="55">
        <v>49</v>
      </c>
      <c r="FV54" s="56">
        <v>330</v>
      </c>
      <c r="FW54" s="55">
        <v>53</v>
      </c>
      <c r="FX54" s="56">
        <v>340</v>
      </c>
      <c r="FY54" s="55">
        <v>50</v>
      </c>
      <c r="FZ54" s="56">
        <v>350</v>
      </c>
      <c r="GA54" s="55">
        <v>54</v>
      </c>
      <c r="GB54" s="56">
        <v>350</v>
      </c>
      <c r="GC54" s="55">
        <v>36</v>
      </c>
      <c r="GD54" s="56">
        <v>365</v>
      </c>
      <c r="GE54" s="55">
        <v>57</v>
      </c>
      <c r="GF54" s="56">
        <v>380</v>
      </c>
      <c r="GG54" s="55">
        <v>51</v>
      </c>
      <c r="GH54" s="56">
        <v>380</v>
      </c>
      <c r="GI54" s="55">
        <v>52</v>
      </c>
      <c r="GJ54" s="56">
        <v>380</v>
      </c>
      <c r="GK54" s="55">
        <v>48</v>
      </c>
      <c r="GL54" s="56">
        <v>390</v>
      </c>
      <c r="GM54" s="55">
        <v>63</v>
      </c>
      <c r="GN54" s="56">
        <v>400</v>
      </c>
      <c r="GO54" s="55">
        <v>55</v>
      </c>
      <c r="GP54" s="56">
        <v>400</v>
      </c>
      <c r="GQ54" s="55">
        <v>57</v>
      </c>
      <c r="GR54" s="56">
        <v>400</v>
      </c>
      <c r="GS54" s="55">
        <v>54</v>
      </c>
      <c r="GT54" s="56">
        <v>400</v>
      </c>
      <c r="GU54" s="55">
        <v>49</v>
      </c>
      <c r="GV54" s="56">
        <v>410</v>
      </c>
      <c r="GW54" s="55">
        <v>50</v>
      </c>
      <c r="GX54" s="56">
        <v>433</v>
      </c>
      <c r="GY54" s="55">
        <v>66</v>
      </c>
      <c r="GZ54" s="56">
        <v>430</v>
      </c>
      <c r="HA54">
        <v>57</v>
      </c>
      <c r="HB54" s="56">
        <v>430</v>
      </c>
      <c r="HC54">
        <v>34</v>
      </c>
      <c r="HD54" s="56">
        <v>435</v>
      </c>
      <c r="HE54">
        <v>40</v>
      </c>
      <c r="HF54" s="56">
        <v>435</v>
      </c>
    </row>
    <row r="55" spans="1:215" x14ac:dyDescent="0.25">
      <c r="A55" s="53"/>
      <c r="B55" s="54" t="s">
        <v>795</v>
      </c>
      <c r="C55" s="55">
        <v>138</v>
      </c>
      <c r="D55" s="56">
        <v>120</v>
      </c>
      <c r="E55" s="55">
        <v>150</v>
      </c>
      <c r="F55" s="56">
        <v>120</v>
      </c>
      <c r="G55" s="55">
        <v>117</v>
      </c>
      <c r="H55" s="56">
        <v>120</v>
      </c>
      <c r="I55" s="55">
        <v>164</v>
      </c>
      <c r="J55" s="56">
        <v>120</v>
      </c>
      <c r="K55" s="55">
        <v>105</v>
      </c>
      <c r="L55" s="56">
        <v>125</v>
      </c>
      <c r="M55" s="55">
        <v>112</v>
      </c>
      <c r="N55" s="56">
        <v>120</v>
      </c>
      <c r="O55" s="55">
        <v>127</v>
      </c>
      <c r="P55" s="56">
        <v>120</v>
      </c>
      <c r="Q55" s="55">
        <v>110</v>
      </c>
      <c r="R55" s="56">
        <v>125</v>
      </c>
      <c r="S55" s="55">
        <v>99</v>
      </c>
      <c r="T55" s="56">
        <v>120</v>
      </c>
      <c r="U55" s="55">
        <v>99</v>
      </c>
      <c r="V55" s="56">
        <v>125</v>
      </c>
      <c r="W55" s="55">
        <v>107</v>
      </c>
      <c r="X55" s="56">
        <v>125</v>
      </c>
      <c r="Y55" s="55">
        <v>125</v>
      </c>
      <c r="Z55" s="56">
        <v>130</v>
      </c>
      <c r="AA55" s="55">
        <v>81</v>
      </c>
      <c r="AB55" s="56">
        <v>130</v>
      </c>
      <c r="AC55" s="55">
        <v>92</v>
      </c>
      <c r="AD55" s="56">
        <v>135</v>
      </c>
      <c r="AE55" s="55">
        <v>110</v>
      </c>
      <c r="AF55" s="56">
        <v>130</v>
      </c>
      <c r="AG55" s="55">
        <v>95</v>
      </c>
      <c r="AH55" s="56">
        <v>130</v>
      </c>
      <c r="AI55" s="55">
        <v>94</v>
      </c>
      <c r="AJ55" s="56">
        <v>130</v>
      </c>
      <c r="AK55" s="55">
        <v>91</v>
      </c>
      <c r="AL55" s="56">
        <v>140</v>
      </c>
      <c r="AM55" s="55">
        <v>118</v>
      </c>
      <c r="AN55" s="56">
        <v>150</v>
      </c>
      <c r="AO55" s="55">
        <v>91</v>
      </c>
      <c r="AP55" s="56">
        <v>150</v>
      </c>
      <c r="AQ55" s="55">
        <v>89</v>
      </c>
      <c r="AR55" s="56">
        <v>150</v>
      </c>
      <c r="AS55" s="55">
        <v>118</v>
      </c>
      <c r="AT55" s="56">
        <v>150</v>
      </c>
      <c r="AU55" s="55">
        <v>115</v>
      </c>
      <c r="AV55" s="56">
        <v>150</v>
      </c>
      <c r="AW55" s="55">
        <v>107</v>
      </c>
      <c r="AX55" s="56">
        <v>160</v>
      </c>
      <c r="AY55" s="55">
        <v>113</v>
      </c>
      <c r="AZ55" s="56">
        <v>155</v>
      </c>
      <c r="BA55" s="55">
        <v>105</v>
      </c>
      <c r="BB55" s="56">
        <v>160</v>
      </c>
      <c r="BC55" s="55">
        <v>89</v>
      </c>
      <c r="BD55" s="56">
        <v>165</v>
      </c>
      <c r="BE55" s="55">
        <v>123</v>
      </c>
      <c r="BF55" s="56">
        <v>160</v>
      </c>
      <c r="BG55" s="55">
        <v>103</v>
      </c>
      <c r="BH55" s="56">
        <v>155</v>
      </c>
      <c r="BI55" s="55">
        <v>115</v>
      </c>
      <c r="BJ55" s="56">
        <v>165</v>
      </c>
      <c r="BK55" s="55">
        <v>98</v>
      </c>
      <c r="BL55" s="56">
        <v>160</v>
      </c>
      <c r="BM55" s="55">
        <v>110</v>
      </c>
      <c r="BN55" s="56">
        <v>170</v>
      </c>
      <c r="BO55" s="55">
        <v>120</v>
      </c>
      <c r="BP55" s="56">
        <v>170</v>
      </c>
      <c r="BQ55" s="55">
        <v>113</v>
      </c>
      <c r="BR55" s="56">
        <v>180</v>
      </c>
      <c r="BS55" s="55">
        <v>96</v>
      </c>
      <c r="BT55" s="56">
        <v>173</v>
      </c>
      <c r="BU55" s="55">
        <v>102</v>
      </c>
      <c r="BV55" s="56">
        <v>180</v>
      </c>
      <c r="BW55" s="55">
        <v>115</v>
      </c>
      <c r="BX55" s="56">
        <v>200</v>
      </c>
      <c r="BY55" s="55">
        <v>113</v>
      </c>
      <c r="BZ55" s="56">
        <v>195</v>
      </c>
      <c r="CA55" s="55">
        <v>90</v>
      </c>
      <c r="CB55" s="56">
        <v>205</v>
      </c>
      <c r="CC55" s="55">
        <v>135</v>
      </c>
      <c r="CD55" s="56">
        <v>200</v>
      </c>
      <c r="CE55" s="55">
        <v>112</v>
      </c>
      <c r="CF55" s="56">
        <v>200</v>
      </c>
      <c r="CG55" s="55">
        <v>90</v>
      </c>
      <c r="CH55" s="56">
        <v>200</v>
      </c>
      <c r="CI55" s="55">
        <v>119</v>
      </c>
      <c r="CJ55" s="56">
        <v>210</v>
      </c>
      <c r="CK55" s="55">
        <v>112</v>
      </c>
      <c r="CL55" s="56">
        <v>220</v>
      </c>
      <c r="CM55" s="55">
        <v>97</v>
      </c>
      <c r="CN55" s="56">
        <v>220</v>
      </c>
      <c r="CO55" s="55">
        <v>109</v>
      </c>
      <c r="CP55" s="56">
        <v>220</v>
      </c>
      <c r="CQ55" s="55">
        <v>114</v>
      </c>
      <c r="CR55" s="56">
        <v>220</v>
      </c>
      <c r="CS55" s="55">
        <v>119</v>
      </c>
      <c r="CT55" s="56">
        <v>230</v>
      </c>
      <c r="CU55" s="55">
        <v>113</v>
      </c>
      <c r="CV55" s="56">
        <v>230</v>
      </c>
      <c r="CW55" s="55">
        <v>134</v>
      </c>
      <c r="CX55" s="56">
        <v>235</v>
      </c>
      <c r="CY55" s="55">
        <v>106</v>
      </c>
      <c r="CZ55" s="56">
        <v>240</v>
      </c>
      <c r="DA55" s="55">
        <v>120</v>
      </c>
      <c r="DB55" s="56">
        <v>240</v>
      </c>
      <c r="DC55" s="55">
        <v>112</v>
      </c>
      <c r="DD55" s="56">
        <v>240</v>
      </c>
      <c r="DE55" s="55">
        <v>138</v>
      </c>
      <c r="DF55" s="56">
        <v>240</v>
      </c>
      <c r="DG55" s="55">
        <v>125</v>
      </c>
      <c r="DH55" s="56">
        <v>250</v>
      </c>
      <c r="DI55" s="55">
        <v>127</v>
      </c>
      <c r="DJ55" s="56">
        <v>240</v>
      </c>
      <c r="DK55" s="55">
        <v>128</v>
      </c>
      <c r="DL55" s="56">
        <v>250</v>
      </c>
      <c r="DM55" s="55">
        <v>109</v>
      </c>
      <c r="DN55" s="56">
        <v>250</v>
      </c>
      <c r="DO55" s="55">
        <v>111</v>
      </c>
      <c r="DP55" s="56">
        <v>245</v>
      </c>
      <c r="DQ55" s="55">
        <v>131</v>
      </c>
      <c r="DR55" s="56">
        <v>240</v>
      </c>
      <c r="DS55" s="55">
        <v>115</v>
      </c>
      <c r="DT55" s="56">
        <v>250</v>
      </c>
      <c r="DU55" s="55">
        <v>148</v>
      </c>
      <c r="DV55" s="56">
        <v>250</v>
      </c>
      <c r="DW55" s="55">
        <v>134</v>
      </c>
      <c r="DX55" s="56">
        <v>250</v>
      </c>
      <c r="DY55" s="55">
        <v>143</v>
      </c>
      <c r="DZ55" s="56">
        <v>280</v>
      </c>
      <c r="EA55" s="55">
        <v>167</v>
      </c>
      <c r="EB55" s="56">
        <v>270</v>
      </c>
      <c r="EC55" s="55">
        <v>146</v>
      </c>
      <c r="ED55" s="56">
        <v>265</v>
      </c>
      <c r="EE55" s="55">
        <v>141</v>
      </c>
      <c r="EF55" s="56">
        <v>260</v>
      </c>
      <c r="EG55" s="55">
        <v>146</v>
      </c>
      <c r="EH55" s="56">
        <v>275</v>
      </c>
      <c r="EI55" s="55">
        <v>138</v>
      </c>
      <c r="EJ55" s="56">
        <v>265</v>
      </c>
      <c r="EK55" s="55">
        <v>163</v>
      </c>
      <c r="EL55" s="56">
        <v>260</v>
      </c>
      <c r="EM55" s="55">
        <v>141</v>
      </c>
      <c r="EN55" s="56">
        <v>260</v>
      </c>
      <c r="EO55" s="55">
        <v>189</v>
      </c>
      <c r="EP55" s="56">
        <v>265</v>
      </c>
      <c r="EQ55" s="55">
        <v>137</v>
      </c>
      <c r="ER55" s="56">
        <v>265</v>
      </c>
      <c r="ES55" s="55">
        <v>145</v>
      </c>
      <c r="ET55" s="56">
        <v>260</v>
      </c>
      <c r="EU55" s="55">
        <v>134</v>
      </c>
      <c r="EV55" s="56">
        <v>265</v>
      </c>
      <c r="EW55" s="55">
        <v>173</v>
      </c>
      <c r="EX55" s="56">
        <v>270</v>
      </c>
      <c r="EY55" s="55">
        <v>151</v>
      </c>
      <c r="EZ55" s="56">
        <v>260</v>
      </c>
      <c r="FA55" s="55">
        <v>148</v>
      </c>
      <c r="FB55" s="56">
        <v>270</v>
      </c>
      <c r="FC55" s="55">
        <v>121</v>
      </c>
      <c r="FD55" s="56">
        <v>270</v>
      </c>
      <c r="FE55" s="55">
        <v>137</v>
      </c>
      <c r="FF55" s="56">
        <v>280</v>
      </c>
      <c r="FG55" s="55">
        <v>121</v>
      </c>
      <c r="FH55" s="56">
        <v>280</v>
      </c>
      <c r="FI55" s="55">
        <v>105</v>
      </c>
      <c r="FJ55" s="56">
        <v>285</v>
      </c>
      <c r="FK55" s="55">
        <v>111</v>
      </c>
      <c r="FL55" s="56">
        <v>295</v>
      </c>
      <c r="FM55" s="55">
        <v>128</v>
      </c>
      <c r="FN55" s="56">
        <v>290</v>
      </c>
      <c r="FO55" s="55">
        <v>94</v>
      </c>
      <c r="FP55" s="56">
        <v>300</v>
      </c>
      <c r="FQ55" s="55">
        <v>95</v>
      </c>
      <c r="FR55" s="56">
        <v>310</v>
      </c>
      <c r="FS55" s="55">
        <v>90</v>
      </c>
      <c r="FT55" s="56">
        <v>315</v>
      </c>
      <c r="FU55" s="55">
        <v>103</v>
      </c>
      <c r="FV55" s="56">
        <v>320</v>
      </c>
      <c r="FW55" s="55">
        <v>91</v>
      </c>
      <c r="FX55" s="56">
        <v>350</v>
      </c>
      <c r="FY55" s="55">
        <v>105</v>
      </c>
      <c r="FZ55" s="56">
        <v>350</v>
      </c>
      <c r="GA55" s="55">
        <v>99</v>
      </c>
      <c r="GB55" s="56">
        <v>370</v>
      </c>
      <c r="GC55" s="55">
        <v>107</v>
      </c>
      <c r="GD55" s="56">
        <v>380</v>
      </c>
      <c r="GE55" s="55">
        <v>99</v>
      </c>
      <c r="GF55" s="56">
        <v>390</v>
      </c>
      <c r="GG55" s="55">
        <v>88</v>
      </c>
      <c r="GH55" s="56">
        <v>395</v>
      </c>
      <c r="GI55" s="55">
        <v>92</v>
      </c>
      <c r="GJ55" s="56">
        <v>400</v>
      </c>
      <c r="GK55" s="55">
        <v>111</v>
      </c>
      <c r="GL55" s="56">
        <v>410</v>
      </c>
      <c r="GM55" s="55">
        <v>92</v>
      </c>
      <c r="GN55" s="56">
        <v>410</v>
      </c>
      <c r="GO55" s="55">
        <v>98</v>
      </c>
      <c r="GP55" s="56">
        <v>400</v>
      </c>
      <c r="GQ55" s="55">
        <v>64</v>
      </c>
      <c r="GR55" s="56">
        <v>410</v>
      </c>
      <c r="GS55" s="55">
        <v>100</v>
      </c>
      <c r="GT55" s="56">
        <v>405</v>
      </c>
      <c r="GU55" s="55">
        <v>96</v>
      </c>
      <c r="GV55" s="56">
        <v>410</v>
      </c>
      <c r="GW55" s="55">
        <v>101</v>
      </c>
      <c r="GX55" s="56">
        <v>435</v>
      </c>
      <c r="GY55" s="55">
        <v>91</v>
      </c>
      <c r="GZ55" s="56">
        <v>420</v>
      </c>
      <c r="HA55">
        <v>75</v>
      </c>
      <c r="HB55" s="56">
        <v>450</v>
      </c>
      <c r="HC55">
        <v>94</v>
      </c>
      <c r="HD55" s="56">
        <v>440</v>
      </c>
      <c r="HE55">
        <v>67</v>
      </c>
      <c r="HF55" s="56">
        <v>450</v>
      </c>
    </row>
    <row r="56" spans="1:215" x14ac:dyDescent="0.25">
      <c r="A56" s="57"/>
      <c r="B56" s="57" t="s">
        <v>752</v>
      </c>
      <c r="C56" s="58">
        <v>709</v>
      </c>
      <c r="D56" s="59">
        <v>120</v>
      </c>
      <c r="E56" s="58">
        <v>716</v>
      </c>
      <c r="F56" s="59">
        <v>120</v>
      </c>
      <c r="G56" s="58">
        <v>648</v>
      </c>
      <c r="H56" s="59">
        <v>120</v>
      </c>
      <c r="I56" s="58">
        <v>785</v>
      </c>
      <c r="J56" s="59">
        <v>125</v>
      </c>
      <c r="K56" s="58">
        <v>619</v>
      </c>
      <c r="L56" s="59">
        <v>125</v>
      </c>
      <c r="M56" s="58">
        <v>698</v>
      </c>
      <c r="N56" s="59">
        <v>125</v>
      </c>
      <c r="O56" s="58">
        <v>588</v>
      </c>
      <c r="P56" s="59">
        <v>125</v>
      </c>
      <c r="Q56" s="58">
        <v>640</v>
      </c>
      <c r="R56" s="59">
        <v>130</v>
      </c>
      <c r="S56" s="58">
        <v>568</v>
      </c>
      <c r="T56" s="59">
        <v>125</v>
      </c>
      <c r="U56" s="58">
        <v>576</v>
      </c>
      <c r="V56" s="59">
        <v>130</v>
      </c>
      <c r="W56" s="58">
        <v>554</v>
      </c>
      <c r="X56" s="59">
        <v>130</v>
      </c>
      <c r="Y56" s="58">
        <v>662</v>
      </c>
      <c r="Z56" s="59">
        <v>130</v>
      </c>
      <c r="AA56" s="58">
        <v>587</v>
      </c>
      <c r="AB56" s="59">
        <v>135</v>
      </c>
      <c r="AC56" s="58">
        <v>651</v>
      </c>
      <c r="AD56" s="59">
        <v>140</v>
      </c>
      <c r="AE56" s="58">
        <v>603</v>
      </c>
      <c r="AF56" s="59">
        <v>145</v>
      </c>
      <c r="AG56" s="58">
        <v>661</v>
      </c>
      <c r="AH56" s="59">
        <v>145</v>
      </c>
      <c r="AI56" s="58">
        <v>664</v>
      </c>
      <c r="AJ56" s="59">
        <v>150</v>
      </c>
      <c r="AK56" s="58">
        <v>622</v>
      </c>
      <c r="AL56" s="59">
        <v>150</v>
      </c>
      <c r="AM56" s="58">
        <v>719</v>
      </c>
      <c r="AN56" s="59">
        <v>155</v>
      </c>
      <c r="AO56" s="58">
        <v>702</v>
      </c>
      <c r="AP56" s="59">
        <v>150</v>
      </c>
      <c r="AQ56" s="58">
        <v>612</v>
      </c>
      <c r="AR56" s="59">
        <v>160</v>
      </c>
      <c r="AS56" s="58">
        <v>677</v>
      </c>
      <c r="AT56" s="59">
        <v>160</v>
      </c>
      <c r="AU56" s="58">
        <v>663</v>
      </c>
      <c r="AV56" s="59">
        <v>160</v>
      </c>
      <c r="AW56" s="58">
        <v>675</v>
      </c>
      <c r="AX56" s="59">
        <v>165</v>
      </c>
      <c r="AY56" s="58">
        <v>736</v>
      </c>
      <c r="AZ56" s="59">
        <v>165</v>
      </c>
      <c r="BA56" s="58">
        <v>703</v>
      </c>
      <c r="BB56" s="59">
        <v>165</v>
      </c>
      <c r="BC56" s="58">
        <v>676</v>
      </c>
      <c r="BD56" s="59">
        <v>170</v>
      </c>
      <c r="BE56" s="58">
        <v>736</v>
      </c>
      <c r="BF56" s="59">
        <v>170</v>
      </c>
      <c r="BG56" s="58">
        <v>629</v>
      </c>
      <c r="BH56" s="59">
        <v>170</v>
      </c>
      <c r="BI56" s="58">
        <v>693</v>
      </c>
      <c r="BJ56" s="59">
        <v>175</v>
      </c>
      <c r="BK56" s="58">
        <v>682</v>
      </c>
      <c r="BL56" s="59">
        <v>180</v>
      </c>
      <c r="BM56" s="58">
        <v>785</v>
      </c>
      <c r="BN56" s="59">
        <v>180</v>
      </c>
      <c r="BO56" s="58">
        <v>708</v>
      </c>
      <c r="BP56" s="59">
        <v>180</v>
      </c>
      <c r="BQ56" s="58">
        <v>730</v>
      </c>
      <c r="BR56" s="59">
        <v>185</v>
      </c>
      <c r="BS56" s="58">
        <v>737</v>
      </c>
      <c r="BT56" s="59">
        <v>180</v>
      </c>
      <c r="BU56" s="58">
        <v>723</v>
      </c>
      <c r="BV56" s="59">
        <v>195</v>
      </c>
      <c r="BW56" s="58">
        <v>735</v>
      </c>
      <c r="BX56" s="59">
        <v>200</v>
      </c>
      <c r="BY56" s="58">
        <v>764</v>
      </c>
      <c r="BZ56" s="59">
        <v>200</v>
      </c>
      <c r="CA56" s="58">
        <v>697</v>
      </c>
      <c r="CB56" s="59">
        <v>205</v>
      </c>
      <c r="CC56" s="58">
        <v>833</v>
      </c>
      <c r="CD56" s="59">
        <v>200</v>
      </c>
      <c r="CE56" s="58">
        <v>681</v>
      </c>
      <c r="CF56" s="59">
        <v>210</v>
      </c>
      <c r="CG56" s="58">
        <v>758</v>
      </c>
      <c r="CH56" s="59">
        <v>215</v>
      </c>
      <c r="CI56" s="58">
        <v>823</v>
      </c>
      <c r="CJ56" s="59">
        <v>220</v>
      </c>
      <c r="CK56" s="58">
        <v>808</v>
      </c>
      <c r="CL56" s="59">
        <v>225</v>
      </c>
      <c r="CM56" s="58">
        <v>861</v>
      </c>
      <c r="CN56" s="59">
        <v>240</v>
      </c>
      <c r="CO56" s="58">
        <v>878</v>
      </c>
      <c r="CP56" s="59">
        <v>238</v>
      </c>
      <c r="CQ56" s="58">
        <v>774</v>
      </c>
      <c r="CR56" s="59">
        <v>240</v>
      </c>
      <c r="CS56" s="58">
        <v>854</v>
      </c>
      <c r="CT56" s="59">
        <v>250</v>
      </c>
      <c r="CU56" s="58">
        <v>855</v>
      </c>
      <c r="CV56" s="59">
        <v>250</v>
      </c>
      <c r="CW56" s="58">
        <v>922</v>
      </c>
      <c r="CX56" s="59">
        <v>250</v>
      </c>
      <c r="CY56" s="58">
        <v>830</v>
      </c>
      <c r="CZ56" s="59">
        <v>250</v>
      </c>
      <c r="DA56" s="58">
        <v>936</v>
      </c>
      <c r="DB56" s="59">
        <v>250</v>
      </c>
      <c r="DC56" s="58">
        <v>887</v>
      </c>
      <c r="DD56" s="59">
        <v>250</v>
      </c>
      <c r="DE56" s="58">
        <v>923</v>
      </c>
      <c r="DF56" s="59">
        <v>250</v>
      </c>
      <c r="DG56" s="58">
        <v>883</v>
      </c>
      <c r="DH56" s="59">
        <v>250</v>
      </c>
      <c r="DI56" s="58">
        <v>952</v>
      </c>
      <c r="DJ56" s="59">
        <v>250</v>
      </c>
      <c r="DK56" s="58">
        <v>955</v>
      </c>
      <c r="DL56" s="59">
        <v>250</v>
      </c>
      <c r="DM56" s="58">
        <v>936</v>
      </c>
      <c r="DN56" s="59">
        <v>250</v>
      </c>
      <c r="DO56" s="58">
        <v>888</v>
      </c>
      <c r="DP56" s="59">
        <v>250</v>
      </c>
      <c r="DQ56" s="58">
        <v>932</v>
      </c>
      <c r="DR56" s="59">
        <v>250</v>
      </c>
      <c r="DS56" s="58">
        <v>800</v>
      </c>
      <c r="DT56" s="59">
        <v>260</v>
      </c>
      <c r="DU56" s="58">
        <v>892</v>
      </c>
      <c r="DV56" s="59">
        <v>260</v>
      </c>
      <c r="DW56" s="58">
        <v>890</v>
      </c>
      <c r="DX56" s="59">
        <v>260</v>
      </c>
      <c r="DY56" s="58">
        <v>929</v>
      </c>
      <c r="DZ56" s="59">
        <v>265</v>
      </c>
      <c r="EA56" s="58">
        <v>991</v>
      </c>
      <c r="EB56" s="59">
        <v>270</v>
      </c>
      <c r="EC56" s="58">
        <v>933</v>
      </c>
      <c r="ED56" s="59">
        <v>264</v>
      </c>
      <c r="EE56" s="58">
        <v>877</v>
      </c>
      <c r="EF56" s="59">
        <v>270</v>
      </c>
      <c r="EG56" s="58">
        <v>969</v>
      </c>
      <c r="EH56" s="59">
        <v>270</v>
      </c>
      <c r="EI56" s="58">
        <v>927</v>
      </c>
      <c r="EJ56" s="59">
        <v>270</v>
      </c>
      <c r="EK56" s="58">
        <v>1017</v>
      </c>
      <c r="EL56" s="59">
        <v>270</v>
      </c>
      <c r="EM56" s="58">
        <v>860</v>
      </c>
      <c r="EN56" s="59">
        <v>270</v>
      </c>
      <c r="EO56" s="58">
        <v>1003</v>
      </c>
      <c r="EP56" s="59">
        <v>275</v>
      </c>
      <c r="EQ56" s="58">
        <v>918</v>
      </c>
      <c r="ER56" s="59">
        <v>280</v>
      </c>
      <c r="ES56" s="58">
        <v>896</v>
      </c>
      <c r="ET56" s="59">
        <v>280</v>
      </c>
      <c r="EU56" s="58">
        <v>847</v>
      </c>
      <c r="EV56" s="59">
        <v>280</v>
      </c>
      <c r="EW56" s="58">
        <v>913</v>
      </c>
      <c r="EX56" s="59">
        <v>280</v>
      </c>
      <c r="EY56" s="58">
        <v>839</v>
      </c>
      <c r="EZ56" s="59">
        <v>285</v>
      </c>
      <c r="FA56" s="58">
        <v>867</v>
      </c>
      <c r="FB56" s="59">
        <v>285</v>
      </c>
      <c r="FC56" s="58">
        <v>763</v>
      </c>
      <c r="FD56" s="59">
        <v>290</v>
      </c>
      <c r="FE56" s="58">
        <v>777</v>
      </c>
      <c r="FF56" s="59">
        <v>300</v>
      </c>
      <c r="FG56" s="58">
        <v>749</v>
      </c>
      <c r="FH56" s="59">
        <v>300</v>
      </c>
      <c r="FI56" s="58">
        <v>727</v>
      </c>
      <c r="FJ56" s="59">
        <v>300</v>
      </c>
      <c r="FK56" s="58">
        <v>733</v>
      </c>
      <c r="FL56" s="59">
        <v>300</v>
      </c>
      <c r="FM56" s="58">
        <v>768</v>
      </c>
      <c r="FN56" s="59">
        <v>310</v>
      </c>
      <c r="FO56" s="58">
        <v>737</v>
      </c>
      <c r="FP56" s="59">
        <v>310</v>
      </c>
      <c r="FQ56" s="58">
        <v>658</v>
      </c>
      <c r="FR56" s="59">
        <v>320</v>
      </c>
      <c r="FS56" s="58">
        <v>586</v>
      </c>
      <c r="FT56" s="59">
        <v>333</v>
      </c>
      <c r="FU56" s="58">
        <v>645</v>
      </c>
      <c r="FV56" s="59">
        <v>350</v>
      </c>
      <c r="FW56" s="58">
        <v>661</v>
      </c>
      <c r="FX56" s="59">
        <v>350</v>
      </c>
      <c r="FY56" s="58">
        <v>635</v>
      </c>
      <c r="FZ56" s="59">
        <v>360</v>
      </c>
      <c r="GA56" s="58">
        <v>682</v>
      </c>
      <c r="GB56" s="59">
        <v>370</v>
      </c>
      <c r="GC56" s="58">
        <v>630</v>
      </c>
      <c r="GD56" s="59">
        <v>375</v>
      </c>
      <c r="GE56" s="58">
        <v>654</v>
      </c>
      <c r="GF56" s="59">
        <v>380</v>
      </c>
      <c r="GG56" s="58">
        <v>661</v>
      </c>
      <c r="GH56" s="59">
        <v>395</v>
      </c>
      <c r="GI56" s="58">
        <v>647</v>
      </c>
      <c r="GJ56" s="59">
        <v>400</v>
      </c>
      <c r="GK56" s="58">
        <v>672</v>
      </c>
      <c r="GL56" s="59">
        <v>400</v>
      </c>
      <c r="GM56" s="58">
        <v>678</v>
      </c>
      <c r="GN56" s="59">
        <v>400</v>
      </c>
      <c r="GO56" s="58">
        <v>699</v>
      </c>
      <c r="GP56" s="59">
        <v>400</v>
      </c>
      <c r="GQ56" s="58">
        <v>580</v>
      </c>
      <c r="GR56" s="59">
        <v>420</v>
      </c>
      <c r="GS56" s="58">
        <v>643</v>
      </c>
      <c r="GT56" s="59">
        <v>420</v>
      </c>
      <c r="GU56" s="58">
        <v>658</v>
      </c>
      <c r="GV56" s="59">
        <v>430</v>
      </c>
      <c r="GW56" s="58">
        <v>620</v>
      </c>
      <c r="GX56" s="59">
        <v>433</v>
      </c>
      <c r="GY56" s="58">
        <v>611</v>
      </c>
      <c r="GZ56" s="59">
        <v>450</v>
      </c>
      <c r="HA56" s="6">
        <v>569</v>
      </c>
      <c r="HB56" s="59">
        <v>450</v>
      </c>
      <c r="HC56" s="6">
        <v>598</v>
      </c>
      <c r="HD56" s="59">
        <v>450</v>
      </c>
      <c r="HE56" s="6">
        <v>625</v>
      </c>
      <c r="HF56" s="59">
        <v>450</v>
      </c>
    </row>
    <row r="57" spans="1:215" s="10" customFormat="1" x14ac:dyDescent="0.25">
      <c r="A57" s="53" t="s">
        <v>796</v>
      </c>
      <c r="B57" s="54" t="s">
        <v>797</v>
      </c>
      <c r="C57" s="55">
        <v>169</v>
      </c>
      <c r="D57" s="56">
        <v>190</v>
      </c>
      <c r="E57" s="55">
        <v>157</v>
      </c>
      <c r="F57" s="56">
        <v>190</v>
      </c>
      <c r="G57" s="55">
        <v>206</v>
      </c>
      <c r="H57" s="56">
        <v>190</v>
      </c>
      <c r="I57" s="55">
        <v>217</v>
      </c>
      <c r="J57" s="56">
        <v>200</v>
      </c>
      <c r="K57" s="55">
        <v>203</v>
      </c>
      <c r="L57" s="56">
        <v>195</v>
      </c>
      <c r="M57" s="55">
        <v>202</v>
      </c>
      <c r="N57" s="56">
        <v>200</v>
      </c>
      <c r="O57" s="55">
        <v>173</v>
      </c>
      <c r="P57" s="56">
        <v>200</v>
      </c>
      <c r="Q57" s="55">
        <v>227</v>
      </c>
      <c r="R57" s="56">
        <v>210</v>
      </c>
      <c r="S57" s="55">
        <v>198</v>
      </c>
      <c r="T57" s="56">
        <v>210</v>
      </c>
      <c r="U57" s="55">
        <v>197</v>
      </c>
      <c r="V57" s="56">
        <v>210</v>
      </c>
      <c r="W57" s="55">
        <v>203</v>
      </c>
      <c r="X57" s="56">
        <v>220</v>
      </c>
      <c r="Y57" s="55">
        <v>247</v>
      </c>
      <c r="Z57" s="56">
        <v>225</v>
      </c>
      <c r="AA57" s="55">
        <v>184</v>
      </c>
      <c r="AB57" s="56">
        <v>230</v>
      </c>
      <c r="AC57" s="55">
        <v>219</v>
      </c>
      <c r="AD57" s="56">
        <v>220</v>
      </c>
      <c r="AE57" s="55">
        <v>227</v>
      </c>
      <c r="AF57" s="56">
        <v>220</v>
      </c>
      <c r="AG57" s="55">
        <v>249</v>
      </c>
      <c r="AH57" s="56">
        <v>230</v>
      </c>
      <c r="AI57" s="55">
        <v>204</v>
      </c>
      <c r="AJ57" s="56">
        <v>230</v>
      </c>
      <c r="AK57" s="55">
        <v>205</v>
      </c>
      <c r="AL57" s="56">
        <v>230</v>
      </c>
      <c r="AM57" s="55">
        <v>232</v>
      </c>
      <c r="AN57" s="56">
        <v>235</v>
      </c>
      <c r="AO57" s="55">
        <v>237</v>
      </c>
      <c r="AP57" s="56">
        <v>230</v>
      </c>
      <c r="AQ57" s="55">
        <v>168</v>
      </c>
      <c r="AR57" s="56">
        <v>230</v>
      </c>
      <c r="AS57" s="55">
        <v>191</v>
      </c>
      <c r="AT57" s="56">
        <v>240</v>
      </c>
      <c r="AU57" s="55">
        <v>214</v>
      </c>
      <c r="AV57" s="56">
        <v>240</v>
      </c>
      <c r="AW57" s="55">
        <v>255</v>
      </c>
      <c r="AX57" s="56">
        <v>240</v>
      </c>
      <c r="AY57" s="55">
        <v>198</v>
      </c>
      <c r="AZ57" s="56">
        <v>235</v>
      </c>
      <c r="BA57" s="55">
        <v>197</v>
      </c>
      <c r="BB57" s="56">
        <v>235</v>
      </c>
      <c r="BC57" s="55">
        <v>195</v>
      </c>
      <c r="BD57" s="56">
        <v>250</v>
      </c>
      <c r="BE57" s="55">
        <v>213</v>
      </c>
      <c r="BF57" s="56">
        <v>255</v>
      </c>
      <c r="BG57" s="55">
        <v>193</v>
      </c>
      <c r="BH57" s="56">
        <v>255</v>
      </c>
      <c r="BI57" s="55">
        <v>189</v>
      </c>
      <c r="BJ57" s="56">
        <v>260</v>
      </c>
      <c r="BK57" s="55">
        <v>157</v>
      </c>
      <c r="BL57" s="56">
        <v>260</v>
      </c>
      <c r="BM57" s="55">
        <v>241</v>
      </c>
      <c r="BN57" s="56">
        <v>270</v>
      </c>
      <c r="BO57" s="55">
        <v>171</v>
      </c>
      <c r="BP57" s="56">
        <v>280</v>
      </c>
      <c r="BQ57" s="55">
        <v>172</v>
      </c>
      <c r="BR57" s="56">
        <v>298</v>
      </c>
      <c r="BS57" s="55">
        <v>201</v>
      </c>
      <c r="BT57" s="56">
        <v>305</v>
      </c>
      <c r="BU57" s="55">
        <v>212</v>
      </c>
      <c r="BV57" s="56">
        <v>320</v>
      </c>
      <c r="BW57" s="55">
        <v>219</v>
      </c>
      <c r="BX57" s="56">
        <v>320</v>
      </c>
      <c r="BY57" s="55">
        <v>186</v>
      </c>
      <c r="BZ57" s="56">
        <v>320</v>
      </c>
      <c r="CA57" s="55">
        <v>192</v>
      </c>
      <c r="CB57" s="56">
        <v>330</v>
      </c>
      <c r="CC57" s="55">
        <v>259</v>
      </c>
      <c r="CD57" s="56">
        <v>340</v>
      </c>
      <c r="CE57" s="55">
        <v>209</v>
      </c>
      <c r="CF57" s="56">
        <v>330</v>
      </c>
      <c r="CG57" s="55">
        <v>244</v>
      </c>
      <c r="CH57" s="56">
        <v>330</v>
      </c>
      <c r="CI57" s="55">
        <v>247</v>
      </c>
      <c r="CJ57" s="56">
        <v>340</v>
      </c>
      <c r="CK57" s="55">
        <v>294</v>
      </c>
      <c r="CL57" s="56">
        <v>350</v>
      </c>
      <c r="CM57" s="55">
        <v>231</v>
      </c>
      <c r="CN57" s="56">
        <v>350</v>
      </c>
      <c r="CO57" s="55">
        <v>258</v>
      </c>
      <c r="CP57" s="56">
        <v>350</v>
      </c>
      <c r="CQ57" s="55">
        <v>283</v>
      </c>
      <c r="CR57" s="56">
        <v>360</v>
      </c>
      <c r="CS57" s="55">
        <v>300</v>
      </c>
      <c r="CT57" s="56">
        <v>355</v>
      </c>
      <c r="CU57" s="55">
        <v>240</v>
      </c>
      <c r="CV57" s="56">
        <v>353</v>
      </c>
      <c r="CW57" s="55">
        <v>278</v>
      </c>
      <c r="CX57" s="56">
        <v>355</v>
      </c>
      <c r="CY57" s="55">
        <v>272</v>
      </c>
      <c r="CZ57" s="56">
        <v>360</v>
      </c>
      <c r="DA57" s="55">
        <v>315</v>
      </c>
      <c r="DB57" s="56">
        <v>360</v>
      </c>
      <c r="DC57" s="55">
        <v>208</v>
      </c>
      <c r="DD57" s="56">
        <v>358</v>
      </c>
      <c r="DE57" s="55">
        <v>259</v>
      </c>
      <c r="DF57" s="56">
        <v>360</v>
      </c>
      <c r="DG57" s="55">
        <v>255</v>
      </c>
      <c r="DH57" s="56">
        <v>350</v>
      </c>
      <c r="DI57" s="55">
        <v>298</v>
      </c>
      <c r="DJ57" s="56">
        <v>370</v>
      </c>
      <c r="DK57" s="55">
        <v>256</v>
      </c>
      <c r="DL57" s="56">
        <v>370</v>
      </c>
      <c r="DM57" s="55">
        <v>272</v>
      </c>
      <c r="DN57" s="56">
        <v>368</v>
      </c>
      <c r="DO57" s="55">
        <v>280</v>
      </c>
      <c r="DP57" s="56">
        <v>370</v>
      </c>
      <c r="DQ57" s="55">
        <v>307</v>
      </c>
      <c r="DR57" s="56">
        <v>380</v>
      </c>
      <c r="DS57" s="55">
        <v>205</v>
      </c>
      <c r="DT57" s="56">
        <v>370</v>
      </c>
      <c r="DU57" s="55">
        <v>292</v>
      </c>
      <c r="DV57" s="56">
        <v>380</v>
      </c>
      <c r="DW57" s="55">
        <v>276</v>
      </c>
      <c r="DX57" s="56">
        <v>380</v>
      </c>
      <c r="DY57" s="55">
        <v>327</v>
      </c>
      <c r="DZ57" s="56">
        <v>380</v>
      </c>
      <c r="EA57" s="55">
        <v>260</v>
      </c>
      <c r="EB57" s="56">
        <v>395</v>
      </c>
      <c r="EC57" s="55">
        <v>264</v>
      </c>
      <c r="ED57" s="56">
        <v>390</v>
      </c>
      <c r="EE57" s="55">
        <v>295</v>
      </c>
      <c r="EF57" s="56">
        <v>390</v>
      </c>
      <c r="EG57" s="55">
        <v>334</v>
      </c>
      <c r="EH57" s="56">
        <v>400</v>
      </c>
      <c r="EI57" s="55">
        <v>274</v>
      </c>
      <c r="EJ57" s="56">
        <v>400</v>
      </c>
      <c r="EK57" s="55">
        <v>329</v>
      </c>
      <c r="EL57" s="56">
        <v>400</v>
      </c>
      <c r="EM57" s="55">
        <v>269</v>
      </c>
      <c r="EN57" s="56">
        <v>400</v>
      </c>
      <c r="EO57" s="55">
        <v>364</v>
      </c>
      <c r="EP57" s="56">
        <v>420</v>
      </c>
      <c r="EQ57" s="55">
        <v>273</v>
      </c>
      <c r="ER57" s="56">
        <v>420</v>
      </c>
      <c r="ES57" s="55">
        <v>319</v>
      </c>
      <c r="ET57" s="56">
        <v>420</v>
      </c>
      <c r="EU57" s="55">
        <v>300</v>
      </c>
      <c r="EV57" s="56">
        <v>438</v>
      </c>
      <c r="EW57" s="55">
        <v>341</v>
      </c>
      <c r="EX57" s="56">
        <v>440</v>
      </c>
      <c r="EY57" s="55">
        <v>250</v>
      </c>
      <c r="EZ57" s="56">
        <v>420</v>
      </c>
      <c r="FA57" s="55">
        <v>321</v>
      </c>
      <c r="FB57" s="56">
        <v>430</v>
      </c>
      <c r="FC57" s="55">
        <v>292</v>
      </c>
      <c r="FD57" s="56">
        <v>440</v>
      </c>
      <c r="FE57" s="55">
        <v>352</v>
      </c>
      <c r="FF57" s="56">
        <v>430</v>
      </c>
      <c r="FG57" s="55">
        <v>285</v>
      </c>
      <c r="FH57" s="56">
        <v>445</v>
      </c>
      <c r="FI57" s="55">
        <v>274</v>
      </c>
      <c r="FJ57" s="56">
        <v>440</v>
      </c>
      <c r="FK57" s="55">
        <v>266</v>
      </c>
      <c r="FL57" s="56">
        <v>433</v>
      </c>
      <c r="FM57" s="55">
        <v>297</v>
      </c>
      <c r="FN57" s="56">
        <v>450</v>
      </c>
      <c r="FO57" s="55">
        <v>237</v>
      </c>
      <c r="FP57" s="56">
        <v>440</v>
      </c>
      <c r="FQ57" s="55">
        <v>234</v>
      </c>
      <c r="FR57" s="56">
        <v>450</v>
      </c>
      <c r="FS57" s="55">
        <v>246</v>
      </c>
      <c r="FT57" s="56">
        <v>448</v>
      </c>
      <c r="FU57" s="55">
        <v>304</v>
      </c>
      <c r="FV57" s="56">
        <v>440</v>
      </c>
      <c r="FW57" s="55">
        <v>258</v>
      </c>
      <c r="FX57" s="56">
        <v>458</v>
      </c>
      <c r="FY57" s="55">
        <v>228</v>
      </c>
      <c r="FZ57" s="56">
        <v>460</v>
      </c>
      <c r="GA57" s="55">
        <v>263</v>
      </c>
      <c r="GB57" s="56">
        <v>460</v>
      </c>
      <c r="GC57" s="55">
        <v>334</v>
      </c>
      <c r="GD57" s="56">
        <v>470</v>
      </c>
      <c r="GE57" s="55">
        <v>313</v>
      </c>
      <c r="GF57" s="56">
        <v>450</v>
      </c>
      <c r="GG57" s="55">
        <v>301</v>
      </c>
      <c r="GH57" s="56">
        <v>470</v>
      </c>
      <c r="GI57" s="55">
        <v>263</v>
      </c>
      <c r="GJ57" s="56">
        <v>480</v>
      </c>
      <c r="GK57" s="55">
        <v>290</v>
      </c>
      <c r="GL57" s="56">
        <v>480</v>
      </c>
      <c r="GM57" s="55">
        <v>231</v>
      </c>
      <c r="GN57" s="56">
        <v>500</v>
      </c>
      <c r="GO57" s="55">
        <v>268</v>
      </c>
      <c r="GP57" s="56">
        <v>550</v>
      </c>
      <c r="GQ57" s="55">
        <v>186</v>
      </c>
      <c r="GR57" s="56">
        <v>565</v>
      </c>
      <c r="GS57" s="55">
        <v>205</v>
      </c>
      <c r="GT57" s="56">
        <v>560</v>
      </c>
      <c r="GU57" s="55">
        <v>214</v>
      </c>
      <c r="GV57" s="56">
        <v>590</v>
      </c>
      <c r="GW57" s="55">
        <v>195</v>
      </c>
      <c r="GX57" s="56">
        <v>590</v>
      </c>
      <c r="GY57" s="55">
        <v>215</v>
      </c>
      <c r="GZ57" s="56">
        <v>600</v>
      </c>
      <c r="HA57" s="7">
        <v>223</v>
      </c>
      <c r="HB57" s="56">
        <v>600</v>
      </c>
      <c r="HC57" s="7">
        <v>221</v>
      </c>
      <c r="HD57" s="56">
        <v>600</v>
      </c>
      <c r="HE57" s="7">
        <v>213</v>
      </c>
      <c r="HF57" s="56">
        <v>600</v>
      </c>
    </row>
    <row r="58" spans="1:215" x14ac:dyDescent="0.25">
      <c r="A58" s="53"/>
      <c r="B58" s="54" t="s">
        <v>798</v>
      </c>
      <c r="C58" s="55">
        <v>230</v>
      </c>
      <c r="D58" s="56">
        <v>160</v>
      </c>
      <c r="E58" s="55">
        <v>254</v>
      </c>
      <c r="F58" s="56">
        <v>160</v>
      </c>
      <c r="G58" s="55">
        <v>248</v>
      </c>
      <c r="H58" s="56">
        <v>165</v>
      </c>
      <c r="I58" s="55">
        <v>330</v>
      </c>
      <c r="J58" s="56">
        <v>160</v>
      </c>
      <c r="K58" s="55">
        <v>313</v>
      </c>
      <c r="L58" s="56">
        <v>165</v>
      </c>
      <c r="M58" s="55">
        <v>287</v>
      </c>
      <c r="N58" s="56">
        <v>170</v>
      </c>
      <c r="O58" s="55">
        <v>321</v>
      </c>
      <c r="P58" s="56">
        <v>170</v>
      </c>
      <c r="Q58" s="55">
        <v>270</v>
      </c>
      <c r="R58" s="56">
        <v>170</v>
      </c>
      <c r="S58" s="55">
        <v>267</v>
      </c>
      <c r="T58" s="56">
        <v>175</v>
      </c>
      <c r="U58" s="55">
        <v>299</v>
      </c>
      <c r="V58" s="56">
        <v>175</v>
      </c>
      <c r="W58" s="55">
        <v>330</v>
      </c>
      <c r="X58" s="56">
        <v>175</v>
      </c>
      <c r="Y58" s="55">
        <v>323</v>
      </c>
      <c r="Z58" s="56">
        <v>180</v>
      </c>
      <c r="AA58" s="55">
        <v>309</v>
      </c>
      <c r="AB58" s="56">
        <v>180</v>
      </c>
      <c r="AC58" s="55">
        <v>353</v>
      </c>
      <c r="AD58" s="56">
        <v>180</v>
      </c>
      <c r="AE58" s="55">
        <v>320</v>
      </c>
      <c r="AF58" s="56">
        <v>180</v>
      </c>
      <c r="AG58" s="55">
        <v>331</v>
      </c>
      <c r="AH58" s="56">
        <v>184</v>
      </c>
      <c r="AI58" s="55">
        <v>356</v>
      </c>
      <c r="AJ58" s="56">
        <v>180</v>
      </c>
      <c r="AK58" s="55">
        <v>370</v>
      </c>
      <c r="AL58" s="56">
        <v>180</v>
      </c>
      <c r="AM58" s="55">
        <v>364</v>
      </c>
      <c r="AN58" s="56">
        <v>180</v>
      </c>
      <c r="AO58" s="55">
        <v>374</v>
      </c>
      <c r="AP58" s="56">
        <v>180</v>
      </c>
      <c r="AQ58" s="55">
        <v>252</v>
      </c>
      <c r="AR58" s="56">
        <v>184</v>
      </c>
      <c r="AS58" s="55">
        <v>422</v>
      </c>
      <c r="AT58" s="56">
        <v>185</v>
      </c>
      <c r="AU58" s="55">
        <v>367</v>
      </c>
      <c r="AV58" s="56">
        <v>190</v>
      </c>
      <c r="AW58" s="55">
        <v>390</v>
      </c>
      <c r="AX58" s="56">
        <v>185</v>
      </c>
      <c r="AY58" s="55">
        <v>354</v>
      </c>
      <c r="AZ58" s="56">
        <v>190</v>
      </c>
      <c r="BA58" s="55">
        <v>342</v>
      </c>
      <c r="BB58" s="56">
        <v>188</v>
      </c>
      <c r="BC58" s="55">
        <v>350</v>
      </c>
      <c r="BD58" s="56">
        <v>190</v>
      </c>
      <c r="BE58" s="55">
        <v>356</v>
      </c>
      <c r="BF58" s="56">
        <v>190</v>
      </c>
      <c r="BG58" s="55">
        <v>335</v>
      </c>
      <c r="BH58" s="56">
        <v>200</v>
      </c>
      <c r="BI58" s="55">
        <v>340</v>
      </c>
      <c r="BJ58" s="56">
        <v>200</v>
      </c>
      <c r="BK58" s="55">
        <v>313</v>
      </c>
      <c r="BL58" s="56">
        <v>200</v>
      </c>
      <c r="BM58" s="55">
        <v>338</v>
      </c>
      <c r="BN58" s="56">
        <v>210</v>
      </c>
      <c r="BO58" s="55">
        <v>357</v>
      </c>
      <c r="BP58" s="56">
        <v>220</v>
      </c>
      <c r="BQ58" s="55">
        <v>368</v>
      </c>
      <c r="BR58" s="56">
        <v>225</v>
      </c>
      <c r="BS58" s="55">
        <v>335</v>
      </c>
      <c r="BT58" s="56">
        <v>234</v>
      </c>
      <c r="BU58" s="55">
        <v>387</v>
      </c>
      <c r="BV58" s="56">
        <v>240</v>
      </c>
      <c r="BW58" s="55">
        <v>428</v>
      </c>
      <c r="BX58" s="56">
        <v>250</v>
      </c>
      <c r="BY58" s="55">
        <v>404</v>
      </c>
      <c r="BZ58" s="56">
        <v>265</v>
      </c>
      <c r="CA58" s="55">
        <v>409</v>
      </c>
      <c r="CB58" s="56">
        <v>280</v>
      </c>
      <c r="CC58" s="55">
        <v>408</v>
      </c>
      <c r="CD58" s="56">
        <v>280</v>
      </c>
      <c r="CE58" s="55">
        <v>396</v>
      </c>
      <c r="CF58" s="56">
        <v>280</v>
      </c>
      <c r="CG58" s="55">
        <v>467</v>
      </c>
      <c r="CH58" s="56">
        <v>285</v>
      </c>
      <c r="CI58" s="55">
        <v>508</v>
      </c>
      <c r="CJ58" s="56">
        <v>290</v>
      </c>
      <c r="CK58" s="55">
        <v>506</v>
      </c>
      <c r="CL58" s="56">
        <v>290</v>
      </c>
      <c r="CM58" s="55">
        <v>532</v>
      </c>
      <c r="CN58" s="56">
        <v>300</v>
      </c>
      <c r="CO58" s="55">
        <v>543</v>
      </c>
      <c r="CP58" s="56">
        <v>300</v>
      </c>
      <c r="CQ58" s="55">
        <v>535</v>
      </c>
      <c r="CR58" s="56">
        <v>300</v>
      </c>
      <c r="CS58" s="55">
        <v>574</v>
      </c>
      <c r="CT58" s="56">
        <v>300</v>
      </c>
      <c r="CU58" s="55">
        <v>507</v>
      </c>
      <c r="CV58" s="56">
        <v>300</v>
      </c>
      <c r="CW58" s="55">
        <v>561</v>
      </c>
      <c r="CX58" s="56">
        <v>300</v>
      </c>
      <c r="CY58" s="55">
        <v>517</v>
      </c>
      <c r="CZ58" s="56">
        <v>300</v>
      </c>
      <c r="DA58" s="55">
        <v>582</v>
      </c>
      <c r="DB58" s="56">
        <v>300</v>
      </c>
      <c r="DC58" s="55">
        <v>564</v>
      </c>
      <c r="DD58" s="56">
        <v>300</v>
      </c>
      <c r="DE58" s="55">
        <v>568</v>
      </c>
      <c r="DF58" s="56">
        <v>300</v>
      </c>
      <c r="DG58" s="55">
        <v>574</v>
      </c>
      <c r="DH58" s="56">
        <v>300</v>
      </c>
      <c r="DI58" s="55">
        <v>538</v>
      </c>
      <c r="DJ58" s="56">
        <v>300</v>
      </c>
      <c r="DK58" s="55">
        <v>584</v>
      </c>
      <c r="DL58" s="56">
        <v>300</v>
      </c>
      <c r="DM58" s="55">
        <v>550</v>
      </c>
      <c r="DN58" s="56">
        <v>310</v>
      </c>
      <c r="DO58" s="55">
        <v>531</v>
      </c>
      <c r="DP58" s="56">
        <v>310</v>
      </c>
      <c r="DQ58" s="55">
        <v>543</v>
      </c>
      <c r="DR58" s="56">
        <v>320</v>
      </c>
      <c r="DS58" s="55">
        <v>526</v>
      </c>
      <c r="DT58" s="56">
        <v>315</v>
      </c>
      <c r="DU58" s="55">
        <v>573</v>
      </c>
      <c r="DV58" s="56">
        <v>320</v>
      </c>
      <c r="DW58" s="55">
        <v>560</v>
      </c>
      <c r="DX58" s="56">
        <v>321</v>
      </c>
      <c r="DY58" s="55">
        <v>544</v>
      </c>
      <c r="DZ58" s="56">
        <v>320</v>
      </c>
      <c r="EA58" s="55">
        <v>576</v>
      </c>
      <c r="EB58" s="56">
        <v>330</v>
      </c>
      <c r="EC58" s="55">
        <v>518</v>
      </c>
      <c r="ED58" s="56">
        <v>330</v>
      </c>
      <c r="EE58" s="55">
        <v>596</v>
      </c>
      <c r="EF58" s="56">
        <v>330</v>
      </c>
      <c r="EG58" s="55">
        <v>562</v>
      </c>
      <c r="EH58" s="56">
        <v>330</v>
      </c>
      <c r="EI58" s="55">
        <v>594</v>
      </c>
      <c r="EJ58" s="56">
        <v>335</v>
      </c>
      <c r="EK58" s="55">
        <v>611</v>
      </c>
      <c r="EL58" s="56">
        <v>345</v>
      </c>
      <c r="EM58" s="55">
        <v>525</v>
      </c>
      <c r="EN58" s="56">
        <v>340</v>
      </c>
      <c r="EO58" s="55">
        <v>598</v>
      </c>
      <c r="EP58" s="56">
        <v>350</v>
      </c>
      <c r="EQ58" s="55">
        <v>587</v>
      </c>
      <c r="ER58" s="56">
        <v>350</v>
      </c>
      <c r="ES58" s="55">
        <v>578</v>
      </c>
      <c r="ET58" s="56">
        <v>350</v>
      </c>
      <c r="EU58" s="55">
        <v>524</v>
      </c>
      <c r="EV58" s="56">
        <v>350</v>
      </c>
      <c r="EW58" s="55">
        <v>568</v>
      </c>
      <c r="EX58" s="56">
        <v>350</v>
      </c>
      <c r="EY58" s="55">
        <v>512</v>
      </c>
      <c r="EZ58" s="56">
        <v>360</v>
      </c>
      <c r="FA58" s="55">
        <v>509</v>
      </c>
      <c r="FB58" s="56">
        <v>370</v>
      </c>
      <c r="FC58" s="55">
        <v>472</v>
      </c>
      <c r="FD58" s="56">
        <v>370</v>
      </c>
      <c r="FE58" s="55">
        <v>529</v>
      </c>
      <c r="FF58" s="56">
        <v>365</v>
      </c>
      <c r="FG58" s="55">
        <v>506</v>
      </c>
      <c r="FH58" s="56">
        <v>370</v>
      </c>
      <c r="FI58" s="55">
        <v>522</v>
      </c>
      <c r="FJ58" s="56">
        <v>370</v>
      </c>
      <c r="FK58" s="55">
        <v>460</v>
      </c>
      <c r="FL58" s="56">
        <v>370</v>
      </c>
      <c r="FM58" s="55">
        <v>485</v>
      </c>
      <c r="FN58" s="56">
        <v>370</v>
      </c>
      <c r="FO58" s="55">
        <v>424</v>
      </c>
      <c r="FP58" s="56">
        <v>370</v>
      </c>
      <c r="FQ58" s="55">
        <v>350</v>
      </c>
      <c r="FR58" s="56">
        <v>370</v>
      </c>
      <c r="FS58" s="55">
        <v>391</v>
      </c>
      <c r="FT58" s="56">
        <v>370</v>
      </c>
      <c r="FU58" s="55">
        <v>449</v>
      </c>
      <c r="FV58" s="56">
        <v>370</v>
      </c>
      <c r="FW58" s="55">
        <v>452</v>
      </c>
      <c r="FX58" s="56">
        <v>360</v>
      </c>
      <c r="FY58" s="55">
        <v>439</v>
      </c>
      <c r="FZ58" s="56">
        <v>370</v>
      </c>
      <c r="GA58" s="55">
        <v>541</v>
      </c>
      <c r="GB58" s="56">
        <v>370</v>
      </c>
      <c r="GC58" s="55">
        <v>538</v>
      </c>
      <c r="GD58" s="56">
        <v>370</v>
      </c>
      <c r="GE58" s="55">
        <v>530</v>
      </c>
      <c r="GF58" s="56">
        <v>380</v>
      </c>
      <c r="GG58" s="55">
        <v>509</v>
      </c>
      <c r="GH58" s="56">
        <v>380</v>
      </c>
      <c r="GI58" s="55">
        <v>450</v>
      </c>
      <c r="GJ58" s="56">
        <v>380</v>
      </c>
      <c r="GK58" s="55">
        <v>477</v>
      </c>
      <c r="GL58" s="56">
        <v>400</v>
      </c>
      <c r="GM58" s="55">
        <v>469</v>
      </c>
      <c r="GN58" s="56">
        <v>420</v>
      </c>
      <c r="GO58" s="55">
        <v>408</v>
      </c>
      <c r="GP58" s="56">
        <v>430</v>
      </c>
      <c r="GQ58" s="55">
        <v>387</v>
      </c>
      <c r="GR58" s="56">
        <v>440</v>
      </c>
      <c r="GS58" s="55">
        <v>355</v>
      </c>
      <c r="GT58" s="56">
        <v>460</v>
      </c>
      <c r="GU58" s="55">
        <v>384</v>
      </c>
      <c r="GV58" s="56">
        <v>480</v>
      </c>
      <c r="GW58" s="55">
        <v>406</v>
      </c>
      <c r="GX58" s="56">
        <v>490</v>
      </c>
      <c r="GY58" s="55">
        <v>366</v>
      </c>
      <c r="GZ58" s="56">
        <v>480</v>
      </c>
      <c r="HA58">
        <v>433</v>
      </c>
      <c r="HB58" s="56">
        <v>480</v>
      </c>
      <c r="HC58">
        <v>412</v>
      </c>
      <c r="HD58" s="56">
        <v>500</v>
      </c>
      <c r="HE58">
        <v>419</v>
      </c>
      <c r="HF58" s="56">
        <v>500</v>
      </c>
    </row>
    <row r="59" spans="1:215" x14ac:dyDescent="0.25">
      <c r="A59" s="53"/>
      <c r="B59" s="54" t="s">
        <v>799</v>
      </c>
      <c r="C59" s="55">
        <v>269</v>
      </c>
      <c r="D59" s="56">
        <v>180</v>
      </c>
      <c r="E59" s="55">
        <v>289</v>
      </c>
      <c r="F59" s="56">
        <v>180</v>
      </c>
      <c r="G59" s="55">
        <v>314</v>
      </c>
      <c r="H59" s="56">
        <v>190</v>
      </c>
      <c r="I59" s="55">
        <v>386</v>
      </c>
      <c r="J59" s="56">
        <v>200</v>
      </c>
      <c r="K59" s="55">
        <v>287</v>
      </c>
      <c r="L59" s="56">
        <v>195</v>
      </c>
      <c r="M59" s="55">
        <v>340</v>
      </c>
      <c r="N59" s="56">
        <v>195</v>
      </c>
      <c r="O59" s="55">
        <v>301</v>
      </c>
      <c r="P59" s="56">
        <v>200</v>
      </c>
      <c r="Q59" s="55">
        <v>320</v>
      </c>
      <c r="R59" s="56">
        <v>210</v>
      </c>
      <c r="S59" s="55">
        <v>289</v>
      </c>
      <c r="T59" s="56">
        <v>210</v>
      </c>
      <c r="U59" s="55">
        <v>281</v>
      </c>
      <c r="V59" s="56">
        <v>210</v>
      </c>
      <c r="W59" s="55">
        <v>286</v>
      </c>
      <c r="X59" s="56">
        <v>220</v>
      </c>
      <c r="Y59" s="55">
        <v>345</v>
      </c>
      <c r="Z59" s="56">
        <v>220</v>
      </c>
      <c r="AA59" s="55">
        <v>273</v>
      </c>
      <c r="AB59" s="56">
        <v>220</v>
      </c>
      <c r="AC59" s="55">
        <v>302</v>
      </c>
      <c r="AD59" s="56">
        <v>210</v>
      </c>
      <c r="AE59" s="55">
        <v>274</v>
      </c>
      <c r="AF59" s="56">
        <v>220</v>
      </c>
      <c r="AG59" s="55">
        <v>381</v>
      </c>
      <c r="AH59" s="56">
        <v>220</v>
      </c>
      <c r="AI59" s="55">
        <v>268</v>
      </c>
      <c r="AJ59" s="56">
        <v>215</v>
      </c>
      <c r="AK59" s="55">
        <v>319</v>
      </c>
      <c r="AL59" s="56">
        <v>230</v>
      </c>
      <c r="AM59" s="55">
        <v>269</v>
      </c>
      <c r="AN59" s="56">
        <v>220</v>
      </c>
      <c r="AO59" s="55">
        <v>384</v>
      </c>
      <c r="AP59" s="56">
        <v>235</v>
      </c>
      <c r="AQ59" s="55">
        <v>220</v>
      </c>
      <c r="AR59" s="56">
        <v>225</v>
      </c>
      <c r="AS59" s="55">
        <v>268</v>
      </c>
      <c r="AT59" s="56">
        <v>220</v>
      </c>
      <c r="AU59" s="55">
        <v>289</v>
      </c>
      <c r="AV59" s="56">
        <v>240</v>
      </c>
      <c r="AW59" s="55">
        <v>295</v>
      </c>
      <c r="AX59" s="56">
        <v>240</v>
      </c>
      <c r="AY59" s="55">
        <v>254</v>
      </c>
      <c r="AZ59" s="56">
        <v>235</v>
      </c>
      <c r="BA59" s="55">
        <v>244</v>
      </c>
      <c r="BB59" s="56">
        <v>240</v>
      </c>
      <c r="BC59" s="55">
        <v>227</v>
      </c>
      <c r="BD59" s="56">
        <v>235</v>
      </c>
      <c r="BE59" s="55">
        <v>282</v>
      </c>
      <c r="BF59" s="56">
        <v>250</v>
      </c>
      <c r="BG59" s="55">
        <v>239</v>
      </c>
      <c r="BH59" s="56">
        <v>250</v>
      </c>
      <c r="BI59" s="55">
        <v>230</v>
      </c>
      <c r="BJ59" s="56">
        <v>250</v>
      </c>
      <c r="BK59" s="55">
        <v>211</v>
      </c>
      <c r="BL59" s="56">
        <v>270</v>
      </c>
      <c r="BM59" s="55">
        <v>269</v>
      </c>
      <c r="BN59" s="56">
        <v>280</v>
      </c>
      <c r="BO59" s="55">
        <v>188</v>
      </c>
      <c r="BP59" s="56">
        <v>280</v>
      </c>
      <c r="BQ59" s="55">
        <v>243</v>
      </c>
      <c r="BR59" s="56">
        <v>300</v>
      </c>
      <c r="BS59" s="55">
        <v>204</v>
      </c>
      <c r="BT59" s="56">
        <v>290</v>
      </c>
      <c r="BU59" s="55">
        <v>253</v>
      </c>
      <c r="BV59" s="56">
        <v>300</v>
      </c>
      <c r="BW59" s="55">
        <v>181</v>
      </c>
      <c r="BX59" s="56">
        <v>325</v>
      </c>
      <c r="BY59" s="55">
        <v>244</v>
      </c>
      <c r="BZ59" s="56">
        <v>350</v>
      </c>
      <c r="CA59" s="55">
        <v>241</v>
      </c>
      <c r="CB59" s="56">
        <v>350</v>
      </c>
      <c r="CC59" s="55">
        <v>238</v>
      </c>
      <c r="CD59" s="56">
        <v>360</v>
      </c>
      <c r="CE59" s="55">
        <v>206</v>
      </c>
      <c r="CF59" s="56">
        <v>350</v>
      </c>
      <c r="CG59" s="55">
        <v>225</v>
      </c>
      <c r="CH59" s="56">
        <v>350</v>
      </c>
      <c r="CI59" s="55">
        <v>264</v>
      </c>
      <c r="CJ59" s="56">
        <v>350</v>
      </c>
      <c r="CK59" s="55">
        <v>300</v>
      </c>
      <c r="CL59" s="56">
        <v>360</v>
      </c>
      <c r="CM59" s="55">
        <v>223</v>
      </c>
      <c r="CN59" s="56">
        <v>360</v>
      </c>
      <c r="CO59" s="55">
        <v>253</v>
      </c>
      <c r="CP59" s="56">
        <v>375</v>
      </c>
      <c r="CQ59" s="55">
        <v>270</v>
      </c>
      <c r="CR59" s="56">
        <v>370</v>
      </c>
      <c r="CS59" s="55">
        <v>258</v>
      </c>
      <c r="CT59" s="56">
        <v>370</v>
      </c>
      <c r="CU59" s="55">
        <v>254</v>
      </c>
      <c r="CV59" s="56">
        <v>363</v>
      </c>
      <c r="CW59" s="55">
        <v>262</v>
      </c>
      <c r="CX59" s="56">
        <v>400</v>
      </c>
      <c r="CY59" s="55">
        <v>273</v>
      </c>
      <c r="CZ59" s="56">
        <v>390</v>
      </c>
      <c r="DA59" s="55">
        <v>312</v>
      </c>
      <c r="DB59" s="56">
        <v>400</v>
      </c>
      <c r="DC59" s="55">
        <v>239</v>
      </c>
      <c r="DD59" s="56">
        <v>370</v>
      </c>
      <c r="DE59" s="55">
        <v>291</v>
      </c>
      <c r="DF59" s="56">
        <v>370</v>
      </c>
      <c r="DG59" s="55">
        <v>269</v>
      </c>
      <c r="DH59" s="56">
        <v>380</v>
      </c>
      <c r="DI59" s="55">
        <v>341</v>
      </c>
      <c r="DJ59" s="56">
        <v>395</v>
      </c>
      <c r="DK59" s="55">
        <v>264</v>
      </c>
      <c r="DL59" s="56">
        <v>388</v>
      </c>
      <c r="DM59" s="55">
        <v>249</v>
      </c>
      <c r="DN59" s="56">
        <v>380</v>
      </c>
      <c r="DO59" s="55">
        <v>267</v>
      </c>
      <c r="DP59" s="56">
        <v>420</v>
      </c>
      <c r="DQ59" s="55">
        <v>295</v>
      </c>
      <c r="DR59" s="56">
        <v>400</v>
      </c>
      <c r="DS59" s="55">
        <v>274</v>
      </c>
      <c r="DT59" s="56">
        <v>410</v>
      </c>
      <c r="DU59" s="55">
        <v>277</v>
      </c>
      <c r="DV59" s="56">
        <v>415</v>
      </c>
      <c r="DW59" s="55">
        <v>323</v>
      </c>
      <c r="DX59" s="56">
        <v>430</v>
      </c>
      <c r="DY59" s="55">
        <v>310</v>
      </c>
      <c r="DZ59" s="56">
        <v>413</v>
      </c>
      <c r="EA59" s="55">
        <v>275</v>
      </c>
      <c r="EB59" s="56">
        <v>410</v>
      </c>
      <c r="EC59" s="55">
        <v>306</v>
      </c>
      <c r="ED59" s="56">
        <v>420</v>
      </c>
      <c r="EE59" s="55">
        <v>323</v>
      </c>
      <c r="EF59" s="56">
        <v>435</v>
      </c>
      <c r="EG59" s="55">
        <v>354</v>
      </c>
      <c r="EH59" s="56">
        <v>450</v>
      </c>
      <c r="EI59" s="55">
        <v>330</v>
      </c>
      <c r="EJ59" s="56">
        <v>450</v>
      </c>
      <c r="EK59" s="55">
        <v>309</v>
      </c>
      <c r="EL59" s="56">
        <v>420</v>
      </c>
      <c r="EM59" s="55">
        <v>307</v>
      </c>
      <c r="EN59" s="56">
        <v>440</v>
      </c>
      <c r="EO59" s="55">
        <v>339</v>
      </c>
      <c r="EP59" s="56">
        <v>455</v>
      </c>
      <c r="EQ59" s="55">
        <v>268</v>
      </c>
      <c r="ER59" s="56">
        <v>450</v>
      </c>
      <c r="ES59" s="55">
        <v>320</v>
      </c>
      <c r="ET59" s="56">
        <v>460</v>
      </c>
      <c r="EU59" s="55">
        <v>278</v>
      </c>
      <c r="EV59" s="56">
        <v>480</v>
      </c>
      <c r="EW59" s="55">
        <v>378</v>
      </c>
      <c r="EX59" s="56">
        <v>480</v>
      </c>
      <c r="EY59" s="55">
        <v>287</v>
      </c>
      <c r="EZ59" s="56">
        <v>480</v>
      </c>
      <c r="FA59" s="55">
        <v>322</v>
      </c>
      <c r="FB59" s="56">
        <v>500</v>
      </c>
      <c r="FC59" s="55">
        <v>298</v>
      </c>
      <c r="FD59" s="56">
        <v>480</v>
      </c>
      <c r="FE59" s="55">
        <v>326</v>
      </c>
      <c r="FF59" s="56">
        <v>495</v>
      </c>
      <c r="FG59" s="55">
        <v>276</v>
      </c>
      <c r="FH59" s="56">
        <v>510</v>
      </c>
      <c r="FI59" s="55">
        <v>275</v>
      </c>
      <c r="FJ59" s="56">
        <v>460</v>
      </c>
      <c r="FK59" s="55">
        <v>267</v>
      </c>
      <c r="FL59" s="56">
        <v>485</v>
      </c>
      <c r="FM59" s="55">
        <v>296</v>
      </c>
      <c r="FN59" s="56">
        <v>540</v>
      </c>
      <c r="FO59" s="55">
        <v>243</v>
      </c>
      <c r="FP59" s="56">
        <v>500</v>
      </c>
      <c r="FQ59" s="55">
        <v>226</v>
      </c>
      <c r="FR59" s="56">
        <v>508</v>
      </c>
      <c r="FS59" s="55">
        <v>305</v>
      </c>
      <c r="FT59" s="56">
        <v>520</v>
      </c>
      <c r="FU59" s="55">
        <v>357</v>
      </c>
      <c r="FV59" s="56">
        <v>510</v>
      </c>
      <c r="FW59" s="55">
        <v>250</v>
      </c>
      <c r="FX59" s="56">
        <v>500</v>
      </c>
      <c r="FY59" s="55">
        <v>262</v>
      </c>
      <c r="FZ59" s="56">
        <v>520</v>
      </c>
      <c r="GA59" s="55">
        <v>306</v>
      </c>
      <c r="GB59" s="56">
        <v>500</v>
      </c>
      <c r="GC59" s="55">
        <v>331</v>
      </c>
      <c r="GD59" s="56">
        <v>520</v>
      </c>
      <c r="GE59" s="55">
        <v>276</v>
      </c>
      <c r="GF59" s="56">
        <v>500</v>
      </c>
      <c r="GG59" s="55">
        <v>293</v>
      </c>
      <c r="GH59" s="56">
        <v>540</v>
      </c>
      <c r="GI59" s="55">
        <v>284</v>
      </c>
      <c r="GJ59" s="56">
        <v>535</v>
      </c>
      <c r="GK59" s="55">
        <v>297</v>
      </c>
      <c r="GL59" s="56">
        <v>560</v>
      </c>
      <c r="GM59" s="55">
        <v>270</v>
      </c>
      <c r="GN59" s="56">
        <v>560</v>
      </c>
      <c r="GO59" s="55">
        <v>210</v>
      </c>
      <c r="GP59" s="56">
        <v>650</v>
      </c>
      <c r="GQ59" s="55">
        <v>201</v>
      </c>
      <c r="GR59" s="56">
        <v>620</v>
      </c>
      <c r="GS59" s="55">
        <v>194</v>
      </c>
      <c r="GT59" s="56">
        <v>650</v>
      </c>
      <c r="GU59" s="55">
        <v>202</v>
      </c>
      <c r="GV59" s="56">
        <v>650</v>
      </c>
      <c r="GW59" s="55">
        <v>193</v>
      </c>
      <c r="GX59" s="56">
        <v>640</v>
      </c>
      <c r="GY59" s="55">
        <v>234</v>
      </c>
      <c r="GZ59" s="56">
        <v>655</v>
      </c>
      <c r="HA59">
        <v>271</v>
      </c>
      <c r="HB59" s="56">
        <v>660</v>
      </c>
      <c r="HC59">
        <v>198</v>
      </c>
      <c r="HD59" s="56">
        <v>630</v>
      </c>
      <c r="HE59">
        <v>212</v>
      </c>
      <c r="HF59" s="56">
        <v>680</v>
      </c>
    </row>
    <row r="60" spans="1:215" x14ac:dyDescent="0.25">
      <c r="A60" s="53"/>
      <c r="B60" s="54" t="s">
        <v>800</v>
      </c>
      <c r="C60" s="55">
        <v>214</v>
      </c>
      <c r="D60" s="56">
        <v>180</v>
      </c>
      <c r="E60" s="55">
        <v>238</v>
      </c>
      <c r="F60" s="56">
        <v>180</v>
      </c>
      <c r="G60" s="55">
        <v>221</v>
      </c>
      <c r="H60" s="56">
        <v>185</v>
      </c>
      <c r="I60" s="55">
        <v>256</v>
      </c>
      <c r="J60" s="56">
        <v>190</v>
      </c>
      <c r="K60" s="55">
        <v>256</v>
      </c>
      <c r="L60" s="56">
        <v>190</v>
      </c>
      <c r="M60" s="55">
        <v>262</v>
      </c>
      <c r="N60" s="56">
        <v>195</v>
      </c>
      <c r="O60" s="55">
        <v>241</v>
      </c>
      <c r="P60" s="56">
        <v>195</v>
      </c>
      <c r="Q60" s="55">
        <v>251</v>
      </c>
      <c r="R60" s="56">
        <v>195</v>
      </c>
      <c r="S60" s="55">
        <v>251</v>
      </c>
      <c r="T60" s="56">
        <v>195</v>
      </c>
      <c r="U60" s="55">
        <v>240</v>
      </c>
      <c r="V60" s="56">
        <v>200</v>
      </c>
      <c r="W60" s="55">
        <v>266</v>
      </c>
      <c r="X60" s="56">
        <v>200</v>
      </c>
      <c r="Y60" s="55">
        <v>269</v>
      </c>
      <c r="Z60" s="56">
        <v>210</v>
      </c>
      <c r="AA60" s="55">
        <v>233</v>
      </c>
      <c r="AB60" s="56">
        <v>210</v>
      </c>
      <c r="AC60" s="55">
        <v>284</v>
      </c>
      <c r="AD60" s="56">
        <v>210</v>
      </c>
      <c r="AE60" s="55">
        <v>264</v>
      </c>
      <c r="AF60" s="56">
        <v>210</v>
      </c>
      <c r="AG60" s="55">
        <v>319</v>
      </c>
      <c r="AH60" s="56">
        <v>210</v>
      </c>
      <c r="AI60" s="55">
        <v>257</v>
      </c>
      <c r="AJ60" s="56">
        <v>210</v>
      </c>
      <c r="AK60" s="55">
        <v>289</v>
      </c>
      <c r="AL60" s="56">
        <v>210</v>
      </c>
      <c r="AM60" s="55">
        <v>268</v>
      </c>
      <c r="AN60" s="56">
        <v>210</v>
      </c>
      <c r="AO60" s="55">
        <v>294</v>
      </c>
      <c r="AP60" s="56">
        <v>220</v>
      </c>
      <c r="AQ60" s="55">
        <v>240</v>
      </c>
      <c r="AR60" s="56">
        <v>210</v>
      </c>
      <c r="AS60" s="55">
        <v>270</v>
      </c>
      <c r="AT60" s="56">
        <v>210</v>
      </c>
      <c r="AU60" s="55">
        <v>256</v>
      </c>
      <c r="AV60" s="56">
        <v>220</v>
      </c>
      <c r="AW60" s="55">
        <v>248</v>
      </c>
      <c r="AX60" s="56">
        <v>230</v>
      </c>
      <c r="AY60" s="55">
        <v>220</v>
      </c>
      <c r="AZ60" s="56">
        <v>213</v>
      </c>
      <c r="BA60" s="55">
        <v>286</v>
      </c>
      <c r="BB60" s="56">
        <v>220</v>
      </c>
      <c r="BC60" s="55">
        <v>272</v>
      </c>
      <c r="BD60" s="56">
        <v>230</v>
      </c>
      <c r="BE60" s="55">
        <v>228</v>
      </c>
      <c r="BF60" s="56">
        <v>230</v>
      </c>
      <c r="BG60" s="55">
        <v>203</v>
      </c>
      <c r="BH60" s="56">
        <v>235</v>
      </c>
      <c r="BI60" s="55">
        <v>203</v>
      </c>
      <c r="BJ60" s="56">
        <v>240</v>
      </c>
      <c r="BK60" s="55">
        <v>215</v>
      </c>
      <c r="BL60" s="56">
        <v>240</v>
      </c>
      <c r="BM60" s="55">
        <v>272</v>
      </c>
      <c r="BN60" s="56">
        <v>250</v>
      </c>
      <c r="BO60" s="55">
        <v>209</v>
      </c>
      <c r="BP60" s="56">
        <v>260</v>
      </c>
      <c r="BQ60" s="55">
        <v>212</v>
      </c>
      <c r="BR60" s="56">
        <v>270</v>
      </c>
      <c r="BS60" s="55">
        <v>232</v>
      </c>
      <c r="BT60" s="56">
        <v>270</v>
      </c>
      <c r="BU60" s="55">
        <v>262</v>
      </c>
      <c r="BV60" s="56">
        <v>285</v>
      </c>
      <c r="BW60" s="55">
        <v>220</v>
      </c>
      <c r="BX60" s="56">
        <v>300</v>
      </c>
      <c r="BY60" s="55">
        <v>232</v>
      </c>
      <c r="BZ60" s="56">
        <v>300</v>
      </c>
      <c r="CA60" s="55">
        <v>267</v>
      </c>
      <c r="CB60" s="56">
        <v>300</v>
      </c>
      <c r="CC60" s="55">
        <v>226</v>
      </c>
      <c r="CD60" s="56">
        <v>320</v>
      </c>
      <c r="CE60" s="55">
        <v>190</v>
      </c>
      <c r="CF60" s="56">
        <v>320</v>
      </c>
      <c r="CG60" s="55">
        <v>214</v>
      </c>
      <c r="CH60" s="56">
        <v>330</v>
      </c>
      <c r="CI60" s="55">
        <v>220</v>
      </c>
      <c r="CJ60" s="56">
        <v>330</v>
      </c>
      <c r="CK60" s="55">
        <v>221</v>
      </c>
      <c r="CL60" s="56">
        <v>330</v>
      </c>
      <c r="CM60" s="55">
        <v>240</v>
      </c>
      <c r="CN60" s="56">
        <v>333</v>
      </c>
      <c r="CO60" s="55">
        <v>229</v>
      </c>
      <c r="CP60" s="56">
        <v>330</v>
      </c>
      <c r="CQ60" s="55">
        <v>236</v>
      </c>
      <c r="CR60" s="56">
        <v>330</v>
      </c>
      <c r="CS60" s="55">
        <v>260</v>
      </c>
      <c r="CT60" s="56">
        <v>350</v>
      </c>
      <c r="CU60" s="55">
        <v>277</v>
      </c>
      <c r="CV60" s="56">
        <v>350</v>
      </c>
      <c r="CW60" s="55">
        <v>248</v>
      </c>
      <c r="CX60" s="56">
        <v>350</v>
      </c>
      <c r="CY60" s="55">
        <v>223</v>
      </c>
      <c r="CZ60" s="56">
        <v>330</v>
      </c>
      <c r="DA60" s="55">
        <v>271</v>
      </c>
      <c r="DB60" s="56">
        <v>350</v>
      </c>
      <c r="DC60" s="55">
        <v>228</v>
      </c>
      <c r="DD60" s="56">
        <v>350</v>
      </c>
      <c r="DE60" s="55">
        <v>289</v>
      </c>
      <c r="DF60" s="56">
        <v>350</v>
      </c>
      <c r="DG60" s="55">
        <v>230</v>
      </c>
      <c r="DH60" s="56">
        <v>350</v>
      </c>
      <c r="DI60" s="55">
        <v>285</v>
      </c>
      <c r="DJ60" s="56">
        <v>360</v>
      </c>
      <c r="DK60" s="55">
        <v>226</v>
      </c>
      <c r="DL60" s="56">
        <v>380</v>
      </c>
      <c r="DM60" s="55">
        <v>256</v>
      </c>
      <c r="DN60" s="56">
        <v>360</v>
      </c>
      <c r="DO60" s="55">
        <v>237</v>
      </c>
      <c r="DP60" s="56">
        <v>370</v>
      </c>
      <c r="DQ60" s="55">
        <v>232</v>
      </c>
      <c r="DR60" s="56">
        <v>380</v>
      </c>
      <c r="DS60" s="55">
        <v>249</v>
      </c>
      <c r="DT60" s="56">
        <v>385</v>
      </c>
      <c r="DU60" s="55">
        <v>239</v>
      </c>
      <c r="DV60" s="56">
        <v>380</v>
      </c>
      <c r="DW60" s="55">
        <v>241</v>
      </c>
      <c r="DX60" s="56">
        <v>380</v>
      </c>
      <c r="DY60" s="55">
        <v>260</v>
      </c>
      <c r="DZ60" s="56">
        <v>390</v>
      </c>
      <c r="EA60" s="55">
        <v>243</v>
      </c>
      <c r="EB60" s="56">
        <v>400</v>
      </c>
      <c r="EC60" s="55">
        <v>271</v>
      </c>
      <c r="ED60" s="56">
        <v>400</v>
      </c>
      <c r="EE60" s="55">
        <v>253</v>
      </c>
      <c r="EF60" s="56">
        <v>400</v>
      </c>
      <c r="EG60" s="55">
        <v>289</v>
      </c>
      <c r="EH60" s="56">
        <v>410</v>
      </c>
      <c r="EI60" s="55">
        <v>284</v>
      </c>
      <c r="EJ60" s="56">
        <v>430</v>
      </c>
      <c r="EK60" s="55">
        <v>255</v>
      </c>
      <c r="EL60" s="56">
        <v>415</v>
      </c>
      <c r="EM60" s="55">
        <v>262</v>
      </c>
      <c r="EN60" s="56">
        <v>420</v>
      </c>
      <c r="EO60" s="55">
        <v>296</v>
      </c>
      <c r="EP60" s="56">
        <v>423</v>
      </c>
      <c r="EQ60" s="55">
        <v>225</v>
      </c>
      <c r="ER60" s="56">
        <v>430</v>
      </c>
      <c r="ES60" s="55">
        <v>253</v>
      </c>
      <c r="ET60" s="56">
        <v>430</v>
      </c>
      <c r="EU60" s="55">
        <v>261</v>
      </c>
      <c r="EV60" s="56">
        <v>450</v>
      </c>
      <c r="EW60" s="55">
        <v>250</v>
      </c>
      <c r="EX60" s="56">
        <v>438</v>
      </c>
      <c r="EY60" s="55">
        <v>240</v>
      </c>
      <c r="EZ60" s="56">
        <v>445</v>
      </c>
      <c r="FA60" s="55">
        <v>230</v>
      </c>
      <c r="FB60" s="56">
        <v>460</v>
      </c>
      <c r="FC60" s="55">
        <v>257</v>
      </c>
      <c r="FD60" s="56">
        <v>450</v>
      </c>
      <c r="FE60" s="55">
        <v>241</v>
      </c>
      <c r="FF60" s="56">
        <v>420</v>
      </c>
      <c r="FG60" s="55">
        <v>248</v>
      </c>
      <c r="FH60" s="56">
        <v>450</v>
      </c>
      <c r="FI60" s="55">
        <v>234</v>
      </c>
      <c r="FJ60" s="56">
        <v>450</v>
      </c>
      <c r="FK60" s="55">
        <v>234</v>
      </c>
      <c r="FL60" s="56">
        <v>473</v>
      </c>
      <c r="FM60" s="55">
        <v>262</v>
      </c>
      <c r="FN60" s="56">
        <v>478</v>
      </c>
      <c r="FO60" s="55">
        <v>212</v>
      </c>
      <c r="FP60" s="56">
        <v>440</v>
      </c>
      <c r="FQ60" s="55">
        <v>183</v>
      </c>
      <c r="FR60" s="56">
        <v>450</v>
      </c>
      <c r="FS60" s="55">
        <v>226</v>
      </c>
      <c r="FT60" s="56">
        <v>475</v>
      </c>
      <c r="FU60" s="55">
        <v>256</v>
      </c>
      <c r="FV60" s="56">
        <v>460</v>
      </c>
      <c r="FW60" s="55">
        <v>215</v>
      </c>
      <c r="FX60" s="56">
        <v>440</v>
      </c>
      <c r="FY60" s="55">
        <v>203</v>
      </c>
      <c r="FZ60" s="56">
        <v>450</v>
      </c>
      <c r="GA60" s="55">
        <v>225</v>
      </c>
      <c r="GB60" s="56">
        <v>450</v>
      </c>
      <c r="GC60" s="55">
        <v>237</v>
      </c>
      <c r="GD60" s="56">
        <v>480</v>
      </c>
      <c r="GE60" s="55">
        <v>246</v>
      </c>
      <c r="GF60" s="56">
        <v>473</v>
      </c>
      <c r="GG60" s="55">
        <v>251</v>
      </c>
      <c r="GH60" s="56">
        <v>490</v>
      </c>
      <c r="GI60" s="55">
        <v>235</v>
      </c>
      <c r="GJ60" s="56">
        <v>480</v>
      </c>
      <c r="GK60" s="55">
        <v>245</v>
      </c>
      <c r="GL60" s="56">
        <v>520</v>
      </c>
      <c r="GM60" s="55">
        <v>204</v>
      </c>
      <c r="GN60" s="56">
        <v>520</v>
      </c>
      <c r="GO60" s="55">
        <v>184</v>
      </c>
      <c r="GP60" s="56">
        <v>550</v>
      </c>
      <c r="GQ60" s="55">
        <v>187</v>
      </c>
      <c r="GR60" s="56">
        <v>560</v>
      </c>
      <c r="GS60" s="55">
        <v>200</v>
      </c>
      <c r="GT60" s="56">
        <v>595</v>
      </c>
      <c r="GU60" s="55">
        <v>184</v>
      </c>
      <c r="GV60" s="56">
        <v>610</v>
      </c>
      <c r="GW60" s="55">
        <v>195</v>
      </c>
      <c r="GX60" s="56">
        <v>600</v>
      </c>
      <c r="GY60" s="55">
        <v>202</v>
      </c>
      <c r="GZ60" s="56">
        <v>583</v>
      </c>
      <c r="HA60">
        <v>225</v>
      </c>
      <c r="HB60" s="56">
        <v>595</v>
      </c>
      <c r="HC60">
        <v>203</v>
      </c>
      <c r="HD60" s="56">
        <v>610</v>
      </c>
      <c r="HE60">
        <v>207</v>
      </c>
      <c r="HF60" s="56">
        <v>630</v>
      </c>
    </row>
    <row r="61" spans="1:215" x14ac:dyDescent="0.25">
      <c r="A61" s="53"/>
      <c r="B61" s="54" t="s">
        <v>776</v>
      </c>
      <c r="C61" s="55">
        <v>244</v>
      </c>
      <c r="D61" s="56">
        <v>170</v>
      </c>
      <c r="E61" s="55">
        <v>260</v>
      </c>
      <c r="F61" s="56">
        <v>172</v>
      </c>
      <c r="G61" s="55">
        <v>233</v>
      </c>
      <c r="H61" s="56">
        <v>175</v>
      </c>
      <c r="I61" s="55">
        <v>256</v>
      </c>
      <c r="J61" s="56">
        <v>175</v>
      </c>
      <c r="K61" s="55">
        <v>265</v>
      </c>
      <c r="L61" s="56">
        <v>180</v>
      </c>
      <c r="M61" s="55">
        <v>290</v>
      </c>
      <c r="N61" s="56">
        <v>175</v>
      </c>
      <c r="O61" s="55">
        <v>259</v>
      </c>
      <c r="P61" s="56">
        <v>180</v>
      </c>
      <c r="Q61" s="55">
        <v>255</v>
      </c>
      <c r="R61" s="56">
        <v>185</v>
      </c>
      <c r="S61" s="55">
        <v>292</v>
      </c>
      <c r="T61" s="56">
        <v>180</v>
      </c>
      <c r="U61" s="55">
        <v>287</v>
      </c>
      <c r="V61" s="56">
        <v>185</v>
      </c>
      <c r="W61" s="55">
        <v>271</v>
      </c>
      <c r="X61" s="56">
        <v>190</v>
      </c>
      <c r="Y61" s="55">
        <v>305</v>
      </c>
      <c r="Z61" s="56">
        <v>185</v>
      </c>
      <c r="AA61" s="55">
        <v>294</v>
      </c>
      <c r="AB61" s="56">
        <v>190</v>
      </c>
      <c r="AC61" s="55">
        <v>287</v>
      </c>
      <c r="AD61" s="56">
        <v>190</v>
      </c>
      <c r="AE61" s="55">
        <v>301</v>
      </c>
      <c r="AF61" s="56">
        <v>190</v>
      </c>
      <c r="AG61" s="55">
        <v>303</v>
      </c>
      <c r="AH61" s="56">
        <v>195</v>
      </c>
      <c r="AI61" s="55">
        <v>332</v>
      </c>
      <c r="AJ61" s="56">
        <v>195</v>
      </c>
      <c r="AK61" s="55">
        <v>339</v>
      </c>
      <c r="AL61" s="56">
        <v>200</v>
      </c>
      <c r="AM61" s="55">
        <v>365</v>
      </c>
      <c r="AN61" s="56">
        <v>200</v>
      </c>
      <c r="AO61" s="55">
        <v>357</v>
      </c>
      <c r="AP61" s="56">
        <v>200</v>
      </c>
      <c r="AQ61" s="55">
        <v>293</v>
      </c>
      <c r="AR61" s="56">
        <v>200</v>
      </c>
      <c r="AS61" s="55">
        <v>368</v>
      </c>
      <c r="AT61" s="56">
        <v>200</v>
      </c>
      <c r="AU61" s="55">
        <v>318</v>
      </c>
      <c r="AV61" s="56">
        <v>200</v>
      </c>
      <c r="AW61" s="55">
        <v>334</v>
      </c>
      <c r="AX61" s="56">
        <v>200</v>
      </c>
      <c r="AY61" s="55">
        <v>359</v>
      </c>
      <c r="AZ61" s="56">
        <v>203</v>
      </c>
      <c r="BA61" s="55">
        <v>419</v>
      </c>
      <c r="BB61" s="56">
        <v>205</v>
      </c>
      <c r="BC61" s="55">
        <v>322</v>
      </c>
      <c r="BD61" s="56">
        <v>210</v>
      </c>
      <c r="BE61" s="55">
        <v>333</v>
      </c>
      <c r="BF61" s="56">
        <v>210</v>
      </c>
      <c r="BG61" s="55">
        <v>352</v>
      </c>
      <c r="BH61" s="56">
        <v>210</v>
      </c>
      <c r="BI61" s="55">
        <v>366</v>
      </c>
      <c r="BJ61" s="56">
        <v>213</v>
      </c>
      <c r="BK61" s="55">
        <v>359</v>
      </c>
      <c r="BL61" s="56">
        <v>220</v>
      </c>
      <c r="BM61" s="55">
        <v>358</v>
      </c>
      <c r="BN61" s="56">
        <v>223</v>
      </c>
      <c r="BO61" s="55">
        <v>343</v>
      </c>
      <c r="BP61" s="56">
        <v>230</v>
      </c>
      <c r="BQ61" s="55">
        <v>343</v>
      </c>
      <c r="BR61" s="56">
        <v>230</v>
      </c>
      <c r="BS61" s="55">
        <v>301</v>
      </c>
      <c r="BT61" s="56">
        <v>245</v>
      </c>
      <c r="BU61" s="55">
        <v>367</v>
      </c>
      <c r="BV61" s="56">
        <v>250</v>
      </c>
      <c r="BW61" s="55">
        <v>300</v>
      </c>
      <c r="BX61" s="56">
        <v>270</v>
      </c>
      <c r="BY61" s="55">
        <v>344</v>
      </c>
      <c r="BZ61" s="56">
        <v>280</v>
      </c>
      <c r="CA61" s="55">
        <v>335</v>
      </c>
      <c r="CB61" s="56">
        <v>280</v>
      </c>
      <c r="CC61" s="55">
        <v>360</v>
      </c>
      <c r="CD61" s="56">
        <v>290</v>
      </c>
      <c r="CE61" s="55">
        <v>359</v>
      </c>
      <c r="CF61" s="56">
        <v>290</v>
      </c>
      <c r="CG61" s="55">
        <v>375</v>
      </c>
      <c r="CH61" s="56">
        <v>300</v>
      </c>
      <c r="CI61" s="55">
        <v>335</v>
      </c>
      <c r="CJ61" s="56">
        <v>300</v>
      </c>
      <c r="CK61" s="55">
        <v>351</v>
      </c>
      <c r="CL61" s="56">
        <v>300</v>
      </c>
      <c r="CM61" s="55">
        <v>428</v>
      </c>
      <c r="CN61" s="56">
        <v>310</v>
      </c>
      <c r="CO61" s="55">
        <v>431</v>
      </c>
      <c r="CP61" s="56">
        <v>310</v>
      </c>
      <c r="CQ61" s="55">
        <v>444</v>
      </c>
      <c r="CR61" s="56">
        <v>310</v>
      </c>
      <c r="CS61" s="55">
        <v>429</v>
      </c>
      <c r="CT61" s="56">
        <v>320</v>
      </c>
      <c r="CU61" s="55">
        <v>472</v>
      </c>
      <c r="CV61" s="56">
        <v>320</v>
      </c>
      <c r="CW61" s="55">
        <v>486</v>
      </c>
      <c r="CX61" s="56">
        <v>315</v>
      </c>
      <c r="CY61" s="55">
        <v>437</v>
      </c>
      <c r="CZ61" s="56">
        <v>320</v>
      </c>
      <c r="DA61" s="55">
        <v>525</v>
      </c>
      <c r="DB61" s="56">
        <v>320</v>
      </c>
      <c r="DC61" s="55">
        <v>491</v>
      </c>
      <c r="DD61" s="56">
        <v>320</v>
      </c>
      <c r="DE61" s="55">
        <v>515</v>
      </c>
      <c r="DF61" s="56">
        <v>311</v>
      </c>
      <c r="DG61" s="55">
        <v>492</v>
      </c>
      <c r="DH61" s="56">
        <v>320</v>
      </c>
      <c r="DI61" s="55">
        <v>476</v>
      </c>
      <c r="DJ61" s="56">
        <v>315</v>
      </c>
      <c r="DK61" s="55">
        <v>533</v>
      </c>
      <c r="DL61" s="56">
        <v>315</v>
      </c>
      <c r="DM61" s="55">
        <v>555</v>
      </c>
      <c r="DN61" s="56">
        <v>320</v>
      </c>
      <c r="DO61" s="55">
        <v>508</v>
      </c>
      <c r="DP61" s="56">
        <v>321</v>
      </c>
      <c r="DQ61" s="55">
        <v>473</v>
      </c>
      <c r="DR61" s="56">
        <v>325</v>
      </c>
      <c r="DS61" s="55">
        <v>490</v>
      </c>
      <c r="DT61" s="56">
        <v>320</v>
      </c>
      <c r="DU61" s="55">
        <v>515</v>
      </c>
      <c r="DV61" s="56">
        <v>330</v>
      </c>
      <c r="DW61" s="55">
        <v>481</v>
      </c>
      <c r="DX61" s="56">
        <v>330</v>
      </c>
      <c r="DY61" s="55">
        <v>485</v>
      </c>
      <c r="DZ61" s="56">
        <v>325</v>
      </c>
      <c r="EA61" s="55">
        <v>520</v>
      </c>
      <c r="EB61" s="56">
        <v>330</v>
      </c>
      <c r="EC61" s="55">
        <v>517</v>
      </c>
      <c r="ED61" s="56">
        <v>330</v>
      </c>
      <c r="EE61" s="55">
        <v>565</v>
      </c>
      <c r="EF61" s="56">
        <v>335</v>
      </c>
      <c r="EG61" s="55">
        <v>536</v>
      </c>
      <c r="EH61" s="56">
        <v>340</v>
      </c>
      <c r="EI61" s="55">
        <v>552</v>
      </c>
      <c r="EJ61" s="56">
        <v>330</v>
      </c>
      <c r="EK61" s="55">
        <v>584</v>
      </c>
      <c r="EL61" s="56">
        <v>340</v>
      </c>
      <c r="EM61" s="55">
        <v>501</v>
      </c>
      <c r="EN61" s="56">
        <v>350</v>
      </c>
      <c r="EO61" s="55">
        <v>516</v>
      </c>
      <c r="EP61" s="56">
        <v>350</v>
      </c>
      <c r="EQ61" s="55">
        <v>505</v>
      </c>
      <c r="ER61" s="56">
        <v>360</v>
      </c>
      <c r="ES61" s="55">
        <v>519</v>
      </c>
      <c r="ET61" s="56">
        <v>360</v>
      </c>
      <c r="EU61" s="55">
        <v>589</v>
      </c>
      <c r="EV61" s="56">
        <v>360</v>
      </c>
      <c r="EW61" s="55">
        <v>573</v>
      </c>
      <c r="EX61" s="56">
        <v>360</v>
      </c>
      <c r="EY61" s="55">
        <v>532</v>
      </c>
      <c r="EZ61" s="56">
        <v>370</v>
      </c>
      <c r="FA61" s="55">
        <v>549</v>
      </c>
      <c r="FB61" s="56">
        <v>370</v>
      </c>
      <c r="FC61" s="55">
        <v>526</v>
      </c>
      <c r="FD61" s="56">
        <v>375</v>
      </c>
      <c r="FE61" s="55">
        <v>550</v>
      </c>
      <c r="FF61" s="56">
        <v>380</v>
      </c>
      <c r="FG61" s="55">
        <v>538</v>
      </c>
      <c r="FH61" s="56">
        <v>380</v>
      </c>
      <c r="FI61" s="55">
        <v>623</v>
      </c>
      <c r="FJ61" s="56">
        <v>375</v>
      </c>
      <c r="FK61" s="55">
        <v>579</v>
      </c>
      <c r="FL61" s="56">
        <v>370</v>
      </c>
      <c r="FM61" s="55">
        <v>555</v>
      </c>
      <c r="FN61" s="56">
        <v>380</v>
      </c>
      <c r="FO61" s="55">
        <v>528</v>
      </c>
      <c r="FP61" s="56">
        <v>375</v>
      </c>
      <c r="FQ61" s="55">
        <v>473</v>
      </c>
      <c r="FR61" s="56">
        <v>380</v>
      </c>
      <c r="FS61" s="55">
        <v>540</v>
      </c>
      <c r="FT61" s="56">
        <v>380</v>
      </c>
      <c r="FU61" s="55">
        <v>581</v>
      </c>
      <c r="FV61" s="56">
        <v>380</v>
      </c>
      <c r="FW61" s="55">
        <v>510</v>
      </c>
      <c r="FX61" s="56">
        <v>380</v>
      </c>
      <c r="FY61" s="55">
        <v>554</v>
      </c>
      <c r="FZ61" s="56">
        <v>380</v>
      </c>
      <c r="GA61" s="55">
        <v>595</v>
      </c>
      <c r="GB61" s="56">
        <v>380</v>
      </c>
      <c r="GC61" s="55">
        <v>588</v>
      </c>
      <c r="GD61" s="56">
        <v>390</v>
      </c>
      <c r="GE61" s="55">
        <v>604</v>
      </c>
      <c r="GF61" s="56">
        <v>400</v>
      </c>
      <c r="GG61" s="55">
        <v>563</v>
      </c>
      <c r="GH61" s="56">
        <v>400</v>
      </c>
      <c r="GI61" s="55">
        <v>495</v>
      </c>
      <c r="GJ61" s="56">
        <v>400</v>
      </c>
      <c r="GK61" s="55">
        <v>569</v>
      </c>
      <c r="GL61" s="56">
        <v>420</v>
      </c>
      <c r="GM61" s="55">
        <v>480</v>
      </c>
      <c r="GN61" s="56">
        <v>430</v>
      </c>
      <c r="GO61" s="55">
        <v>489</v>
      </c>
      <c r="GP61" s="56">
        <v>450</v>
      </c>
      <c r="GQ61" s="55">
        <v>508</v>
      </c>
      <c r="GR61" s="56">
        <v>460</v>
      </c>
      <c r="GS61" s="55">
        <v>452</v>
      </c>
      <c r="GT61" s="56">
        <v>470</v>
      </c>
      <c r="GU61" s="55">
        <v>502</v>
      </c>
      <c r="GV61" s="56">
        <v>495</v>
      </c>
      <c r="GW61" s="55">
        <v>509</v>
      </c>
      <c r="GX61" s="56">
        <v>500</v>
      </c>
      <c r="GY61" s="55">
        <v>515</v>
      </c>
      <c r="GZ61" s="56">
        <v>500</v>
      </c>
      <c r="HA61">
        <v>538</v>
      </c>
      <c r="HB61" s="56">
        <v>500</v>
      </c>
      <c r="HC61">
        <v>593</v>
      </c>
      <c r="HD61" s="56">
        <v>500</v>
      </c>
      <c r="HE61">
        <v>625</v>
      </c>
      <c r="HF61" s="56">
        <v>500</v>
      </c>
    </row>
    <row r="62" spans="1:215" x14ac:dyDescent="0.25">
      <c r="A62" s="53"/>
      <c r="B62" s="54" t="s">
        <v>801</v>
      </c>
      <c r="C62" s="55">
        <v>134</v>
      </c>
      <c r="D62" s="56">
        <v>170</v>
      </c>
      <c r="E62" s="55">
        <v>146</v>
      </c>
      <c r="F62" s="56">
        <v>180</v>
      </c>
      <c r="G62" s="55">
        <v>170</v>
      </c>
      <c r="H62" s="56">
        <v>180</v>
      </c>
      <c r="I62" s="55">
        <v>176</v>
      </c>
      <c r="J62" s="56">
        <v>185</v>
      </c>
      <c r="K62" s="55">
        <v>160</v>
      </c>
      <c r="L62" s="56">
        <v>180</v>
      </c>
      <c r="M62" s="55">
        <v>188</v>
      </c>
      <c r="N62" s="56">
        <v>185</v>
      </c>
      <c r="O62" s="55">
        <v>170</v>
      </c>
      <c r="P62" s="56">
        <v>190</v>
      </c>
      <c r="Q62" s="55">
        <v>195</v>
      </c>
      <c r="R62" s="56">
        <v>190</v>
      </c>
      <c r="S62" s="55">
        <v>167</v>
      </c>
      <c r="T62" s="56">
        <v>190</v>
      </c>
      <c r="U62" s="55">
        <v>171</v>
      </c>
      <c r="V62" s="56">
        <v>200</v>
      </c>
      <c r="W62" s="55">
        <v>159</v>
      </c>
      <c r="X62" s="56">
        <v>210</v>
      </c>
      <c r="Y62" s="55">
        <v>209</v>
      </c>
      <c r="Z62" s="56">
        <v>200</v>
      </c>
      <c r="AA62" s="55">
        <v>171</v>
      </c>
      <c r="AB62" s="56">
        <v>200</v>
      </c>
      <c r="AC62" s="55">
        <v>186</v>
      </c>
      <c r="AD62" s="56">
        <v>200</v>
      </c>
      <c r="AE62" s="55">
        <v>184</v>
      </c>
      <c r="AF62" s="56">
        <v>210</v>
      </c>
      <c r="AG62" s="55">
        <v>247</v>
      </c>
      <c r="AH62" s="56">
        <v>210</v>
      </c>
      <c r="AI62" s="55">
        <v>199</v>
      </c>
      <c r="AJ62" s="56">
        <v>215</v>
      </c>
      <c r="AK62" s="55">
        <v>186</v>
      </c>
      <c r="AL62" s="56">
        <v>210</v>
      </c>
      <c r="AM62" s="55">
        <v>155</v>
      </c>
      <c r="AN62" s="56">
        <v>210</v>
      </c>
      <c r="AO62" s="55">
        <v>242</v>
      </c>
      <c r="AP62" s="56">
        <v>220</v>
      </c>
      <c r="AQ62" s="55">
        <v>169</v>
      </c>
      <c r="AR62" s="56">
        <v>220</v>
      </c>
      <c r="AS62" s="55">
        <v>200</v>
      </c>
      <c r="AT62" s="56">
        <v>230</v>
      </c>
      <c r="AU62" s="55">
        <v>186</v>
      </c>
      <c r="AV62" s="56">
        <v>220</v>
      </c>
      <c r="AW62" s="55">
        <v>193</v>
      </c>
      <c r="AX62" s="56">
        <v>225</v>
      </c>
      <c r="AY62" s="55">
        <v>175</v>
      </c>
      <c r="AZ62" s="56">
        <v>230</v>
      </c>
      <c r="BA62" s="55">
        <v>178</v>
      </c>
      <c r="BB62" s="56">
        <v>230</v>
      </c>
      <c r="BC62" s="55">
        <v>148</v>
      </c>
      <c r="BD62" s="56">
        <v>230</v>
      </c>
      <c r="BE62" s="55">
        <v>206</v>
      </c>
      <c r="BF62" s="56">
        <v>240</v>
      </c>
      <c r="BG62" s="55">
        <v>133</v>
      </c>
      <c r="BH62" s="56">
        <v>240</v>
      </c>
      <c r="BI62" s="55">
        <v>150</v>
      </c>
      <c r="BJ62" s="56">
        <v>250</v>
      </c>
      <c r="BK62" s="55">
        <v>177</v>
      </c>
      <c r="BL62" s="56">
        <v>250</v>
      </c>
      <c r="BM62" s="55">
        <v>201</v>
      </c>
      <c r="BN62" s="56">
        <v>275</v>
      </c>
      <c r="BO62" s="55">
        <v>142</v>
      </c>
      <c r="BP62" s="56">
        <v>280</v>
      </c>
      <c r="BQ62" s="55">
        <v>152</v>
      </c>
      <c r="BR62" s="56">
        <v>280</v>
      </c>
      <c r="BS62" s="55">
        <v>187</v>
      </c>
      <c r="BT62" s="56">
        <v>310</v>
      </c>
      <c r="BU62" s="55">
        <v>208</v>
      </c>
      <c r="BV62" s="56">
        <v>310</v>
      </c>
      <c r="BW62" s="55">
        <v>178</v>
      </c>
      <c r="BX62" s="56">
        <v>328</v>
      </c>
      <c r="BY62" s="55">
        <v>182</v>
      </c>
      <c r="BZ62" s="56">
        <v>338</v>
      </c>
      <c r="CA62" s="55">
        <v>163</v>
      </c>
      <c r="CB62" s="56">
        <v>350</v>
      </c>
      <c r="CC62" s="55">
        <v>186</v>
      </c>
      <c r="CD62" s="56">
        <v>360</v>
      </c>
      <c r="CE62" s="55">
        <v>165</v>
      </c>
      <c r="CF62" s="56">
        <v>350</v>
      </c>
      <c r="CG62" s="55">
        <v>165</v>
      </c>
      <c r="CH62" s="56">
        <v>350</v>
      </c>
      <c r="CI62" s="55">
        <v>185</v>
      </c>
      <c r="CJ62" s="56">
        <v>340</v>
      </c>
      <c r="CK62" s="55">
        <v>208</v>
      </c>
      <c r="CL62" s="56">
        <v>360</v>
      </c>
      <c r="CM62" s="55">
        <v>197</v>
      </c>
      <c r="CN62" s="56">
        <v>360</v>
      </c>
      <c r="CO62" s="55">
        <v>206</v>
      </c>
      <c r="CP62" s="56">
        <v>350</v>
      </c>
      <c r="CQ62" s="55">
        <v>209</v>
      </c>
      <c r="CR62" s="56">
        <v>360</v>
      </c>
      <c r="CS62" s="55">
        <v>236</v>
      </c>
      <c r="CT62" s="56">
        <v>370</v>
      </c>
      <c r="CU62" s="55">
        <v>197</v>
      </c>
      <c r="CV62" s="56">
        <v>360</v>
      </c>
      <c r="CW62" s="55">
        <v>208</v>
      </c>
      <c r="CX62" s="56">
        <v>368</v>
      </c>
      <c r="CY62" s="55">
        <v>194</v>
      </c>
      <c r="CZ62" s="56">
        <v>380</v>
      </c>
      <c r="DA62" s="55">
        <v>215</v>
      </c>
      <c r="DB62" s="56">
        <v>380</v>
      </c>
      <c r="DC62" s="55">
        <v>212</v>
      </c>
      <c r="DD62" s="56">
        <v>380</v>
      </c>
      <c r="DE62" s="55">
        <v>229</v>
      </c>
      <c r="DF62" s="56">
        <v>370</v>
      </c>
      <c r="DG62" s="55">
        <v>223</v>
      </c>
      <c r="DH62" s="56">
        <v>375</v>
      </c>
      <c r="DI62" s="55">
        <v>258</v>
      </c>
      <c r="DJ62" s="56">
        <v>395</v>
      </c>
      <c r="DK62" s="55">
        <v>214</v>
      </c>
      <c r="DL62" s="56">
        <v>400</v>
      </c>
      <c r="DM62" s="55">
        <v>221</v>
      </c>
      <c r="DN62" s="56">
        <v>380</v>
      </c>
      <c r="DO62" s="55">
        <v>216</v>
      </c>
      <c r="DP62" s="56">
        <v>400</v>
      </c>
      <c r="DQ62" s="55">
        <v>253</v>
      </c>
      <c r="DR62" s="56">
        <v>400</v>
      </c>
      <c r="DS62" s="55">
        <v>199</v>
      </c>
      <c r="DT62" s="56">
        <v>400</v>
      </c>
      <c r="DU62" s="55">
        <v>218</v>
      </c>
      <c r="DV62" s="56">
        <v>400</v>
      </c>
      <c r="DW62" s="55">
        <v>217</v>
      </c>
      <c r="DX62" s="56">
        <v>420</v>
      </c>
      <c r="DY62" s="55">
        <v>264</v>
      </c>
      <c r="DZ62" s="56">
        <v>420</v>
      </c>
      <c r="EA62" s="55">
        <v>226</v>
      </c>
      <c r="EB62" s="56">
        <v>425</v>
      </c>
      <c r="EC62" s="55">
        <v>231</v>
      </c>
      <c r="ED62" s="56">
        <v>430</v>
      </c>
      <c r="EE62" s="55">
        <v>262</v>
      </c>
      <c r="EF62" s="56">
        <v>430</v>
      </c>
      <c r="EG62" s="55">
        <v>291</v>
      </c>
      <c r="EH62" s="56">
        <v>450</v>
      </c>
      <c r="EI62" s="55">
        <v>206</v>
      </c>
      <c r="EJ62" s="56">
        <v>450</v>
      </c>
      <c r="EK62" s="55">
        <v>240</v>
      </c>
      <c r="EL62" s="56">
        <v>430</v>
      </c>
      <c r="EM62" s="55">
        <v>215</v>
      </c>
      <c r="EN62" s="56">
        <v>450</v>
      </c>
      <c r="EO62" s="55">
        <v>264</v>
      </c>
      <c r="EP62" s="56">
        <v>470</v>
      </c>
      <c r="EQ62" s="55">
        <v>213</v>
      </c>
      <c r="ER62" s="56">
        <v>470</v>
      </c>
      <c r="ES62" s="55">
        <v>221</v>
      </c>
      <c r="ET62" s="56">
        <v>470</v>
      </c>
      <c r="EU62" s="55">
        <v>222</v>
      </c>
      <c r="EV62" s="56">
        <v>473</v>
      </c>
      <c r="EW62" s="55">
        <v>261</v>
      </c>
      <c r="EX62" s="56">
        <v>480</v>
      </c>
      <c r="EY62" s="55">
        <v>196</v>
      </c>
      <c r="EZ62" s="56">
        <v>488</v>
      </c>
      <c r="FA62" s="55">
        <v>236</v>
      </c>
      <c r="FB62" s="56">
        <v>495</v>
      </c>
      <c r="FC62" s="55">
        <v>206</v>
      </c>
      <c r="FD62" s="56">
        <v>500</v>
      </c>
      <c r="FE62" s="55">
        <v>244</v>
      </c>
      <c r="FF62" s="56">
        <v>490</v>
      </c>
      <c r="FG62" s="55">
        <v>208</v>
      </c>
      <c r="FH62" s="56">
        <v>485</v>
      </c>
      <c r="FI62" s="55">
        <v>225</v>
      </c>
      <c r="FJ62" s="56">
        <v>500</v>
      </c>
      <c r="FK62" s="55">
        <v>206</v>
      </c>
      <c r="FL62" s="56">
        <v>518</v>
      </c>
      <c r="FM62" s="55">
        <v>256</v>
      </c>
      <c r="FN62" s="56">
        <v>510</v>
      </c>
      <c r="FO62" s="55">
        <v>204</v>
      </c>
      <c r="FP62" s="56">
        <v>480</v>
      </c>
      <c r="FQ62" s="55">
        <v>197</v>
      </c>
      <c r="FR62" s="56">
        <v>475</v>
      </c>
      <c r="FS62" s="55">
        <v>240</v>
      </c>
      <c r="FT62" s="56">
        <v>490</v>
      </c>
      <c r="FU62" s="55">
        <v>270</v>
      </c>
      <c r="FV62" s="56">
        <v>520</v>
      </c>
      <c r="FW62" s="55">
        <v>239</v>
      </c>
      <c r="FX62" s="56">
        <v>500</v>
      </c>
      <c r="FY62" s="55">
        <v>187</v>
      </c>
      <c r="FZ62" s="56">
        <v>500</v>
      </c>
      <c r="GA62" s="55">
        <v>248</v>
      </c>
      <c r="GB62" s="56">
        <v>495</v>
      </c>
      <c r="GC62" s="55">
        <v>277</v>
      </c>
      <c r="GD62" s="56">
        <v>500</v>
      </c>
      <c r="GE62" s="55">
        <v>250</v>
      </c>
      <c r="GF62" s="56">
        <v>500</v>
      </c>
      <c r="GG62" s="55">
        <v>265</v>
      </c>
      <c r="GH62" s="56">
        <v>515</v>
      </c>
      <c r="GI62" s="55">
        <v>234</v>
      </c>
      <c r="GJ62" s="56">
        <v>530</v>
      </c>
      <c r="GK62" s="55">
        <v>247</v>
      </c>
      <c r="GL62" s="56">
        <v>550</v>
      </c>
      <c r="GM62" s="55">
        <v>199</v>
      </c>
      <c r="GN62" s="56">
        <v>550</v>
      </c>
      <c r="GO62" s="55">
        <v>176</v>
      </c>
      <c r="GP62" s="56">
        <v>600</v>
      </c>
      <c r="GQ62" s="55">
        <v>176</v>
      </c>
      <c r="GR62" s="56">
        <v>600</v>
      </c>
      <c r="GS62" s="55">
        <v>188</v>
      </c>
      <c r="GT62" s="56">
        <v>600</v>
      </c>
      <c r="GU62" s="55">
        <v>195</v>
      </c>
      <c r="GV62" s="56">
        <v>645</v>
      </c>
      <c r="GW62" s="55">
        <v>200</v>
      </c>
      <c r="GX62" s="56">
        <v>638</v>
      </c>
      <c r="GY62" s="55">
        <v>212</v>
      </c>
      <c r="GZ62" s="56">
        <v>650</v>
      </c>
      <c r="HA62">
        <v>212</v>
      </c>
      <c r="HB62" s="56">
        <v>650</v>
      </c>
      <c r="HC62">
        <v>170</v>
      </c>
      <c r="HD62" s="56">
        <v>670</v>
      </c>
      <c r="HE62">
        <v>200</v>
      </c>
      <c r="HF62" s="56">
        <v>650</v>
      </c>
    </row>
    <row r="63" spans="1:215" x14ac:dyDescent="0.25">
      <c r="A63" s="53"/>
      <c r="B63" s="54" t="s">
        <v>630</v>
      </c>
      <c r="C63" s="55">
        <v>38</v>
      </c>
      <c r="D63" s="56">
        <v>298</v>
      </c>
      <c r="E63" s="55">
        <v>45</v>
      </c>
      <c r="F63" s="56">
        <v>315</v>
      </c>
      <c r="G63" s="55">
        <v>63</v>
      </c>
      <c r="H63" s="56">
        <v>295</v>
      </c>
      <c r="I63" s="55">
        <v>92</v>
      </c>
      <c r="J63" s="56">
        <v>320</v>
      </c>
      <c r="K63" s="55">
        <v>45</v>
      </c>
      <c r="L63" s="56">
        <v>340</v>
      </c>
      <c r="M63" s="55">
        <v>76</v>
      </c>
      <c r="N63" s="56">
        <v>310</v>
      </c>
      <c r="O63" s="55">
        <v>67</v>
      </c>
      <c r="P63" s="56">
        <v>330</v>
      </c>
      <c r="Q63" s="55">
        <v>87</v>
      </c>
      <c r="R63" s="56">
        <v>320</v>
      </c>
      <c r="S63" s="55">
        <v>52</v>
      </c>
      <c r="T63" s="56">
        <v>330</v>
      </c>
      <c r="U63" s="55">
        <v>51</v>
      </c>
      <c r="V63" s="56">
        <v>330</v>
      </c>
      <c r="W63" s="55">
        <v>46</v>
      </c>
      <c r="X63" s="56">
        <v>330</v>
      </c>
      <c r="Y63" s="55">
        <v>71</v>
      </c>
      <c r="Z63" s="56">
        <v>340</v>
      </c>
      <c r="AA63" s="55">
        <v>41</v>
      </c>
      <c r="AB63" s="56">
        <v>390</v>
      </c>
      <c r="AC63" s="55">
        <v>57</v>
      </c>
      <c r="AD63" s="56">
        <v>330</v>
      </c>
      <c r="AE63" s="55">
        <v>45</v>
      </c>
      <c r="AF63" s="56">
        <v>350</v>
      </c>
      <c r="AG63" s="55">
        <v>61</v>
      </c>
      <c r="AH63" s="56">
        <v>345</v>
      </c>
      <c r="AI63" s="55">
        <v>37</v>
      </c>
      <c r="AJ63" s="56">
        <v>330</v>
      </c>
      <c r="AK63" s="55">
        <v>55</v>
      </c>
      <c r="AL63" s="56">
        <v>350</v>
      </c>
      <c r="AM63" s="55">
        <v>27</v>
      </c>
      <c r="AN63" s="56">
        <v>350</v>
      </c>
      <c r="AO63" s="55">
        <v>65</v>
      </c>
      <c r="AP63" s="56">
        <v>350</v>
      </c>
      <c r="AQ63" s="55">
        <v>36</v>
      </c>
      <c r="AR63" s="56">
        <v>375</v>
      </c>
      <c r="AS63" s="55">
        <v>52</v>
      </c>
      <c r="AT63" s="56">
        <v>370</v>
      </c>
      <c r="AU63" s="55">
        <v>41</v>
      </c>
      <c r="AV63" s="56">
        <v>360</v>
      </c>
      <c r="AW63" s="55">
        <v>55</v>
      </c>
      <c r="AX63" s="56">
        <v>375</v>
      </c>
      <c r="AY63" s="55">
        <v>30</v>
      </c>
      <c r="AZ63" s="56">
        <v>355</v>
      </c>
      <c r="BA63" s="55">
        <v>45</v>
      </c>
      <c r="BB63" s="56">
        <v>360</v>
      </c>
      <c r="BC63" s="55">
        <v>38</v>
      </c>
      <c r="BD63" s="56">
        <v>363</v>
      </c>
      <c r="BE63" s="55">
        <v>41</v>
      </c>
      <c r="BF63" s="56">
        <v>370</v>
      </c>
      <c r="BG63" s="55">
        <v>57</v>
      </c>
      <c r="BH63" s="56">
        <v>390</v>
      </c>
      <c r="BI63" s="55">
        <v>25</v>
      </c>
      <c r="BJ63" s="56">
        <v>360</v>
      </c>
      <c r="BK63" s="55">
        <v>35</v>
      </c>
      <c r="BL63" s="56">
        <v>380</v>
      </c>
      <c r="BM63" s="55">
        <v>44</v>
      </c>
      <c r="BN63" s="56">
        <v>460</v>
      </c>
      <c r="BO63" s="55">
        <v>38</v>
      </c>
      <c r="BP63" s="56">
        <v>440</v>
      </c>
      <c r="BQ63" s="55">
        <v>29</v>
      </c>
      <c r="BR63" s="56">
        <v>400</v>
      </c>
      <c r="BS63" s="55">
        <v>26</v>
      </c>
      <c r="BT63" s="56">
        <v>470</v>
      </c>
      <c r="BU63" s="55">
        <v>38</v>
      </c>
      <c r="BV63" s="56">
        <v>505</v>
      </c>
      <c r="BW63" s="55">
        <v>46</v>
      </c>
      <c r="BX63" s="56">
        <v>533</v>
      </c>
      <c r="BY63" s="55">
        <v>32</v>
      </c>
      <c r="BZ63" s="56">
        <v>550</v>
      </c>
      <c r="CA63" s="55">
        <v>32</v>
      </c>
      <c r="CB63" s="56">
        <v>498</v>
      </c>
      <c r="CC63" s="55">
        <v>57</v>
      </c>
      <c r="CD63" s="56">
        <v>500</v>
      </c>
      <c r="CE63" s="55">
        <v>35</v>
      </c>
      <c r="CF63" s="56">
        <v>530</v>
      </c>
      <c r="CG63" s="55">
        <v>36</v>
      </c>
      <c r="CH63" s="56">
        <v>531</v>
      </c>
      <c r="CI63" s="55">
        <v>51</v>
      </c>
      <c r="CJ63" s="56">
        <v>550</v>
      </c>
      <c r="CK63" s="55">
        <v>79</v>
      </c>
      <c r="CL63" s="56">
        <v>600</v>
      </c>
      <c r="CM63" s="55">
        <v>48</v>
      </c>
      <c r="CN63" s="56">
        <v>545</v>
      </c>
      <c r="CO63" s="55">
        <v>60</v>
      </c>
      <c r="CP63" s="56">
        <v>550</v>
      </c>
      <c r="CQ63" s="55">
        <v>61</v>
      </c>
      <c r="CR63" s="56">
        <v>550</v>
      </c>
      <c r="CS63" s="55">
        <v>69</v>
      </c>
      <c r="CT63" s="56">
        <v>590</v>
      </c>
      <c r="CU63" s="55">
        <v>54</v>
      </c>
      <c r="CV63" s="56">
        <v>600</v>
      </c>
      <c r="CW63" s="55">
        <v>43</v>
      </c>
      <c r="CX63" s="56">
        <v>580</v>
      </c>
      <c r="CY63" s="55">
        <v>45</v>
      </c>
      <c r="CZ63" s="56">
        <v>600</v>
      </c>
      <c r="DA63" s="55">
        <v>80</v>
      </c>
      <c r="DB63" s="56">
        <v>575</v>
      </c>
      <c r="DC63" s="55">
        <v>53</v>
      </c>
      <c r="DD63" s="56">
        <v>580</v>
      </c>
      <c r="DE63" s="55">
        <v>62</v>
      </c>
      <c r="DF63" s="56">
        <v>596</v>
      </c>
      <c r="DG63" s="55">
        <v>65</v>
      </c>
      <c r="DH63" s="56">
        <v>595</v>
      </c>
      <c r="DI63" s="55">
        <v>78</v>
      </c>
      <c r="DJ63" s="56">
        <v>648</v>
      </c>
      <c r="DK63" s="55">
        <v>46</v>
      </c>
      <c r="DL63" s="56">
        <v>598</v>
      </c>
      <c r="DM63" s="55">
        <v>55</v>
      </c>
      <c r="DN63" s="56">
        <v>600</v>
      </c>
      <c r="DO63" s="55">
        <v>69</v>
      </c>
      <c r="DP63" s="56">
        <v>600</v>
      </c>
      <c r="DQ63" s="55">
        <v>84</v>
      </c>
      <c r="DR63" s="56">
        <v>620</v>
      </c>
      <c r="DS63" s="55">
        <v>48</v>
      </c>
      <c r="DT63" s="56">
        <v>645</v>
      </c>
      <c r="DU63" s="55">
        <v>55</v>
      </c>
      <c r="DV63" s="56">
        <v>650</v>
      </c>
      <c r="DW63" s="55">
        <v>81</v>
      </c>
      <c r="DX63" s="56">
        <v>615</v>
      </c>
      <c r="DY63" s="55">
        <v>92</v>
      </c>
      <c r="DZ63" s="56">
        <v>655</v>
      </c>
      <c r="EA63" s="55">
        <v>76</v>
      </c>
      <c r="EB63" s="56">
        <v>620</v>
      </c>
      <c r="EC63" s="55">
        <v>70</v>
      </c>
      <c r="ED63" s="56">
        <v>592</v>
      </c>
      <c r="EE63" s="55">
        <v>77</v>
      </c>
      <c r="EF63" s="56">
        <v>650</v>
      </c>
      <c r="EG63" s="55">
        <v>103</v>
      </c>
      <c r="EH63" s="56">
        <v>660</v>
      </c>
      <c r="EI63" s="55">
        <v>58</v>
      </c>
      <c r="EJ63" s="56">
        <v>650</v>
      </c>
      <c r="EK63" s="55">
        <v>82</v>
      </c>
      <c r="EL63" s="56">
        <v>620</v>
      </c>
      <c r="EM63" s="55">
        <v>71</v>
      </c>
      <c r="EN63" s="56">
        <v>660</v>
      </c>
      <c r="EO63" s="55">
        <v>107</v>
      </c>
      <c r="EP63" s="56">
        <v>680</v>
      </c>
      <c r="EQ63" s="55">
        <v>59</v>
      </c>
      <c r="ER63" s="56">
        <v>680</v>
      </c>
      <c r="ES63" s="55">
        <v>61</v>
      </c>
      <c r="ET63" s="56">
        <v>630</v>
      </c>
      <c r="EU63" s="55">
        <v>78</v>
      </c>
      <c r="EV63" s="56">
        <v>700</v>
      </c>
      <c r="EW63" s="55">
        <v>84</v>
      </c>
      <c r="EX63" s="56">
        <v>698</v>
      </c>
      <c r="EY63" s="55">
        <v>55</v>
      </c>
      <c r="EZ63" s="56">
        <v>700</v>
      </c>
      <c r="FA63" s="55">
        <v>73</v>
      </c>
      <c r="FB63" s="56">
        <v>680</v>
      </c>
      <c r="FC63" s="55">
        <v>85</v>
      </c>
      <c r="FD63" s="56">
        <v>730</v>
      </c>
      <c r="FE63" s="55">
        <v>75</v>
      </c>
      <c r="FF63" s="56">
        <v>750</v>
      </c>
      <c r="FG63" s="55">
        <v>48</v>
      </c>
      <c r="FH63" s="56">
        <v>725</v>
      </c>
      <c r="FI63" s="55">
        <v>59</v>
      </c>
      <c r="FJ63" s="56">
        <v>700</v>
      </c>
      <c r="FK63" s="55">
        <v>53</v>
      </c>
      <c r="FL63" s="56">
        <v>750</v>
      </c>
      <c r="FM63" s="55">
        <v>104</v>
      </c>
      <c r="FN63" s="56">
        <v>760</v>
      </c>
      <c r="FO63" s="55">
        <v>84</v>
      </c>
      <c r="FP63" s="56">
        <v>710</v>
      </c>
      <c r="FQ63" s="55">
        <v>82</v>
      </c>
      <c r="FR63" s="56">
        <v>670</v>
      </c>
      <c r="FS63" s="55">
        <v>82</v>
      </c>
      <c r="FT63" s="56">
        <v>700</v>
      </c>
      <c r="FU63" s="55">
        <v>134</v>
      </c>
      <c r="FV63" s="56">
        <v>700</v>
      </c>
      <c r="FW63" s="55">
        <v>68</v>
      </c>
      <c r="FX63" s="56">
        <v>690</v>
      </c>
      <c r="FY63" s="55">
        <v>97</v>
      </c>
      <c r="FZ63" s="56">
        <v>640</v>
      </c>
      <c r="GA63" s="55">
        <v>83</v>
      </c>
      <c r="GB63" s="56">
        <v>700</v>
      </c>
      <c r="GC63" s="55">
        <v>151</v>
      </c>
      <c r="GD63" s="56">
        <v>730</v>
      </c>
      <c r="GE63" s="55">
        <v>70</v>
      </c>
      <c r="GF63" s="56">
        <v>720</v>
      </c>
      <c r="GG63" s="55">
        <v>90</v>
      </c>
      <c r="GH63" s="56">
        <v>673</v>
      </c>
      <c r="GI63" s="55">
        <v>99</v>
      </c>
      <c r="GJ63" s="56">
        <v>730</v>
      </c>
      <c r="GK63" s="55">
        <v>130</v>
      </c>
      <c r="GL63" s="56">
        <v>760</v>
      </c>
      <c r="GM63" s="55">
        <v>70</v>
      </c>
      <c r="GN63" s="56">
        <v>828</v>
      </c>
      <c r="GO63" s="55">
        <v>77</v>
      </c>
      <c r="GP63" s="56">
        <v>820</v>
      </c>
      <c r="GQ63" s="55">
        <v>68</v>
      </c>
      <c r="GR63" s="56">
        <v>800</v>
      </c>
      <c r="GS63" s="55">
        <v>67</v>
      </c>
      <c r="GT63" s="56">
        <v>840</v>
      </c>
      <c r="GU63" s="55">
        <v>65</v>
      </c>
      <c r="GV63" s="56">
        <v>850</v>
      </c>
      <c r="GW63" s="55">
        <v>77</v>
      </c>
      <c r="GX63" s="56">
        <v>850</v>
      </c>
      <c r="GY63" s="55">
        <v>68</v>
      </c>
      <c r="GZ63" s="56">
        <v>860</v>
      </c>
      <c r="HA63">
        <v>88</v>
      </c>
      <c r="HB63" s="56">
        <v>805</v>
      </c>
      <c r="HC63">
        <v>55</v>
      </c>
      <c r="HD63" s="56">
        <v>880</v>
      </c>
      <c r="HE63">
        <v>76</v>
      </c>
      <c r="HF63" s="56">
        <v>900</v>
      </c>
    </row>
    <row r="64" spans="1:215" x14ac:dyDescent="0.25">
      <c r="A64" s="53"/>
      <c r="B64" s="54" t="s">
        <v>802</v>
      </c>
      <c r="C64" s="55">
        <v>101</v>
      </c>
      <c r="D64" s="56">
        <v>150</v>
      </c>
      <c r="E64" s="55">
        <v>103</v>
      </c>
      <c r="F64" s="56">
        <v>150</v>
      </c>
      <c r="G64" s="55">
        <v>115</v>
      </c>
      <c r="H64" s="56">
        <v>160</v>
      </c>
      <c r="I64" s="55">
        <v>128</v>
      </c>
      <c r="J64" s="56">
        <v>150</v>
      </c>
      <c r="K64" s="55">
        <v>131</v>
      </c>
      <c r="L64" s="56">
        <v>160</v>
      </c>
      <c r="M64" s="55">
        <v>127</v>
      </c>
      <c r="N64" s="56">
        <v>160</v>
      </c>
      <c r="O64" s="55">
        <v>125</v>
      </c>
      <c r="P64" s="56">
        <v>160</v>
      </c>
      <c r="Q64" s="55">
        <v>108</v>
      </c>
      <c r="R64" s="56">
        <v>161</v>
      </c>
      <c r="S64" s="55">
        <v>134</v>
      </c>
      <c r="T64" s="56">
        <v>165</v>
      </c>
      <c r="U64" s="55">
        <v>121</v>
      </c>
      <c r="V64" s="56">
        <v>170</v>
      </c>
      <c r="W64" s="55">
        <v>140</v>
      </c>
      <c r="X64" s="56">
        <v>170</v>
      </c>
      <c r="Y64" s="55">
        <v>158</v>
      </c>
      <c r="Z64" s="56">
        <v>175</v>
      </c>
      <c r="AA64" s="55">
        <v>157</v>
      </c>
      <c r="AB64" s="56">
        <v>175</v>
      </c>
      <c r="AC64" s="55">
        <v>165</v>
      </c>
      <c r="AD64" s="56">
        <v>185</v>
      </c>
      <c r="AE64" s="55">
        <v>178</v>
      </c>
      <c r="AF64" s="56">
        <v>185</v>
      </c>
      <c r="AG64" s="55">
        <v>212</v>
      </c>
      <c r="AH64" s="56">
        <v>190</v>
      </c>
      <c r="AI64" s="55">
        <v>180</v>
      </c>
      <c r="AJ64" s="56">
        <v>185</v>
      </c>
      <c r="AK64" s="55">
        <v>215</v>
      </c>
      <c r="AL64" s="56">
        <v>185</v>
      </c>
      <c r="AM64" s="55">
        <v>220</v>
      </c>
      <c r="AN64" s="56">
        <v>190</v>
      </c>
      <c r="AO64" s="55">
        <v>220</v>
      </c>
      <c r="AP64" s="56">
        <v>190</v>
      </c>
      <c r="AQ64" s="55">
        <v>187</v>
      </c>
      <c r="AR64" s="56">
        <v>190</v>
      </c>
      <c r="AS64" s="55">
        <v>214</v>
      </c>
      <c r="AT64" s="56">
        <v>193</v>
      </c>
      <c r="AU64" s="55">
        <v>206</v>
      </c>
      <c r="AV64" s="56">
        <v>195</v>
      </c>
      <c r="AW64" s="55">
        <v>188</v>
      </c>
      <c r="AX64" s="56">
        <v>195</v>
      </c>
      <c r="AY64" s="55">
        <v>212</v>
      </c>
      <c r="AZ64" s="56">
        <v>200</v>
      </c>
      <c r="BA64" s="55">
        <v>264</v>
      </c>
      <c r="BB64" s="56">
        <v>200</v>
      </c>
      <c r="BC64" s="55">
        <v>222</v>
      </c>
      <c r="BD64" s="56">
        <v>210</v>
      </c>
      <c r="BE64" s="55">
        <v>228</v>
      </c>
      <c r="BF64" s="56">
        <v>210</v>
      </c>
      <c r="BG64" s="55">
        <v>250</v>
      </c>
      <c r="BH64" s="56">
        <v>200</v>
      </c>
      <c r="BI64" s="55">
        <v>264</v>
      </c>
      <c r="BJ64" s="56">
        <v>205</v>
      </c>
      <c r="BK64" s="55">
        <v>238</v>
      </c>
      <c r="BL64" s="56">
        <v>203</v>
      </c>
      <c r="BM64" s="55">
        <v>287</v>
      </c>
      <c r="BN64" s="56">
        <v>210</v>
      </c>
      <c r="BO64" s="55">
        <v>260</v>
      </c>
      <c r="BP64" s="56">
        <v>225</v>
      </c>
      <c r="BQ64" s="55">
        <v>288</v>
      </c>
      <c r="BR64" s="56">
        <v>230</v>
      </c>
      <c r="BS64" s="55">
        <v>276</v>
      </c>
      <c r="BT64" s="56">
        <v>240</v>
      </c>
      <c r="BU64" s="55">
        <v>314</v>
      </c>
      <c r="BV64" s="56">
        <v>240</v>
      </c>
      <c r="BW64" s="55">
        <v>330</v>
      </c>
      <c r="BX64" s="56">
        <v>250</v>
      </c>
      <c r="BY64" s="55">
        <v>281</v>
      </c>
      <c r="BZ64" s="56">
        <v>250</v>
      </c>
      <c r="CA64" s="55">
        <v>249</v>
      </c>
      <c r="CB64" s="56">
        <v>250</v>
      </c>
      <c r="CC64" s="55">
        <v>338</v>
      </c>
      <c r="CD64" s="56">
        <v>260</v>
      </c>
      <c r="CE64" s="55">
        <v>378</v>
      </c>
      <c r="CF64" s="56">
        <v>265</v>
      </c>
      <c r="CG64" s="55">
        <v>365</v>
      </c>
      <c r="CH64" s="56">
        <v>270</v>
      </c>
      <c r="CI64" s="55">
        <v>362</v>
      </c>
      <c r="CJ64" s="56">
        <v>270</v>
      </c>
      <c r="CK64" s="55">
        <v>425</v>
      </c>
      <c r="CL64" s="56">
        <v>270</v>
      </c>
      <c r="CM64" s="55">
        <v>384</v>
      </c>
      <c r="CN64" s="56">
        <v>280</v>
      </c>
      <c r="CO64" s="55">
        <v>434</v>
      </c>
      <c r="CP64" s="56">
        <v>280</v>
      </c>
      <c r="CQ64" s="55">
        <v>417</v>
      </c>
      <c r="CR64" s="56">
        <v>285</v>
      </c>
      <c r="CS64" s="55">
        <v>448</v>
      </c>
      <c r="CT64" s="56">
        <v>285</v>
      </c>
      <c r="CU64" s="55">
        <v>467</v>
      </c>
      <c r="CV64" s="56">
        <v>280</v>
      </c>
      <c r="CW64" s="55">
        <v>484</v>
      </c>
      <c r="CX64" s="56">
        <v>285</v>
      </c>
      <c r="CY64" s="55">
        <v>416</v>
      </c>
      <c r="CZ64" s="56">
        <v>280</v>
      </c>
      <c r="DA64" s="55">
        <v>395</v>
      </c>
      <c r="DB64" s="56">
        <v>275</v>
      </c>
      <c r="DC64" s="55">
        <v>410</v>
      </c>
      <c r="DD64" s="56">
        <v>280</v>
      </c>
      <c r="DE64" s="55">
        <v>513</v>
      </c>
      <c r="DF64" s="56">
        <v>280</v>
      </c>
      <c r="DG64" s="55">
        <v>459</v>
      </c>
      <c r="DH64" s="56">
        <v>285</v>
      </c>
      <c r="DI64" s="55">
        <v>466</v>
      </c>
      <c r="DJ64" s="56">
        <v>287</v>
      </c>
      <c r="DK64" s="55">
        <v>472</v>
      </c>
      <c r="DL64" s="56">
        <v>290</v>
      </c>
      <c r="DM64" s="55">
        <v>425</v>
      </c>
      <c r="DN64" s="56">
        <v>300</v>
      </c>
      <c r="DO64" s="55">
        <v>450</v>
      </c>
      <c r="DP64" s="56">
        <v>300</v>
      </c>
      <c r="DQ64" s="55">
        <v>402</v>
      </c>
      <c r="DR64" s="56">
        <v>300</v>
      </c>
      <c r="DS64" s="55">
        <v>429</v>
      </c>
      <c r="DT64" s="56">
        <v>300</v>
      </c>
      <c r="DU64" s="55">
        <v>422</v>
      </c>
      <c r="DV64" s="56">
        <v>310</v>
      </c>
      <c r="DW64" s="55">
        <v>460</v>
      </c>
      <c r="DX64" s="56">
        <v>310</v>
      </c>
      <c r="DY64" s="55">
        <v>435</v>
      </c>
      <c r="DZ64" s="56">
        <v>315</v>
      </c>
      <c r="EA64" s="55">
        <v>447</v>
      </c>
      <c r="EB64" s="56">
        <v>315</v>
      </c>
      <c r="EC64" s="55">
        <v>467</v>
      </c>
      <c r="ED64" s="56">
        <v>315</v>
      </c>
      <c r="EE64" s="55">
        <v>447</v>
      </c>
      <c r="EF64" s="56">
        <v>320</v>
      </c>
      <c r="EG64" s="55">
        <v>431</v>
      </c>
      <c r="EH64" s="56">
        <v>320</v>
      </c>
      <c r="EI64" s="55">
        <v>482</v>
      </c>
      <c r="EJ64" s="56">
        <v>330</v>
      </c>
      <c r="EK64" s="55">
        <v>490</v>
      </c>
      <c r="EL64" s="56">
        <v>330</v>
      </c>
      <c r="EM64" s="55">
        <v>473</v>
      </c>
      <c r="EN64" s="56">
        <v>330</v>
      </c>
      <c r="EO64" s="55">
        <v>453</v>
      </c>
      <c r="EP64" s="56">
        <v>340</v>
      </c>
      <c r="EQ64" s="55">
        <v>452</v>
      </c>
      <c r="ER64" s="56">
        <v>340</v>
      </c>
      <c r="ES64" s="55">
        <v>472</v>
      </c>
      <c r="ET64" s="56">
        <v>340</v>
      </c>
      <c r="EU64" s="55">
        <v>480</v>
      </c>
      <c r="EV64" s="56">
        <v>350</v>
      </c>
      <c r="EW64" s="55">
        <v>507</v>
      </c>
      <c r="EX64" s="56">
        <v>350</v>
      </c>
      <c r="EY64" s="55">
        <v>464</v>
      </c>
      <c r="EZ64" s="56">
        <v>350</v>
      </c>
      <c r="FA64" s="55">
        <v>493</v>
      </c>
      <c r="FB64" s="56">
        <v>350</v>
      </c>
      <c r="FC64" s="55">
        <v>481</v>
      </c>
      <c r="FD64" s="56">
        <v>350</v>
      </c>
      <c r="FE64" s="55">
        <v>492</v>
      </c>
      <c r="FF64" s="56">
        <v>353</v>
      </c>
      <c r="FG64" s="55">
        <v>495</v>
      </c>
      <c r="FH64" s="56">
        <v>360</v>
      </c>
      <c r="FI64" s="55">
        <v>548</v>
      </c>
      <c r="FJ64" s="56">
        <v>350</v>
      </c>
      <c r="FK64" s="55">
        <v>500</v>
      </c>
      <c r="FL64" s="56">
        <v>360</v>
      </c>
      <c r="FM64" s="55">
        <v>501</v>
      </c>
      <c r="FN64" s="56">
        <v>360</v>
      </c>
      <c r="FO64" s="55">
        <v>517</v>
      </c>
      <c r="FP64" s="56">
        <v>350</v>
      </c>
      <c r="FQ64" s="55">
        <v>434</v>
      </c>
      <c r="FR64" s="56">
        <v>350</v>
      </c>
      <c r="FS64" s="55">
        <v>548</v>
      </c>
      <c r="FT64" s="56">
        <v>360</v>
      </c>
      <c r="FU64" s="55">
        <v>524</v>
      </c>
      <c r="FV64" s="56">
        <v>355</v>
      </c>
      <c r="FW64" s="55">
        <v>562</v>
      </c>
      <c r="FX64" s="56">
        <v>360</v>
      </c>
      <c r="FY64" s="55">
        <v>605</v>
      </c>
      <c r="FZ64" s="56">
        <v>360</v>
      </c>
      <c r="GA64" s="55">
        <v>649</v>
      </c>
      <c r="GB64" s="56">
        <v>360</v>
      </c>
      <c r="GC64" s="55">
        <v>596</v>
      </c>
      <c r="GD64" s="56">
        <v>370</v>
      </c>
      <c r="GE64" s="55">
        <v>629</v>
      </c>
      <c r="GF64" s="56">
        <v>370</v>
      </c>
      <c r="GG64" s="55">
        <v>699</v>
      </c>
      <c r="GH64" s="56">
        <v>380</v>
      </c>
      <c r="GI64" s="55">
        <v>654</v>
      </c>
      <c r="GJ64" s="56">
        <v>380</v>
      </c>
      <c r="GK64" s="55">
        <v>600</v>
      </c>
      <c r="GL64" s="56">
        <v>395</v>
      </c>
      <c r="GM64" s="55">
        <v>659</v>
      </c>
      <c r="GN64" s="56">
        <v>415</v>
      </c>
      <c r="GO64" s="55">
        <v>689</v>
      </c>
      <c r="GP64" s="56">
        <v>430</v>
      </c>
      <c r="GQ64" s="55">
        <v>632</v>
      </c>
      <c r="GR64" s="56">
        <v>430</v>
      </c>
      <c r="GS64" s="55">
        <v>671</v>
      </c>
      <c r="GT64" s="56">
        <v>450</v>
      </c>
      <c r="GU64" s="55">
        <v>652</v>
      </c>
      <c r="GV64" s="56">
        <v>450</v>
      </c>
      <c r="GW64" s="55">
        <v>658</v>
      </c>
      <c r="GX64" s="56">
        <v>450</v>
      </c>
      <c r="GY64" s="55">
        <v>745</v>
      </c>
      <c r="GZ64" s="56">
        <v>460</v>
      </c>
      <c r="HA64">
        <v>795</v>
      </c>
      <c r="HB64" s="56">
        <v>460</v>
      </c>
      <c r="HC64">
        <v>768</v>
      </c>
      <c r="HD64" s="56">
        <v>450</v>
      </c>
      <c r="HE64">
        <v>801</v>
      </c>
      <c r="HF64" s="56">
        <v>450</v>
      </c>
    </row>
    <row r="65" spans="1:214" x14ac:dyDescent="0.25">
      <c r="A65" s="53"/>
      <c r="B65" s="54" t="s">
        <v>803</v>
      </c>
      <c r="C65" s="55">
        <v>274</v>
      </c>
      <c r="D65" s="56">
        <v>190</v>
      </c>
      <c r="E65" s="55">
        <v>309</v>
      </c>
      <c r="F65" s="56">
        <v>190</v>
      </c>
      <c r="G65" s="55">
        <v>299</v>
      </c>
      <c r="H65" s="56">
        <v>195</v>
      </c>
      <c r="I65" s="55">
        <v>415</v>
      </c>
      <c r="J65" s="56">
        <v>200</v>
      </c>
      <c r="K65" s="55">
        <v>262</v>
      </c>
      <c r="L65" s="56">
        <v>200</v>
      </c>
      <c r="M65" s="55">
        <v>315</v>
      </c>
      <c r="N65" s="56">
        <v>200</v>
      </c>
      <c r="O65" s="55">
        <v>312</v>
      </c>
      <c r="P65" s="56">
        <v>200</v>
      </c>
      <c r="Q65" s="55">
        <v>400</v>
      </c>
      <c r="R65" s="56">
        <v>215</v>
      </c>
      <c r="S65" s="55">
        <v>292</v>
      </c>
      <c r="T65" s="56">
        <v>210</v>
      </c>
      <c r="U65" s="55">
        <v>289</v>
      </c>
      <c r="V65" s="56">
        <v>210</v>
      </c>
      <c r="W65" s="55">
        <v>279</v>
      </c>
      <c r="X65" s="56">
        <v>215</v>
      </c>
      <c r="Y65" s="55">
        <v>361</v>
      </c>
      <c r="Z65" s="56">
        <v>220</v>
      </c>
      <c r="AA65" s="55">
        <v>335</v>
      </c>
      <c r="AB65" s="56">
        <v>215</v>
      </c>
      <c r="AC65" s="55">
        <v>315</v>
      </c>
      <c r="AD65" s="56">
        <v>220</v>
      </c>
      <c r="AE65" s="55">
        <v>271</v>
      </c>
      <c r="AF65" s="56">
        <v>215</v>
      </c>
      <c r="AG65" s="55">
        <v>389</v>
      </c>
      <c r="AH65" s="56">
        <v>230</v>
      </c>
      <c r="AI65" s="55">
        <v>266</v>
      </c>
      <c r="AJ65" s="56">
        <v>220</v>
      </c>
      <c r="AK65" s="55">
        <v>316</v>
      </c>
      <c r="AL65" s="56">
        <v>220</v>
      </c>
      <c r="AM65" s="55">
        <v>313</v>
      </c>
      <c r="AN65" s="56">
        <v>220</v>
      </c>
      <c r="AO65" s="55">
        <v>397</v>
      </c>
      <c r="AP65" s="56">
        <v>240</v>
      </c>
      <c r="AQ65" s="55">
        <v>243</v>
      </c>
      <c r="AR65" s="56">
        <v>230</v>
      </c>
      <c r="AS65" s="55">
        <v>282</v>
      </c>
      <c r="AT65" s="56">
        <v>225</v>
      </c>
      <c r="AU65" s="55">
        <v>301</v>
      </c>
      <c r="AV65" s="56">
        <v>230</v>
      </c>
      <c r="AW65" s="55">
        <v>316</v>
      </c>
      <c r="AX65" s="56">
        <v>250</v>
      </c>
      <c r="AY65" s="55">
        <v>269</v>
      </c>
      <c r="AZ65" s="56">
        <v>230</v>
      </c>
      <c r="BA65" s="55">
        <v>299</v>
      </c>
      <c r="BB65" s="56">
        <v>235</v>
      </c>
      <c r="BC65" s="55">
        <v>242</v>
      </c>
      <c r="BD65" s="56">
        <v>240</v>
      </c>
      <c r="BE65" s="55">
        <v>312</v>
      </c>
      <c r="BF65" s="56">
        <v>250</v>
      </c>
      <c r="BG65" s="55">
        <v>216</v>
      </c>
      <c r="BH65" s="56">
        <v>246</v>
      </c>
      <c r="BI65" s="55">
        <v>254</v>
      </c>
      <c r="BJ65" s="56">
        <v>250</v>
      </c>
      <c r="BK65" s="55">
        <v>219</v>
      </c>
      <c r="BL65" s="56">
        <v>260</v>
      </c>
      <c r="BM65" s="55">
        <v>274</v>
      </c>
      <c r="BN65" s="56">
        <v>280</v>
      </c>
      <c r="BO65" s="55">
        <v>229</v>
      </c>
      <c r="BP65" s="56">
        <v>280</v>
      </c>
      <c r="BQ65" s="55">
        <v>239</v>
      </c>
      <c r="BR65" s="56">
        <v>285</v>
      </c>
      <c r="BS65" s="55">
        <v>205</v>
      </c>
      <c r="BT65" s="56">
        <v>300</v>
      </c>
      <c r="BU65" s="55">
        <v>278</v>
      </c>
      <c r="BV65" s="56">
        <v>318</v>
      </c>
      <c r="BW65" s="55">
        <v>266</v>
      </c>
      <c r="BX65" s="56">
        <v>340</v>
      </c>
      <c r="BY65" s="55">
        <v>257</v>
      </c>
      <c r="BZ65" s="56">
        <v>340</v>
      </c>
      <c r="CA65" s="55">
        <v>238</v>
      </c>
      <c r="CB65" s="56">
        <v>350</v>
      </c>
      <c r="CC65" s="55">
        <v>263</v>
      </c>
      <c r="CD65" s="56">
        <v>350</v>
      </c>
      <c r="CE65" s="55">
        <v>249</v>
      </c>
      <c r="CF65" s="56">
        <v>350</v>
      </c>
      <c r="CG65" s="55">
        <v>252</v>
      </c>
      <c r="CH65" s="56">
        <v>340</v>
      </c>
      <c r="CI65" s="55">
        <v>284</v>
      </c>
      <c r="CJ65" s="56">
        <v>360</v>
      </c>
      <c r="CK65" s="55">
        <v>289</v>
      </c>
      <c r="CL65" s="56">
        <v>370</v>
      </c>
      <c r="CM65" s="55">
        <v>283</v>
      </c>
      <c r="CN65" s="56">
        <v>360</v>
      </c>
      <c r="CO65" s="55">
        <v>313</v>
      </c>
      <c r="CP65" s="56">
        <v>360</v>
      </c>
      <c r="CQ65" s="55">
        <v>308</v>
      </c>
      <c r="CR65" s="56">
        <v>369</v>
      </c>
      <c r="CS65" s="55">
        <v>374</v>
      </c>
      <c r="CT65" s="56">
        <v>360</v>
      </c>
      <c r="CU65" s="55">
        <v>290</v>
      </c>
      <c r="CV65" s="56">
        <v>380</v>
      </c>
      <c r="CW65" s="55">
        <v>311</v>
      </c>
      <c r="CX65" s="56">
        <v>380</v>
      </c>
      <c r="CY65" s="55">
        <v>338</v>
      </c>
      <c r="CZ65" s="56">
        <v>375</v>
      </c>
      <c r="DA65" s="55">
        <v>376</v>
      </c>
      <c r="DB65" s="56">
        <v>377</v>
      </c>
      <c r="DC65" s="55">
        <v>300</v>
      </c>
      <c r="DD65" s="56">
        <v>380</v>
      </c>
      <c r="DE65" s="55">
        <v>319</v>
      </c>
      <c r="DF65" s="56">
        <v>375</v>
      </c>
      <c r="DG65" s="55">
        <v>330</v>
      </c>
      <c r="DH65" s="56">
        <v>380</v>
      </c>
      <c r="DI65" s="55">
        <v>377</v>
      </c>
      <c r="DJ65" s="56">
        <v>420</v>
      </c>
      <c r="DK65" s="55">
        <v>328</v>
      </c>
      <c r="DL65" s="56">
        <v>380</v>
      </c>
      <c r="DM65" s="55">
        <v>325</v>
      </c>
      <c r="DN65" s="56">
        <v>390</v>
      </c>
      <c r="DO65" s="55">
        <v>319</v>
      </c>
      <c r="DP65" s="56">
        <v>400</v>
      </c>
      <c r="DQ65" s="55">
        <v>363</v>
      </c>
      <c r="DR65" s="56">
        <v>410</v>
      </c>
      <c r="DS65" s="55">
        <v>270</v>
      </c>
      <c r="DT65" s="56">
        <v>420</v>
      </c>
      <c r="DU65" s="55">
        <v>328</v>
      </c>
      <c r="DV65" s="56">
        <v>420</v>
      </c>
      <c r="DW65" s="55">
        <v>349</v>
      </c>
      <c r="DX65" s="56">
        <v>430</v>
      </c>
      <c r="DY65" s="55">
        <v>389</v>
      </c>
      <c r="DZ65" s="56">
        <v>430</v>
      </c>
      <c r="EA65" s="55">
        <v>306</v>
      </c>
      <c r="EB65" s="56">
        <v>400</v>
      </c>
      <c r="EC65" s="55">
        <v>295</v>
      </c>
      <c r="ED65" s="56">
        <v>420</v>
      </c>
      <c r="EE65" s="55">
        <v>349</v>
      </c>
      <c r="EF65" s="56">
        <v>440</v>
      </c>
      <c r="EG65" s="55">
        <v>407</v>
      </c>
      <c r="EH65" s="56">
        <v>455</v>
      </c>
      <c r="EI65" s="55">
        <v>339</v>
      </c>
      <c r="EJ65" s="56">
        <v>440</v>
      </c>
      <c r="EK65" s="55">
        <v>365</v>
      </c>
      <c r="EL65" s="56">
        <v>450</v>
      </c>
      <c r="EM65" s="55">
        <v>384</v>
      </c>
      <c r="EN65" s="56">
        <v>450</v>
      </c>
      <c r="EO65" s="55">
        <v>424</v>
      </c>
      <c r="EP65" s="56">
        <v>460</v>
      </c>
      <c r="EQ65" s="55">
        <v>335</v>
      </c>
      <c r="ER65" s="56">
        <v>460</v>
      </c>
      <c r="ES65" s="55">
        <v>415</v>
      </c>
      <c r="ET65" s="56">
        <v>450</v>
      </c>
      <c r="EU65" s="55">
        <v>385</v>
      </c>
      <c r="EV65" s="56">
        <v>465</v>
      </c>
      <c r="EW65" s="55">
        <v>422</v>
      </c>
      <c r="EX65" s="56">
        <v>480</v>
      </c>
      <c r="EY65" s="55">
        <v>298</v>
      </c>
      <c r="EZ65" s="56">
        <v>468</v>
      </c>
      <c r="FA65" s="55">
        <v>386</v>
      </c>
      <c r="FB65" s="56">
        <v>490</v>
      </c>
      <c r="FC65" s="55">
        <v>387</v>
      </c>
      <c r="FD65" s="56">
        <v>500</v>
      </c>
      <c r="FE65" s="55">
        <v>380</v>
      </c>
      <c r="FF65" s="56">
        <v>508</v>
      </c>
      <c r="FG65" s="55">
        <v>308</v>
      </c>
      <c r="FH65" s="56">
        <v>500</v>
      </c>
      <c r="FI65" s="55">
        <v>370</v>
      </c>
      <c r="FJ65" s="56">
        <v>490</v>
      </c>
      <c r="FK65" s="55">
        <v>359</v>
      </c>
      <c r="FL65" s="56">
        <v>490</v>
      </c>
      <c r="FM65" s="55">
        <v>413</v>
      </c>
      <c r="FN65" s="56">
        <v>500</v>
      </c>
      <c r="FO65" s="55">
        <v>332</v>
      </c>
      <c r="FP65" s="56">
        <v>488</v>
      </c>
      <c r="FQ65" s="55">
        <v>322</v>
      </c>
      <c r="FR65" s="56">
        <v>480</v>
      </c>
      <c r="FS65" s="55">
        <v>333</v>
      </c>
      <c r="FT65" s="56">
        <v>500</v>
      </c>
      <c r="FU65" s="55">
        <v>462</v>
      </c>
      <c r="FV65" s="56">
        <v>510</v>
      </c>
      <c r="FW65" s="55">
        <v>361</v>
      </c>
      <c r="FX65" s="56">
        <v>500</v>
      </c>
      <c r="FY65" s="55">
        <v>319</v>
      </c>
      <c r="FZ65" s="56">
        <v>510</v>
      </c>
      <c r="GA65" s="55">
        <v>385</v>
      </c>
      <c r="GB65" s="56">
        <v>510</v>
      </c>
      <c r="GC65" s="55">
        <v>429</v>
      </c>
      <c r="GD65" s="56">
        <v>510</v>
      </c>
      <c r="GE65" s="55">
        <v>342</v>
      </c>
      <c r="GF65" s="56">
        <v>500</v>
      </c>
      <c r="GG65" s="55">
        <v>372</v>
      </c>
      <c r="GH65" s="56">
        <v>515</v>
      </c>
      <c r="GI65" s="55">
        <v>343</v>
      </c>
      <c r="GJ65" s="56">
        <v>510</v>
      </c>
      <c r="GK65" s="55">
        <v>334</v>
      </c>
      <c r="GL65" s="56">
        <v>560</v>
      </c>
      <c r="GM65" s="55">
        <v>242</v>
      </c>
      <c r="GN65" s="56">
        <v>580</v>
      </c>
      <c r="GO65" s="55">
        <v>300</v>
      </c>
      <c r="GP65" s="56">
        <v>600</v>
      </c>
      <c r="GQ65" s="55">
        <v>261</v>
      </c>
      <c r="GR65" s="56">
        <v>600</v>
      </c>
      <c r="GS65" s="55">
        <v>283</v>
      </c>
      <c r="GT65" s="56">
        <v>676</v>
      </c>
      <c r="GU65" s="55">
        <v>275</v>
      </c>
      <c r="GV65" s="56">
        <v>650</v>
      </c>
      <c r="GW65" s="55">
        <v>242</v>
      </c>
      <c r="GX65" s="56">
        <v>650</v>
      </c>
      <c r="GY65" s="55">
        <v>295</v>
      </c>
      <c r="GZ65" s="56">
        <v>650</v>
      </c>
      <c r="HA65">
        <v>319</v>
      </c>
      <c r="HB65" s="56">
        <v>650</v>
      </c>
      <c r="HC65">
        <v>242</v>
      </c>
      <c r="HD65" s="56">
        <v>693</v>
      </c>
      <c r="HE65">
        <v>251</v>
      </c>
      <c r="HF65" s="56">
        <v>695</v>
      </c>
    </row>
    <row r="66" spans="1:214" x14ac:dyDescent="0.25">
      <c r="A66" s="53"/>
      <c r="B66" s="54" t="s">
        <v>804</v>
      </c>
      <c r="C66" s="55">
        <v>160</v>
      </c>
      <c r="D66" s="56">
        <v>220</v>
      </c>
      <c r="E66" s="55">
        <v>189</v>
      </c>
      <c r="F66" s="56">
        <v>200</v>
      </c>
      <c r="G66" s="55">
        <v>186</v>
      </c>
      <c r="H66" s="56">
        <v>200</v>
      </c>
      <c r="I66" s="55">
        <v>211</v>
      </c>
      <c r="J66" s="56">
        <v>220</v>
      </c>
      <c r="K66" s="55">
        <v>188</v>
      </c>
      <c r="L66" s="56">
        <v>210</v>
      </c>
      <c r="M66" s="55">
        <v>196</v>
      </c>
      <c r="N66" s="56">
        <v>213</v>
      </c>
      <c r="O66" s="55">
        <v>207</v>
      </c>
      <c r="P66" s="56">
        <v>220</v>
      </c>
      <c r="Q66" s="55">
        <v>209</v>
      </c>
      <c r="R66" s="56">
        <v>235</v>
      </c>
      <c r="S66" s="55">
        <v>157</v>
      </c>
      <c r="T66" s="56">
        <v>230</v>
      </c>
      <c r="U66" s="55">
        <v>190</v>
      </c>
      <c r="V66" s="56">
        <v>230</v>
      </c>
      <c r="W66" s="55">
        <v>218</v>
      </c>
      <c r="X66" s="56">
        <v>240</v>
      </c>
      <c r="Y66" s="55">
        <v>236</v>
      </c>
      <c r="Z66" s="56">
        <v>250</v>
      </c>
      <c r="AA66" s="55">
        <v>183</v>
      </c>
      <c r="AB66" s="56">
        <v>230</v>
      </c>
      <c r="AC66" s="55">
        <v>214</v>
      </c>
      <c r="AD66" s="56">
        <v>220</v>
      </c>
      <c r="AE66" s="55">
        <v>212</v>
      </c>
      <c r="AF66" s="56">
        <v>230</v>
      </c>
      <c r="AG66" s="55">
        <v>268</v>
      </c>
      <c r="AH66" s="56">
        <v>240</v>
      </c>
      <c r="AI66" s="55">
        <v>210</v>
      </c>
      <c r="AJ66" s="56">
        <v>233</v>
      </c>
      <c r="AK66" s="55">
        <v>219</v>
      </c>
      <c r="AL66" s="56">
        <v>230</v>
      </c>
      <c r="AM66" s="55">
        <v>191</v>
      </c>
      <c r="AN66" s="56">
        <v>240</v>
      </c>
      <c r="AO66" s="55">
        <v>230</v>
      </c>
      <c r="AP66" s="56">
        <v>243</v>
      </c>
      <c r="AQ66" s="55">
        <v>163</v>
      </c>
      <c r="AR66" s="56">
        <v>240</v>
      </c>
      <c r="AS66" s="55">
        <v>204</v>
      </c>
      <c r="AT66" s="56">
        <v>230</v>
      </c>
      <c r="AU66" s="55">
        <v>176</v>
      </c>
      <c r="AV66" s="56">
        <v>240</v>
      </c>
      <c r="AW66" s="55">
        <v>212</v>
      </c>
      <c r="AX66" s="56">
        <v>260</v>
      </c>
      <c r="AY66" s="55">
        <v>175</v>
      </c>
      <c r="AZ66" s="56">
        <v>250</v>
      </c>
      <c r="BA66" s="55">
        <v>202</v>
      </c>
      <c r="BB66" s="56">
        <v>248</v>
      </c>
      <c r="BC66" s="55">
        <v>171</v>
      </c>
      <c r="BD66" s="56">
        <v>250</v>
      </c>
      <c r="BE66" s="55">
        <v>201</v>
      </c>
      <c r="BF66" s="56">
        <v>260</v>
      </c>
      <c r="BG66" s="55">
        <v>154</v>
      </c>
      <c r="BH66" s="56">
        <v>275</v>
      </c>
      <c r="BI66" s="55">
        <v>165</v>
      </c>
      <c r="BJ66" s="56">
        <v>265</v>
      </c>
      <c r="BK66" s="55">
        <v>156</v>
      </c>
      <c r="BL66" s="56">
        <v>270</v>
      </c>
      <c r="BM66" s="55">
        <v>208</v>
      </c>
      <c r="BN66" s="56">
        <v>290</v>
      </c>
      <c r="BO66" s="55">
        <v>154</v>
      </c>
      <c r="BP66" s="56">
        <v>285</v>
      </c>
      <c r="BQ66" s="55">
        <v>160</v>
      </c>
      <c r="BR66" s="56">
        <v>300</v>
      </c>
      <c r="BS66" s="55">
        <v>158</v>
      </c>
      <c r="BT66" s="56">
        <v>310</v>
      </c>
      <c r="BU66" s="55">
        <v>202</v>
      </c>
      <c r="BV66" s="56">
        <v>320</v>
      </c>
      <c r="BW66" s="55">
        <v>137</v>
      </c>
      <c r="BX66" s="56">
        <v>340</v>
      </c>
      <c r="BY66" s="55">
        <v>180</v>
      </c>
      <c r="BZ66" s="56">
        <v>330</v>
      </c>
      <c r="CA66" s="55">
        <v>235</v>
      </c>
      <c r="CB66" s="56">
        <v>350</v>
      </c>
      <c r="CC66" s="55">
        <v>160</v>
      </c>
      <c r="CD66" s="56">
        <v>360</v>
      </c>
      <c r="CE66" s="55">
        <v>119</v>
      </c>
      <c r="CF66" s="56">
        <v>350</v>
      </c>
      <c r="CG66" s="55">
        <v>140</v>
      </c>
      <c r="CH66" s="56">
        <v>360</v>
      </c>
      <c r="CI66" s="55">
        <v>150</v>
      </c>
      <c r="CJ66" s="56">
        <v>370</v>
      </c>
      <c r="CK66" s="55">
        <v>187</v>
      </c>
      <c r="CL66" s="56">
        <v>380</v>
      </c>
      <c r="CM66" s="55">
        <v>155</v>
      </c>
      <c r="CN66" s="56">
        <v>370</v>
      </c>
      <c r="CO66" s="55">
        <v>160</v>
      </c>
      <c r="CP66" s="56">
        <v>405</v>
      </c>
      <c r="CQ66" s="55">
        <v>159</v>
      </c>
      <c r="CR66" s="56">
        <v>380</v>
      </c>
      <c r="CS66" s="55">
        <v>215</v>
      </c>
      <c r="CT66" s="56">
        <v>390</v>
      </c>
      <c r="CU66" s="55">
        <v>140</v>
      </c>
      <c r="CV66" s="56">
        <v>400</v>
      </c>
      <c r="CW66" s="55">
        <v>190</v>
      </c>
      <c r="CX66" s="56">
        <v>400</v>
      </c>
      <c r="CY66" s="55">
        <v>144</v>
      </c>
      <c r="CZ66" s="56">
        <v>393</v>
      </c>
      <c r="DA66" s="55">
        <v>204</v>
      </c>
      <c r="DB66" s="56">
        <v>410</v>
      </c>
      <c r="DC66" s="55">
        <v>154</v>
      </c>
      <c r="DD66" s="56">
        <v>400</v>
      </c>
      <c r="DE66" s="55">
        <v>196</v>
      </c>
      <c r="DF66" s="56">
        <v>395</v>
      </c>
      <c r="DG66" s="55">
        <v>179</v>
      </c>
      <c r="DH66" s="56">
        <v>420</v>
      </c>
      <c r="DI66" s="55">
        <v>204</v>
      </c>
      <c r="DJ66" s="56">
        <v>420</v>
      </c>
      <c r="DK66" s="55">
        <v>179</v>
      </c>
      <c r="DL66" s="56">
        <v>400</v>
      </c>
      <c r="DM66" s="55">
        <v>187</v>
      </c>
      <c r="DN66" s="56">
        <v>400</v>
      </c>
      <c r="DO66" s="55">
        <v>192</v>
      </c>
      <c r="DP66" s="56">
        <v>430</v>
      </c>
      <c r="DQ66" s="55">
        <v>209</v>
      </c>
      <c r="DR66" s="56">
        <v>420</v>
      </c>
      <c r="DS66" s="55">
        <v>169</v>
      </c>
      <c r="DT66" s="56">
        <v>450</v>
      </c>
      <c r="DU66" s="55">
        <v>186</v>
      </c>
      <c r="DV66" s="56">
        <v>450</v>
      </c>
      <c r="DW66" s="55">
        <v>197</v>
      </c>
      <c r="DX66" s="56">
        <v>420</v>
      </c>
      <c r="DY66" s="55">
        <v>221</v>
      </c>
      <c r="DZ66" s="56">
        <v>450</v>
      </c>
      <c r="EA66" s="55">
        <v>185</v>
      </c>
      <c r="EB66" s="56">
        <v>450</v>
      </c>
      <c r="EC66" s="55">
        <v>202</v>
      </c>
      <c r="ED66" s="56">
        <v>450</v>
      </c>
      <c r="EE66" s="55">
        <v>235</v>
      </c>
      <c r="EF66" s="56">
        <v>450</v>
      </c>
      <c r="EG66" s="55">
        <v>245</v>
      </c>
      <c r="EH66" s="56">
        <v>460</v>
      </c>
      <c r="EI66" s="55">
        <v>210</v>
      </c>
      <c r="EJ66" s="56">
        <v>473</v>
      </c>
      <c r="EK66" s="55">
        <v>233</v>
      </c>
      <c r="EL66" s="56">
        <v>470</v>
      </c>
      <c r="EM66" s="55">
        <v>183</v>
      </c>
      <c r="EN66" s="56">
        <v>450</v>
      </c>
      <c r="EO66" s="55">
        <v>261</v>
      </c>
      <c r="EP66" s="56">
        <v>480</v>
      </c>
      <c r="EQ66" s="55">
        <v>162</v>
      </c>
      <c r="ER66" s="56">
        <v>480</v>
      </c>
      <c r="ES66" s="55">
        <v>193</v>
      </c>
      <c r="ET66" s="56">
        <v>490</v>
      </c>
      <c r="EU66" s="55">
        <v>190</v>
      </c>
      <c r="EV66" s="56">
        <v>500</v>
      </c>
      <c r="EW66" s="55">
        <v>229</v>
      </c>
      <c r="EX66" s="56">
        <v>500</v>
      </c>
      <c r="EY66" s="55">
        <v>192</v>
      </c>
      <c r="EZ66" s="56">
        <v>498</v>
      </c>
      <c r="FA66" s="55">
        <v>183</v>
      </c>
      <c r="FB66" s="56">
        <v>500</v>
      </c>
      <c r="FC66" s="55">
        <v>182</v>
      </c>
      <c r="FD66" s="56">
        <v>500</v>
      </c>
      <c r="FE66" s="55">
        <v>218</v>
      </c>
      <c r="FF66" s="56">
        <v>505</v>
      </c>
      <c r="FG66" s="55">
        <v>182</v>
      </c>
      <c r="FH66" s="56">
        <v>500</v>
      </c>
      <c r="FI66" s="55">
        <v>168</v>
      </c>
      <c r="FJ66" s="56">
        <v>483</v>
      </c>
      <c r="FK66" s="55">
        <v>199</v>
      </c>
      <c r="FL66" s="56">
        <v>520</v>
      </c>
      <c r="FM66" s="55">
        <v>229</v>
      </c>
      <c r="FN66" s="56">
        <v>550</v>
      </c>
      <c r="FO66" s="55">
        <v>137</v>
      </c>
      <c r="FP66" s="56">
        <v>475</v>
      </c>
      <c r="FQ66" s="55">
        <v>121</v>
      </c>
      <c r="FR66" s="56">
        <v>510</v>
      </c>
      <c r="FS66" s="55">
        <v>185</v>
      </c>
      <c r="FT66" s="56">
        <v>500</v>
      </c>
      <c r="FU66" s="55">
        <v>204</v>
      </c>
      <c r="FV66" s="56">
        <v>500</v>
      </c>
      <c r="FW66" s="55">
        <v>151</v>
      </c>
      <c r="FX66" s="56">
        <v>530</v>
      </c>
      <c r="FY66" s="55">
        <v>166</v>
      </c>
      <c r="FZ66" s="56">
        <v>525</v>
      </c>
      <c r="GA66" s="55">
        <v>194</v>
      </c>
      <c r="GB66" s="56">
        <v>543</v>
      </c>
      <c r="GC66" s="55">
        <v>202</v>
      </c>
      <c r="GD66" s="56">
        <v>560</v>
      </c>
      <c r="GE66" s="55">
        <v>179</v>
      </c>
      <c r="GF66" s="56">
        <v>520</v>
      </c>
      <c r="GG66" s="55">
        <v>179</v>
      </c>
      <c r="GH66" s="56">
        <v>520</v>
      </c>
      <c r="GI66" s="55">
        <v>197</v>
      </c>
      <c r="GJ66" s="56">
        <v>535</v>
      </c>
      <c r="GK66" s="55">
        <v>196</v>
      </c>
      <c r="GL66" s="56">
        <v>550</v>
      </c>
      <c r="GM66" s="55">
        <v>154</v>
      </c>
      <c r="GN66" s="56">
        <v>573</v>
      </c>
      <c r="GO66" s="55">
        <v>173</v>
      </c>
      <c r="GP66" s="56">
        <v>580</v>
      </c>
      <c r="GQ66" s="55">
        <v>155</v>
      </c>
      <c r="GR66" s="56">
        <v>650</v>
      </c>
      <c r="GS66" s="55">
        <v>132</v>
      </c>
      <c r="GT66" s="56">
        <v>668</v>
      </c>
      <c r="GU66" s="55">
        <v>139</v>
      </c>
      <c r="GV66" s="56">
        <v>660</v>
      </c>
      <c r="GW66" s="55">
        <v>127</v>
      </c>
      <c r="GX66" s="56">
        <v>650</v>
      </c>
      <c r="GY66" s="55">
        <v>143</v>
      </c>
      <c r="GZ66" s="56">
        <v>660</v>
      </c>
      <c r="HA66">
        <v>175</v>
      </c>
      <c r="HB66" s="56">
        <v>660</v>
      </c>
      <c r="HC66">
        <v>125</v>
      </c>
      <c r="HD66" s="56">
        <v>650</v>
      </c>
      <c r="HE66">
        <v>153</v>
      </c>
      <c r="HF66" s="56">
        <v>700</v>
      </c>
    </row>
    <row r="67" spans="1:214" x14ac:dyDescent="0.25">
      <c r="A67" s="53"/>
      <c r="B67" s="54" t="s">
        <v>805</v>
      </c>
      <c r="C67" s="55">
        <v>64</v>
      </c>
      <c r="D67" s="56">
        <v>200</v>
      </c>
      <c r="E67" s="55">
        <v>44</v>
      </c>
      <c r="F67" s="56">
        <v>200</v>
      </c>
      <c r="G67" s="55">
        <v>43</v>
      </c>
      <c r="H67" s="56">
        <v>200</v>
      </c>
      <c r="I67" s="55">
        <v>52</v>
      </c>
      <c r="J67" s="56">
        <v>225</v>
      </c>
      <c r="K67" s="55">
        <v>45</v>
      </c>
      <c r="L67" s="56">
        <v>230</v>
      </c>
      <c r="M67" s="55">
        <v>56</v>
      </c>
      <c r="N67" s="56">
        <v>223</v>
      </c>
      <c r="O67" s="55">
        <v>44</v>
      </c>
      <c r="P67" s="56">
        <v>238</v>
      </c>
      <c r="Q67" s="55">
        <v>67</v>
      </c>
      <c r="R67" s="56">
        <v>226</v>
      </c>
      <c r="S67" s="55">
        <v>51</v>
      </c>
      <c r="T67" s="56">
        <v>240</v>
      </c>
      <c r="U67" s="55">
        <v>42</v>
      </c>
      <c r="V67" s="56">
        <v>225</v>
      </c>
      <c r="W67" s="55">
        <v>50</v>
      </c>
      <c r="X67" s="56">
        <v>240</v>
      </c>
      <c r="Y67" s="55">
        <v>68</v>
      </c>
      <c r="Z67" s="56">
        <v>248</v>
      </c>
      <c r="AA67" s="55">
        <v>44</v>
      </c>
      <c r="AB67" s="56">
        <v>243</v>
      </c>
      <c r="AC67" s="55">
        <v>43</v>
      </c>
      <c r="AD67" s="56">
        <v>240</v>
      </c>
      <c r="AE67" s="55">
        <v>49</v>
      </c>
      <c r="AF67" s="56">
        <v>240</v>
      </c>
      <c r="AG67" s="55">
        <v>58</v>
      </c>
      <c r="AH67" s="56">
        <v>258</v>
      </c>
      <c r="AI67" s="55">
        <v>46</v>
      </c>
      <c r="AJ67" s="56">
        <v>260</v>
      </c>
      <c r="AK67" s="55">
        <v>49</v>
      </c>
      <c r="AL67" s="56">
        <v>250</v>
      </c>
      <c r="AM67" s="55">
        <v>55</v>
      </c>
      <c r="AN67" s="56">
        <v>240</v>
      </c>
      <c r="AO67" s="55">
        <v>48</v>
      </c>
      <c r="AP67" s="56">
        <v>263</v>
      </c>
      <c r="AQ67" s="55">
        <v>52</v>
      </c>
      <c r="AR67" s="56">
        <v>268</v>
      </c>
      <c r="AS67" s="55">
        <v>57</v>
      </c>
      <c r="AT67" s="56">
        <v>260</v>
      </c>
      <c r="AU67" s="55">
        <v>59</v>
      </c>
      <c r="AV67" s="56">
        <v>260</v>
      </c>
      <c r="AW67" s="55">
        <v>64</v>
      </c>
      <c r="AX67" s="56">
        <v>260</v>
      </c>
      <c r="AY67" s="55">
        <v>47</v>
      </c>
      <c r="AZ67" s="56">
        <v>260</v>
      </c>
      <c r="BA67" s="55">
        <v>39</v>
      </c>
      <c r="BB67" s="56">
        <v>270</v>
      </c>
      <c r="BC67" s="55">
        <v>39</v>
      </c>
      <c r="BD67" s="56">
        <v>300</v>
      </c>
      <c r="BE67" s="55">
        <v>50</v>
      </c>
      <c r="BF67" s="56">
        <v>280</v>
      </c>
      <c r="BG67" s="55">
        <v>46</v>
      </c>
      <c r="BH67" s="56">
        <v>283</v>
      </c>
      <c r="BI67" s="55">
        <v>46</v>
      </c>
      <c r="BJ67" s="56">
        <v>285</v>
      </c>
      <c r="BK67" s="55">
        <v>50</v>
      </c>
      <c r="BL67" s="56">
        <v>295</v>
      </c>
      <c r="BM67" s="55">
        <v>59</v>
      </c>
      <c r="BN67" s="56">
        <v>300</v>
      </c>
      <c r="BO67" s="55">
        <v>33</v>
      </c>
      <c r="BP67" s="56">
        <v>320</v>
      </c>
      <c r="BQ67" s="55">
        <v>57</v>
      </c>
      <c r="BR67" s="56">
        <v>320</v>
      </c>
      <c r="BS67" s="55">
        <v>51</v>
      </c>
      <c r="BT67" s="56">
        <v>320</v>
      </c>
      <c r="BU67" s="55">
        <v>57</v>
      </c>
      <c r="BV67" s="56">
        <v>350</v>
      </c>
      <c r="BW67" s="55">
        <v>43</v>
      </c>
      <c r="BX67" s="56">
        <v>350</v>
      </c>
      <c r="BY67" s="55">
        <v>54</v>
      </c>
      <c r="BZ67" s="56">
        <v>360</v>
      </c>
      <c r="CA67" s="55">
        <v>51</v>
      </c>
      <c r="CB67" s="56">
        <v>350</v>
      </c>
      <c r="CC67" s="55">
        <v>64</v>
      </c>
      <c r="CD67" s="56">
        <v>358</v>
      </c>
      <c r="CE67" s="55">
        <v>44</v>
      </c>
      <c r="CF67" s="56">
        <v>373</v>
      </c>
      <c r="CG67" s="55">
        <v>59</v>
      </c>
      <c r="CH67" s="56">
        <v>350</v>
      </c>
      <c r="CI67" s="55">
        <v>61</v>
      </c>
      <c r="CJ67" s="56">
        <v>350</v>
      </c>
      <c r="CK67" s="55">
        <v>64</v>
      </c>
      <c r="CL67" s="56">
        <v>363</v>
      </c>
      <c r="CM67" s="55">
        <v>53</v>
      </c>
      <c r="CN67" s="56">
        <v>360</v>
      </c>
      <c r="CO67" s="55">
        <v>71</v>
      </c>
      <c r="CP67" s="56">
        <v>360</v>
      </c>
      <c r="CQ67" s="55">
        <v>49</v>
      </c>
      <c r="CR67" s="56">
        <v>380</v>
      </c>
      <c r="CS67" s="55">
        <v>68</v>
      </c>
      <c r="CT67" s="56">
        <v>360</v>
      </c>
      <c r="CU67" s="55">
        <v>67</v>
      </c>
      <c r="CV67" s="56">
        <v>380</v>
      </c>
      <c r="CW67" s="55">
        <v>84</v>
      </c>
      <c r="CX67" s="56">
        <v>360</v>
      </c>
      <c r="CY67" s="55">
        <v>74</v>
      </c>
      <c r="CZ67" s="56">
        <v>355</v>
      </c>
      <c r="DA67" s="55">
        <v>114</v>
      </c>
      <c r="DB67" s="56">
        <v>353</v>
      </c>
      <c r="DC67" s="55">
        <v>62</v>
      </c>
      <c r="DD67" s="56">
        <v>360</v>
      </c>
      <c r="DE67" s="55">
        <v>92</v>
      </c>
      <c r="DF67" s="56">
        <v>360</v>
      </c>
      <c r="DG67" s="55">
        <v>93</v>
      </c>
      <c r="DH67" s="56">
        <v>350</v>
      </c>
      <c r="DI67" s="55">
        <v>93</v>
      </c>
      <c r="DJ67" s="56">
        <v>340</v>
      </c>
      <c r="DK67" s="55">
        <v>105</v>
      </c>
      <c r="DL67" s="56">
        <v>340</v>
      </c>
      <c r="DM67" s="55">
        <v>99</v>
      </c>
      <c r="DN67" s="56">
        <v>350</v>
      </c>
      <c r="DO67" s="55">
        <v>89</v>
      </c>
      <c r="DP67" s="56">
        <v>350</v>
      </c>
      <c r="DQ67" s="55">
        <v>114</v>
      </c>
      <c r="DR67" s="56">
        <v>350</v>
      </c>
      <c r="DS67" s="55">
        <v>88</v>
      </c>
      <c r="DT67" s="56">
        <v>360</v>
      </c>
      <c r="DU67" s="55">
        <v>83</v>
      </c>
      <c r="DV67" s="56">
        <v>350</v>
      </c>
      <c r="DW67" s="55">
        <v>96</v>
      </c>
      <c r="DX67" s="56">
        <v>350</v>
      </c>
      <c r="DY67" s="55">
        <v>107</v>
      </c>
      <c r="DZ67" s="56">
        <v>375</v>
      </c>
      <c r="EA67" s="55">
        <v>105</v>
      </c>
      <c r="EB67" s="56">
        <v>350</v>
      </c>
      <c r="EC67" s="55">
        <v>91</v>
      </c>
      <c r="ED67" s="56">
        <v>360</v>
      </c>
      <c r="EE67" s="55">
        <v>109</v>
      </c>
      <c r="EF67" s="56">
        <v>360</v>
      </c>
      <c r="EG67" s="55">
        <v>125</v>
      </c>
      <c r="EH67" s="56">
        <v>370</v>
      </c>
      <c r="EI67" s="55">
        <v>106</v>
      </c>
      <c r="EJ67" s="56">
        <v>360</v>
      </c>
      <c r="EK67" s="55">
        <v>104</v>
      </c>
      <c r="EL67" s="56">
        <v>360</v>
      </c>
      <c r="EM67" s="55">
        <v>81</v>
      </c>
      <c r="EN67" s="56">
        <v>370</v>
      </c>
      <c r="EO67" s="55">
        <v>101</v>
      </c>
      <c r="EP67" s="56">
        <v>360</v>
      </c>
      <c r="EQ67" s="55">
        <v>87</v>
      </c>
      <c r="ER67" s="56">
        <v>380</v>
      </c>
      <c r="ES67" s="55">
        <v>96</v>
      </c>
      <c r="ET67" s="56">
        <v>380</v>
      </c>
      <c r="EU67" s="55">
        <v>92</v>
      </c>
      <c r="EV67" s="56">
        <v>380</v>
      </c>
      <c r="EW67" s="55">
        <v>102</v>
      </c>
      <c r="EX67" s="56">
        <v>390</v>
      </c>
      <c r="EY67" s="55">
        <v>84</v>
      </c>
      <c r="EZ67" s="56">
        <v>380</v>
      </c>
      <c r="FA67" s="55">
        <v>107</v>
      </c>
      <c r="FB67" s="56">
        <v>410</v>
      </c>
      <c r="FC67" s="55">
        <v>83</v>
      </c>
      <c r="FD67" s="56">
        <v>385</v>
      </c>
      <c r="FE67" s="55">
        <v>102</v>
      </c>
      <c r="FF67" s="56">
        <v>400</v>
      </c>
      <c r="FG67" s="55">
        <v>72</v>
      </c>
      <c r="FH67" s="56">
        <v>415</v>
      </c>
      <c r="FI67" s="55">
        <v>71</v>
      </c>
      <c r="FJ67" s="56">
        <v>415</v>
      </c>
      <c r="FK67" s="55">
        <v>81</v>
      </c>
      <c r="FL67" s="56">
        <v>395</v>
      </c>
      <c r="FM67" s="55">
        <v>79</v>
      </c>
      <c r="FN67" s="56">
        <v>430</v>
      </c>
      <c r="FO67" s="55">
        <v>90</v>
      </c>
      <c r="FP67" s="56">
        <v>385</v>
      </c>
      <c r="FQ67" s="55">
        <v>70</v>
      </c>
      <c r="FR67" s="56">
        <v>430</v>
      </c>
      <c r="FS67" s="55">
        <v>70</v>
      </c>
      <c r="FT67" s="56">
        <v>405</v>
      </c>
      <c r="FU67" s="55">
        <v>78</v>
      </c>
      <c r="FV67" s="56">
        <v>428</v>
      </c>
      <c r="FW67" s="55">
        <v>59</v>
      </c>
      <c r="FX67" s="56">
        <v>420</v>
      </c>
      <c r="FY67" s="55">
        <v>72</v>
      </c>
      <c r="FZ67" s="56">
        <v>430</v>
      </c>
      <c r="GA67" s="55">
        <v>91</v>
      </c>
      <c r="GB67" s="56">
        <v>435</v>
      </c>
      <c r="GC67" s="55">
        <v>88</v>
      </c>
      <c r="GD67" s="56">
        <v>430</v>
      </c>
      <c r="GE67" s="55">
        <v>69</v>
      </c>
      <c r="GF67" s="56">
        <v>440</v>
      </c>
      <c r="GG67" s="55">
        <v>92</v>
      </c>
      <c r="GH67" s="56">
        <v>450</v>
      </c>
      <c r="GI67" s="55">
        <v>70</v>
      </c>
      <c r="GJ67" s="56">
        <v>450</v>
      </c>
      <c r="GK67" s="55">
        <v>57</v>
      </c>
      <c r="GL67" s="56">
        <v>460</v>
      </c>
      <c r="GM67" s="55">
        <v>69</v>
      </c>
      <c r="GN67" s="56">
        <v>480</v>
      </c>
      <c r="GO67" s="55">
        <v>75</v>
      </c>
      <c r="GP67" s="56">
        <v>520</v>
      </c>
      <c r="GQ67" s="55">
        <v>60</v>
      </c>
      <c r="GR67" s="56">
        <v>545</v>
      </c>
      <c r="GS67" s="55">
        <v>59</v>
      </c>
      <c r="GT67" s="56">
        <v>520</v>
      </c>
      <c r="GU67" s="55">
        <v>49</v>
      </c>
      <c r="GV67" s="56">
        <v>580</v>
      </c>
      <c r="GW67" s="55">
        <v>76</v>
      </c>
      <c r="GX67" s="56">
        <v>530</v>
      </c>
      <c r="GY67" s="55">
        <v>73</v>
      </c>
      <c r="GZ67" s="56">
        <v>550</v>
      </c>
      <c r="HA67">
        <v>64</v>
      </c>
      <c r="HB67" s="56">
        <v>588</v>
      </c>
      <c r="HC67">
        <v>76</v>
      </c>
      <c r="HD67" s="56">
        <v>570</v>
      </c>
      <c r="HE67">
        <v>68</v>
      </c>
      <c r="HF67" s="56">
        <v>580</v>
      </c>
    </row>
    <row r="68" spans="1:214" x14ac:dyDescent="0.25">
      <c r="A68" s="53"/>
      <c r="B68" s="54" t="s">
        <v>806</v>
      </c>
      <c r="C68" s="55">
        <v>214</v>
      </c>
      <c r="D68" s="56">
        <v>170</v>
      </c>
      <c r="E68" s="55">
        <v>214</v>
      </c>
      <c r="F68" s="56">
        <v>170</v>
      </c>
      <c r="G68" s="55">
        <v>215</v>
      </c>
      <c r="H68" s="56">
        <v>170</v>
      </c>
      <c r="I68" s="55">
        <v>268</v>
      </c>
      <c r="J68" s="56">
        <v>175</v>
      </c>
      <c r="K68" s="55">
        <v>213</v>
      </c>
      <c r="L68" s="56">
        <v>180</v>
      </c>
      <c r="M68" s="55">
        <v>283</v>
      </c>
      <c r="N68" s="56">
        <v>180</v>
      </c>
      <c r="O68" s="55">
        <v>214</v>
      </c>
      <c r="P68" s="56">
        <v>180</v>
      </c>
      <c r="Q68" s="55">
        <v>244</v>
      </c>
      <c r="R68" s="56">
        <v>180</v>
      </c>
      <c r="S68" s="55">
        <v>227</v>
      </c>
      <c r="T68" s="56">
        <v>185</v>
      </c>
      <c r="U68" s="55">
        <v>244</v>
      </c>
      <c r="V68" s="56">
        <v>185</v>
      </c>
      <c r="W68" s="55">
        <v>237</v>
      </c>
      <c r="X68" s="56">
        <v>190</v>
      </c>
      <c r="Y68" s="55">
        <v>254</v>
      </c>
      <c r="Z68" s="56">
        <v>193</v>
      </c>
      <c r="AA68" s="55">
        <v>237</v>
      </c>
      <c r="AB68" s="56">
        <v>195</v>
      </c>
      <c r="AC68" s="55">
        <v>254</v>
      </c>
      <c r="AD68" s="56">
        <v>195</v>
      </c>
      <c r="AE68" s="55">
        <v>261</v>
      </c>
      <c r="AF68" s="56">
        <v>200</v>
      </c>
      <c r="AG68" s="55">
        <v>267</v>
      </c>
      <c r="AH68" s="56">
        <v>200</v>
      </c>
      <c r="AI68" s="55">
        <v>275</v>
      </c>
      <c r="AJ68" s="56">
        <v>200</v>
      </c>
      <c r="AK68" s="55">
        <v>303</v>
      </c>
      <c r="AL68" s="56">
        <v>210</v>
      </c>
      <c r="AM68" s="55">
        <v>294</v>
      </c>
      <c r="AN68" s="56">
        <v>205</v>
      </c>
      <c r="AO68" s="55">
        <v>308</v>
      </c>
      <c r="AP68" s="56">
        <v>210</v>
      </c>
      <c r="AQ68" s="55">
        <v>256</v>
      </c>
      <c r="AR68" s="56">
        <v>210</v>
      </c>
      <c r="AS68" s="55">
        <v>301</v>
      </c>
      <c r="AT68" s="56">
        <v>210</v>
      </c>
      <c r="AU68" s="55">
        <v>285</v>
      </c>
      <c r="AV68" s="56">
        <v>210</v>
      </c>
      <c r="AW68" s="55">
        <v>287</v>
      </c>
      <c r="AX68" s="56">
        <v>210</v>
      </c>
      <c r="AY68" s="55">
        <v>297</v>
      </c>
      <c r="AZ68" s="56">
        <v>220</v>
      </c>
      <c r="BA68" s="55">
        <v>328</v>
      </c>
      <c r="BB68" s="56">
        <v>220</v>
      </c>
      <c r="BC68" s="55">
        <v>305</v>
      </c>
      <c r="BD68" s="56">
        <v>220</v>
      </c>
      <c r="BE68" s="55">
        <v>281</v>
      </c>
      <c r="BF68" s="56">
        <v>220</v>
      </c>
      <c r="BG68" s="55">
        <v>255</v>
      </c>
      <c r="BH68" s="56">
        <v>220</v>
      </c>
      <c r="BI68" s="55">
        <v>291</v>
      </c>
      <c r="BJ68" s="56">
        <v>230</v>
      </c>
      <c r="BK68" s="55">
        <v>256</v>
      </c>
      <c r="BL68" s="56">
        <v>230</v>
      </c>
      <c r="BM68" s="55">
        <v>323</v>
      </c>
      <c r="BN68" s="56">
        <v>235</v>
      </c>
      <c r="BO68" s="55">
        <v>287</v>
      </c>
      <c r="BP68" s="56">
        <v>245</v>
      </c>
      <c r="BQ68" s="55">
        <v>266</v>
      </c>
      <c r="BR68" s="56">
        <v>250</v>
      </c>
      <c r="BS68" s="55">
        <v>307</v>
      </c>
      <c r="BT68" s="56">
        <v>260</v>
      </c>
      <c r="BU68" s="55">
        <v>286</v>
      </c>
      <c r="BV68" s="56">
        <v>270</v>
      </c>
      <c r="BW68" s="55">
        <v>287</v>
      </c>
      <c r="BX68" s="56">
        <v>285</v>
      </c>
      <c r="BY68" s="55">
        <v>312</v>
      </c>
      <c r="BZ68" s="56">
        <v>300</v>
      </c>
      <c r="CA68" s="55">
        <v>301</v>
      </c>
      <c r="CB68" s="56">
        <v>300</v>
      </c>
      <c r="CC68" s="55">
        <v>356</v>
      </c>
      <c r="CD68" s="56">
        <v>300</v>
      </c>
      <c r="CE68" s="55">
        <v>312</v>
      </c>
      <c r="CF68" s="56">
        <v>300</v>
      </c>
      <c r="CG68" s="55">
        <v>311</v>
      </c>
      <c r="CH68" s="56">
        <v>310</v>
      </c>
      <c r="CI68" s="55">
        <v>315</v>
      </c>
      <c r="CJ68" s="56">
        <v>310</v>
      </c>
      <c r="CK68" s="55">
        <v>346</v>
      </c>
      <c r="CL68" s="56">
        <v>320</v>
      </c>
      <c r="CM68" s="55">
        <v>358</v>
      </c>
      <c r="CN68" s="56">
        <v>320</v>
      </c>
      <c r="CO68" s="55">
        <v>395</v>
      </c>
      <c r="CP68" s="56">
        <v>330</v>
      </c>
      <c r="CQ68" s="55">
        <v>427</v>
      </c>
      <c r="CR68" s="56">
        <v>320</v>
      </c>
      <c r="CS68" s="55">
        <v>378</v>
      </c>
      <c r="CT68" s="56">
        <v>330</v>
      </c>
      <c r="CU68" s="55">
        <v>356</v>
      </c>
      <c r="CV68" s="56">
        <v>330</v>
      </c>
      <c r="CW68" s="55">
        <v>469</v>
      </c>
      <c r="CX68" s="56">
        <v>330</v>
      </c>
      <c r="CY68" s="55">
        <v>411</v>
      </c>
      <c r="CZ68" s="56">
        <v>325</v>
      </c>
      <c r="DA68" s="55">
        <v>429</v>
      </c>
      <c r="DB68" s="56">
        <v>330</v>
      </c>
      <c r="DC68" s="55">
        <v>405</v>
      </c>
      <c r="DD68" s="56">
        <v>320</v>
      </c>
      <c r="DE68" s="55">
        <v>476</v>
      </c>
      <c r="DF68" s="56">
        <v>320</v>
      </c>
      <c r="DG68" s="55">
        <v>433</v>
      </c>
      <c r="DH68" s="56">
        <v>320</v>
      </c>
      <c r="DI68" s="55">
        <v>400</v>
      </c>
      <c r="DJ68" s="56">
        <v>325</v>
      </c>
      <c r="DK68" s="55">
        <v>458</v>
      </c>
      <c r="DL68" s="56">
        <v>330</v>
      </c>
      <c r="DM68" s="55">
        <v>506</v>
      </c>
      <c r="DN68" s="56">
        <v>330</v>
      </c>
      <c r="DO68" s="55">
        <v>411</v>
      </c>
      <c r="DP68" s="56">
        <v>330</v>
      </c>
      <c r="DQ68" s="55">
        <v>403</v>
      </c>
      <c r="DR68" s="56">
        <v>330</v>
      </c>
      <c r="DS68" s="55">
        <v>386</v>
      </c>
      <c r="DT68" s="56">
        <v>330</v>
      </c>
      <c r="DU68" s="55">
        <v>438</v>
      </c>
      <c r="DV68" s="56">
        <v>330</v>
      </c>
      <c r="DW68" s="55">
        <v>417</v>
      </c>
      <c r="DX68" s="56">
        <v>330</v>
      </c>
      <c r="DY68" s="55">
        <v>399</v>
      </c>
      <c r="DZ68" s="56">
        <v>330</v>
      </c>
      <c r="EA68" s="55">
        <v>444</v>
      </c>
      <c r="EB68" s="56">
        <v>335</v>
      </c>
      <c r="EC68" s="55">
        <v>472</v>
      </c>
      <c r="ED68" s="56">
        <v>340</v>
      </c>
      <c r="EE68" s="55">
        <v>485</v>
      </c>
      <c r="EF68" s="56">
        <v>340</v>
      </c>
      <c r="EG68" s="55">
        <v>437</v>
      </c>
      <c r="EH68" s="56">
        <v>350</v>
      </c>
      <c r="EI68" s="55">
        <v>475</v>
      </c>
      <c r="EJ68" s="56">
        <v>340</v>
      </c>
      <c r="EK68" s="55">
        <v>473</v>
      </c>
      <c r="EL68" s="56">
        <v>350</v>
      </c>
      <c r="EM68" s="55">
        <v>406</v>
      </c>
      <c r="EN68" s="56">
        <v>350</v>
      </c>
      <c r="EO68" s="55">
        <v>465</v>
      </c>
      <c r="EP68" s="56">
        <v>350</v>
      </c>
      <c r="EQ68" s="55">
        <v>429</v>
      </c>
      <c r="ER68" s="56">
        <v>360</v>
      </c>
      <c r="ES68" s="55">
        <v>473</v>
      </c>
      <c r="ET68" s="56">
        <v>360</v>
      </c>
      <c r="EU68" s="55">
        <v>456</v>
      </c>
      <c r="EV68" s="56">
        <v>360</v>
      </c>
      <c r="EW68" s="55">
        <v>431</v>
      </c>
      <c r="EX68" s="56">
        <v>370</v>
      </c>
      <c r="EY68" s="55">
        <v>447</v>
      </c>
      <c r="EZ68" s="56">
        <v>370</v>
      </c>
      <c r="FA68" s="55">
        <v>419</v>
      </c>
      <c r="FB68" s="56">
        <v>375</v>
      </c>
      <c r="FC68" s="55">
        <v>402</v>
      </c>
      <c r="FD68" s="56">
        <v>375</v>
      </c>
      <c r="FE68" s="55">
        <v>454</v>
      </c>
      <c r="FF68" s="56">
        <v>370</v>
      </c>
      <c r="FG68" s="55">
        <v>387</v>
      </c>
      <c r="FH68" s="56">
        <v>380</v>
      </c>
      <c r="FI68" s="55">
        <v>445</v>
      </c>
      <c r="FJ68" s="56">
        <v>375</v>
      </c>
      <c r="FK68" s="55">
        <v>413</v>
      </c>
      <c r="FL68" s="56">
        <v>380</v>
      </c>
      <c r="FM68" s="55">
        <v>487</v>
      </c>
      <c r="FN68" s="56">
        <v>380</v>
      </c>
      <c r="FO68" s="55">
        <v>424</v>
      </c>
      <c r="FP68" s="56">
        <v>380</v>
      </c>
      <c r="FQ68" s="55">
        <v>372</v>
      </c>
      <c r="FR68" s="56">
        <v>380</v>
      </c>
      <c r="FS68" s="55">
        <v>433</v>
      </c>
      <c r="FT68" s="56">
        <v>375</v>
      </c>
      <c r="FU68" s="55">
        <v>459</v>
      </c>
      <c r="FV68" s="56">
        <v>380</v>
      </c>
      <c r="FW68" s="55">
        <v>444</v>
      </c>
      <c r="FX68" s="56">
        <v>380</v>
      </c>
      <c r="FY68" s="55">
        <v>393</v>
      </c>
      <c r="FZ68" s="56">
        <v>380</v>
      </c>
      <c r="GA68" s="55">
        <v>465</v>
      </c>
      <c r="GB68" s="56">
        <v>390</v>
      </c>
      <c r="GC68" s="55">
        <v>478</v>
      </c>
      <c r="GD68" s="56">
        <v>390</v>
      </c>
      <c r="GE68" s="55">
        <v>464</v>
      </c>
      <c r="GF68" s="56">
        <v>400</v>
      </c>
      <c r="GG68" s="55">
        <v>463</v>
      </c>
      <c r="GH68" s="56">
        <v>400</v>
      </c>
      <c r="GI68" s="55">
        <v>440</v>
      </c>
      <c r="GJ68" s="56">
        <v>420</v>
      </c>
      <c r="GK68" s="55">
        <v>436</v>
      </c>
      <c r="GL68" s="56">
        <v>420</v>
      </c>
      <c r="GM68" s="55">
        <v>395</v>
      </c>
      <c r="GN68" s="56">
        <v>450</v>
      </c>
      <c r="GO68" s="55">
        <v>386</v>
      </c>
      <c r="GP68" s="56">
        <v>461</v>
      </c>
      <c r="GQ68" s="55">
        <v>358</v>
      </c>
      <c r="GR68" s="56">
        <v>485</v>
      </c>
      <c r="GS68" s="55">
        <v>355</v>
      </c>
      <c r="GT68" s="56">
        <v>500</v>
      </c>
      <c r="GU68" s="55">
        <v>412</v>
      </c>
      <c r="GV68" s="56">
        <v>508</v>
      </c>
      <c r="GW68" s="55">
        <v>425</v>
      </c>
      <c r="GX68" s="56">
        <v>520</v>
      </c>
      <c r="GY68" s="55">
        <v>480</v>
      </c>
      <c r="GZ68" s="56">
        <v>520</v>
      </c>
      <c r="HA68">
        <v>444</v>
      </c>
      <c r="HB68" s="56">
        <v>520</v>
      </c>
      <c r="HC68">
        <v>537</v>
      </c>
      <c r="HD68" s="56">
        <v>520</v>
      </c>
      <c r="HE68">
        <v>506</v>
      </c>
      <c r="HF68" s="56">
        <v>520</v>
      </c>
    </row>
    <row r="69" spans="1:214" x14ac:dyDescent="0.25">
      <c r="A69" s="53"/>
      <c r="B69" s="54" t="s">
        <v>807</v>
      </c>
      <c r="C69" s="55">
        <v>218</v>
      </c>
      <c r="D69" s="56">
        <v>160</v>
      </c>
      <c r="E69" s="55">
        <v>229</v>
      </c>
      <c r="F69" s="56">
        <v>170</v>
      </c>
      <c r="G69" s="55">
        <v>233</v>
      </c>
      <c r="H69" s="56">
        <v>170</v>
      </c>
      <c r="I69" s="55">
        <v>242</v>
      </c>
      <c r="J69" s="56">
        <v>170</v>
      </c>
      <c r="K69" s="55">
        <v>249</v>
      </c>
      <c r="L69" s="56">
        <v>170</v>
      </c>
      <c r="M69" s="55">
        <v>217</v>
      </c>
      <c r="N69" s="56">
        <v>170</v>
      </c>
      <c r="O69" s="55">
        <v>222</v>
      </c>
      <c r="P69" s="56">
        <v>175</v>
      </c>
      <c r="Q69" s="55">
        <v>251</v>
      </c>
      <c r="R69" s="56">
        <v>175</v>
      </c>
      <c r="S69" s="55">
        <v>225</v>
      </c>
      <c r="T69" s="56">
        <v>180</v>
      </c>
      <c r="U69" s="55">
        <v>243</v>
      </c>
      <c r="V69" s="56">
        <v>180</v>
      </c>
      <c r="W69" s="55">
        <v>213</v>
      </c>
      <c r="X69" s="56">
        <v>180</v>
      </c>
      <c r="Y69" s="55">
        <v>261</v>
      </c>
      <c r="Z69" s="56">
        <v>185</v>
      </c>
      <c r="AA69" s="55">
        <v>238</v>
      </c>
      <c r="AB69" s="56">
        <v>183</v>
      </c>
      <c r="AC69" s="55">
        <v>274</v>
      </c>
      <c r="AD69" s="56">
        <v>185</v>
      </c>
      <c r="AE69" s="55">
        <v>239</v>
      </c>
      <c r="AF69" s="56">
        <v>190</v>
      </c>
      <c r="AG69" s="55">
        <v>285</v>
      </c>
      <c r="AH69" s="56">
        <v>185</v>
      </c>
      <c r="AI69" s="55">
        <v>298</v>
      </c>
      <c r="AJ69" s="56">
        <v>190</v>
      </c>
      <c r="AK69" s="55">
        <v>340</v>
      </c>
      <c r="AL69" s="56">
        <v>190</v>
      </c>
      <c r="AM69" s="55">
        <v>321</v>
      </c>
      <c r="AN69" s="56">
        <v>185</v>
      </c>
      <c r="AO69" s="55">
        <v>376</v>
      </c>
      <c r="AP69" s="56">
        <v>190</v>
      </c>
      <c r="AQ69" s="55">
        <v>317</v>
      </c>
      <c r="AR69" s="56">
        <v>190</v>
      </c>
      <c r="AS69" s="55">
        <v>365</v>
      </c>
      <c r="AT69" s="56">
        <v>195</v>
      </c>
      <c r="AU69" s="55">
        <v>395</v>
      </c>
      <c r="AV69" s="56">
        <v>195</v>
      </c>
      <c r="AW69" s="55">
        <v>377</v>
      </c>
      <c r="AX69" s="56">
        <v>195</v>
      </c>
      <c r="AY69" s="55">
        <v>414</v>
      </c>
      <c r="AZ69" s="56">
        <v>200</v>
      </c>
      <c r="BA69" s="55">
        <v>391</v>
      </c>
      <c r="BB69" s="56">
        <v>200</v>
      </c>
      <c r="BC69" s="55">
        <v>338</v>
      </c>
      <c r="BD69" s="56">
        <v>210</v>
      </c>
      <c r="BE69" s="55">
        <v>405</v>
      </c>
      <c r="BF69" s="56">
        <v>200</v>
      </c>
      <c r="BG69" s="55">
        <v>380</v>
      </c>
      <c r="BH69" s="56">
        <v>203</v>
      </c>
      <c r="BI69" s="55">
        <v>416</v>
      </c>
      <c r="BJ69" s="56">
        <v>210</v>
      </c>
      <c r="BK69" s="55">
        <v>401</v>
      </c>
      <c r="BL69" s="56">
        <v>215</v>
      </c>
      <c r="BM69" s="55">
        <v>449</v>
      </c>
      <c r="BN69" s="56">
        <v>220</v>
      </c>
      <c r="BO69" s="55">
        <v>420</v>
      </c>
      <c r="BP69" s="56">
        <v>220</v>
      </c>
      <c r="BQ69" s="55">
        <v>481</v>
      </c>
      <c r="BR69" s="56">
        <v>230</v>
      </c>
      <c r="BS69" s="55">
        <v>446</v>
      </c>
      <c r="BT69" s="56">
        <v>240</v>
      </c>
      <c r="BU69" s="55">
        <v>383</v>
      </c>
      <c r="BV69" s="56">
        <v>240</v>
      </c>
      <c r="BW69" s="55">
        <v>475</v>
      </c>
      <c r="BX69" s="56">
        <v>250</v>
      </c>
      <c r="BY69" s="55">
        <v>497</v>
      </c>
      <c r="BZ69" s="56">
        <v>270</v>
      </c>
      <c r="CA69" s="55">
        <v>477</v>
      </c>
      <c r="CB69" s="56">
        <v>265</v>
      </c>
      <c r="CC69" s="55">
        <v>447</v>
      </c>
      <c r="CD69" s="56">
        <v>270</v>
      </c>
      <c r="CE69" s="55">
        <v>437</v>
      </c>
      <c r="CF69" s="56">
        <v>260</v>
      </c>
      <c r="CG69" s="55">
        <v>556</v>
      </c>
      <c r="CH69" s="56">
        <v>270</v>
      </c>
      <c r="CI69" s="55">
        <v>561</v>
      </c>
      <c r="CJ69" s="56">
        <v>270</v>
      </c>
      <c r="CK69" s="55">
        <v>529</v>
      </c>
      <c r="CL69" s="56">
        <v>275</v>
      </c>
      <c r="CM69" s="55">
        <v>554</v>
      </c>
      <c r="CN69" s="56">
        <v>280</v>
      </c>
      <c r="CO69" s="55">
        <v>648</v>
      </c>
      <c r="CP69" s="56">
        <v>280</v>
      </c>
      <c r="CQ69" s="55">
        <v>629</v>
      </c>
      <c r="CR69" s="56">
        <v>280</v>
      </c>
      <c r="CS69" s="55">
        <v>591</v>
      </c>
      <c r="CT69" s="56">
        <v>285</v>
      </c>
      <c r="CU69" s="55">
        <v>583</v>
      </c>
      <c r="CV69" s="56">
        <v>280</v>
      </c>
      <c r="CW69" s="55">
        <v>707</v>
      </c>
      <c r="CX69" s="56">
        <v>285</v>
      </c>
      <c r="CY69" s="55">
        <v>631</v>
      </c>
      <c r="CZ69" s="56">
        <v>285</v>
      </c>
      <c r="DA69" s="55">
        <v>823</v>
      </c>
      <c r="DB69" s="56">
        <v>285</v>
      </c>
      <c r="DC69" s="55">
        <v>623</v>
      </c>
      <c r="DD69" s="56">
        <v>285</v>
      </c>
      <c r="DE69" s="55">
        <v>734</v>
      </c>
      <c r="DF69" s="56">
        <v>285</v>
      </c>
      <c r="DG69" s="55">
        <v>667</v>
      </c>
      <c r="DH69" s="56">
        <v>289</v>
      </c>
      <c r="DI69" s="55">
        <v>661</v>
      </c>
      <c r="DJ69" s="56">
        <v>290</v>
      </c>
      <c r="DK69" s="55">
        <v>618</v>
      </c>
      <c r="DL69" s="56">
        <v>290</v>
      </c>
      <c r="DM69" s="55">
        <v>692</v>
      </c>
      <c r="DN69" s="56">
        <v>290</v>
      </c>
      <c r="DO69" s="55">
        <v>600</v>
      </c>
      <c r="DP69" s="56">
        <v>300</v>
      </c>
      <c r="DQ69" s="55">
        <v>585</v>
      </c>
      <c r="DR69" s="56">
        <v>300</v>
      </c>
      <c r="DS69" s="55">
        <v>598</v>
      </c>
      <c r="DT69" s="56">
        <v>300</v>
      </c>
      <c r="DU69" s="55">
        <v>618</v>
      </c>
      <c r="DV69" s="56">
        <v>300</v>
      </c>
      <c r="DW69" s="55">
        <v>622</v>
      </c>
      <c r="DX69" s="56">
        <v>300</v>
      </c>
      <c r="DY69" s="55">
        <v>639</v>
      </c>
      <c r="DZ69" s="56">
        <v>301</v>
      </c>
      <c r="EA69" s="55">
        <v>668</v>
      </c>
      <c r="EB69" s="56">
        <v>310</v>
      </c>
      <c r="EC69" s="55">
        <v>643</v>
      </c>
      <c r="ED69" s="56">
        <v>320</v>
      </c>
      <c r="EE69" s="55">
        <v>634</v>
      </c>
      <c r="EF69" s="56">
        <v>320</v>
      </c>
      <c r="EG69" s="55">
        <v>687</v>
      </c>
      <c r="EH69" s="56">
        <v>325</v>
      </c>
      <c r="EI69" s="55">
        <v>676</v>
      </c>
      <c r="EJ69" s="56">
        <v>330</v>
      </c>
      <c r="EK69" s="55">
        <v>775</v>
      </c>
      <c r="EL69" s="56">
        <v>330</v>
      </c>
      <c r="EM69" s="55">
        <v>703</v>
      </c>
      <c r="EN69" s="56">
        <v>330</v>
      </c>
      <c r="EO69" s="55">
        <v>733</v>
      </c>
      <c r="EP69" s="56">
        <v>340</v>
      </c>
      <c r="EQ69" s="55">
        <v>730</v>
      </c>
      <c r="ER69" s="56">
        <v>350</v>
      </c>
      <c r="ES69" s="55">
        <v>822</v>
      </c>
      <c r="ET69" s="56">
        <v>350</v>
      </c>
      <c r="EU69" s="55">
        <v>751</v>
      </c>
      <c r="EV69" s="56">
        <v>350</v>
      </c>
      <c r="EW69" s="55">
        <v>801</v>
      </c>
      <c r="EX69" s="56">
        <v>350</v>
      </c>
      <c r="EY69" s="55">
        <v>819</v>
      </c>
      <c r="EZ69" s="56">
        <v>351</v>
      </c>
      <c r="FA69" s="55">
        <v>781</v>
      </c>
      <c r="FB69" s="56">
        <v>360</v>
      </c>
      <c r="FC69" s="55">
        <v>748</v>
      </c>
      <c r="FD69" s="56">
        <v>360</v>
      </c>
      <c r="FE69" s="55">
        <v>783</v>
      </c>
      <c r="FF69" s="56">
        <v>360</v>
      </c>
      <c r="FG69" s="55">
        <v>785</v>
      </c>
      <c r="FH69" s="56">
        <v>360</v>
      </c>
      <c r="FI69" s="55">
        <v>880</v>
      </c>
      <c r="FJ69" s="56">
        <v>350</v>
      </c>
      <c r="FK69" s="55">
        <v>810</v>
      </c>
      <c r="FL69" s="56">
        <v>360</v>
      </c>
      <c r="FM69" s="55">
        <v>851</v>
      </c>
      <c r="FN69" s="56">
        <v>355</v>
      </c>
      <c r="FO69" s="55">
        <v>798</v>
      </c>
      <c r="FP69" s="56">
        <v>350</v>
      </c>
      <c r="FQ69" s="55">
        <v>716</v>
      </c>
      <c r="FR69" s="56">
        <v>350</v>
      </c>
      <c r="FS69" s="55">
        <v>801</v>
      </c>
      <c r="FT69" s="56">
        <v>350</v>
      </c>
      <c r="FU69" s="55">
        <v>855</v>
      </c>
      <c r="FV69" s="56">
        <v>350</v>
      </c>
      <c r="FW69" s="55">
        <v>855</v>
      </c>
      <c r="FX69" s="56">
        <v>350</v>
      </c>
      <c r="FY69" s="55">
        <v>869</v>
      </c>
      <c r="FZ69" s="56">
        <v>350</v>
      </c>
      <c r="GA69" s="55">
        <v>972</v>
      </c>
      <c r="GB69" s="56">
        <v>350</v>
      </c>
      <c r="GC69" s="55">
        <v>958</v>
      </c>
      <c r="GD69" s="56">
        <v>360</v>
      </c>
      <c r="GE69" s="55">
        <v>915</v>
      </c>
      <c r="GF69" s="56">
        <v>365</v>
      </c>
      <c r="GG69" s="55">
        <v>863</v>
      </c>
      <c r="GH69" s="56">
        <v>370</v>
      </c>
      <c r="GI69" s="55">
        <v>805</v>
      </c>
      <c r="GJ69" s="56">
        <v>380</v>
      </c>
      <c r="GK69" s="55">
        <v>826</v>
      </c>
      <c r="GL69" s="56">
        <v>390</v>
      </c>
      <c r="GM69" s="55">
        <v>807</v>
      </c>
      <c r="GN69" s="56">
        <v>410</v>
      </c>
      <c r="GO69" s="55">
        <v>781</v>
      </c>
      <c r="GP69" s="56">
        <v>430</v>
      </c>
      <c r="GQ69" s="55">
        <v>693</v>
      </c>
      <c r="GR69" s="56">
        <v>450</v>
      </c>
      <c r="GS69" s="55">
        <v>713</v>
      </c>
      <c r="GT69" s="56">
        <v>460</v>
      </c>
      <c r="GU69" s="55">
        <v>854</v>
      </c>
      <c r="GV69" s="56">
        <v>470</v>
      </c>
      <c r="GW69" s="55">
        <v>867</v>
      </c>
      <c r="GX69" s="56">
        <v>480</v>
      </c>
      <c r="GY69" s="55">
        <v>845</v>
      </c>
      <c r="GZ69" s="56">
        <v>470</v>
      </c>
      <c r="HA69">
        <v>896</v>
      </c>
      <c r="HB69" s="56">
        <v>460</v>
      </c>
      <c r="HC69">
        <v>966</v>
      </c>
      <c r="HD69" s="56">
        <v>460</v>
      </c>
      <c r="HE69">
        <v>968</v>
      </c>
      <c r="HF69" s="56">
        <v>460</v>
      </c>
    </row>
    <row r="70" spans="1:214" x14ac:dyDescent="0.25">
      <c r="A70" s="53"/>
      <c r="B70" s="54" t="s">
        <v>808</v>
      </c>
      <c r="C70" s="55">
        <v>150</v>
      </c>
      <c r="D70" s="56">
        <v>290</v>
      </c>
      <c r="E70" s="55">
        <v>168</v>
      </c>
      <c r="F70" s="56">
        <v>295</v>
      </c>
      <c r="G70" s="55">
        <v>152</v>
      </c>
      <c r="H70" s="56">
        <v>300</v>
      </c>
      <c r="I70" s="55">
        <v>255</v>
      </c>
      <c r="J70" s="56">
        <v>300</v>
      </c>
      <c r="K70" s="55">
        <v>165</v>
      </c>
      <c r="L70" s="56">
        <v>300</v>
      </c>
      <c r="M70" s="55">
        <v>171</v>
      </c>
      <c r="N70" s="56">
        <v>320</v>
      </c>
      <c r="O70" s="55">
        <v>157</v>
      </c>
      <c r="P70" s="56">
        <v>320</v>
      </c>
      <c r="Q70" s="55">
        <v>239</v>
      </c>
      <c r="R70" s="56">
        <v>320</v>
      </c>
      <c r="S70" s="55">
        <v>136</v>
      </c>
      <c r="T70" s="56">
        <v>340</v>
      </c>
      <c r="U70" s="55">
        <v>142</v>
      </c>
      <c r="V70" s="56">
        <v>330</v>
      </c>
      <c r="W70" s="55">
        <v>133</v>
      </c>
      <c r="X70" s="56">
        <v>330</v>
      </c>
      <c r="Y70" s="55">
        <v>194</v>
      </c>
      <c r="Z70" s="56">
        <v>330</v>
      </c>
      <c r="AA70" s="55">
        <v>127</v>
      </c>
      <c r="AB70" s="56">
        <v>330</v>
      </c>
      <c r="AC70" s="55">
        <v>142</v>
      </c>
      <c r="AD70" s="56">
        <v>330</v>
      </c>
      <c r="AE70" s="55">
        <v>117</v>
      </c>
      <c r="AF70" s="56">
        <v>350</v>
      </c>
      <c r="AG70" s="55">
        <v>189</v>
      </c>
      <c r="AH70" s="56">
        <v>340</v>
      </c>
      <c r="AI70" s="55">
        <v>108</v>
      </c>
      <c r="AJ70" s="56">
        <v>350</v>
      </c>
      <c r="AK70" s="55">
        <v>140</v>
      </c>
      <c r="AL70" s="56">
        <v>350</v>
      </c>
      <c r="AM70" s="55">
        <v>116</v>
      </c>
      <c r="AN70" s="56">
        <v>350</v>
      </c>
      <c r="AO70" s="55">
        <v>180</v>
      </c>
      <c r="AP70" s="56">
        <v>350</v>
      </c>
      <c r="AQ70" s="55">
        <v>109</v>
      </c>
      <c r="AR70" s="56">
        <v>355</v>
      </c>
      <c r="AS70" s="55">
        <v>118</v>
      </c>
      <c r="AT70" s="56">
        <v>360</v>
      </c>
      <c r="AU70" s="55">
        <v>122</v>
      </c>
      <c r="AV70" s="56">
        <v>350</v>
      </c>
      <c r="AW70" s="55">
        <v>178</v>
      </c>
      <c r="AX70" s="56">
        <v>360</v>
      </c>
      <c r="AY70" s="55">
        <v>115</v>
      </c>
      <c r="AZ70" s="56">
        <v>365</v>
      </c>
      <c r="BA70" s="55">
        <v>117</v>
      </c>
      <c r="BB70" s="56">
        <v>380</v>
      </c>
      <c r="BC70" s="55">
        <v>105</v>
      </c>
      <c r="BD70" s="56">
        <v>370</v>
      </c>
      <c r="BE70" s="55">
        <v>145</v>
      </c>
      <c r="BF70" s="56">
        <v>375</v>
      </c>
      <c r="BG70" s="55">
        <v>97</v>
      </c>
      <c r="BH70" s="56">
        <v>395</v>
      </c>
      <c r="BI70" s="55">
        <v>100</v>
      </c>
      <c r="BJ70" s="56">
        <v>400</v>
      </c>
      <c r="BK70" s="55">
        <v>87</v>
      </c>
      <c r="BL70" s="56">
        <v>410</v>
      </c>
      <c r="BM70" s="55">
        <v>110</v>
      </c>
      <c r="BN70" s="56">
        <v>428</v>
      </c>
      <c r="BO70" s="55">
        <v>66</v>
      </c>
      <c r="BP70" s="56">
        <v>470</v>
      </c>
      <c r="BQ70" s="55">
        <v>78</v>
      </c>
      <c r="BR70" s="56">
        <v>450</v>
      </c>
      <c r="BS70" s="55">
        <v>99</v>
      </c>
      <c r="BT70" s="56">
        <v>480</v>
      </c>
      <c r="BU70" s="55">
        <v>111</v>
      </c>
      <c r="BV70" s="56">
        <v>480</v>
      </c>
      <c r="BW70" s="55">
        <v>96</v>
      </c>
      <c r="BX70" s="56">
        <v>500</v>
      </c>
      <c r="BY70" s="55">
        <v>117</v>
      </c>
      <c r="BZ70" s="56">
        <v>504</v>
      </c>
      <c r="CA70" s="55">
        <v>100</v>
      </c>
      <c r="CB70" s="56">
        <v>510</v>
      </c>
      <c r="CC70" s="55">
        <v>101</v>
      </c>
      <c r="CD70" s="56">
        <v>500</v>
      </c>
      <c r="CE70" s="55">
        <v>79</v>
      </c>
      <c r="CF70" s="56">
        <v>530</v>
      </c>
      <c r="CG70" s="55">
        <v>100</v>
      </c>
      <c r="CH70" s="56">
        <v>550</v>
      </c>
      <c r="CI70" s="55">
        <v>115</v>
      </c>
      <c r="CJ70" s="56">
        <v>550</v>
      </c>
      <c r="CK70" s="55">
        <v>135</v>
      </c>
      <c r="CL70" s="56">
        <v>550</v>
      </c>
      <c r="CM70" s="55">
        <v>124</v>
      </c>
      <c r="CN70" s="56">
        <v>583</v>
      </c>
      <c r="CO70" s="55">
        <v>104</v>
      </c>
      <c r="CP70" s="56">
        <v>588</v>
      </c>
      <c r="CQ70" s="55">
        <v>97</v>
      </c>
      <c r="CR70" s="56">
        <v>580</v>
      </c>
      <c r="CS70" s="55">
        <v>155</v>
      </c>
      <c r="CT70" s="56">
        <v>600</v>
      </c>
      <c r="CU70" s="55">
        <v>91</v>
      </c>
      <c r="CV70" s="56">
        <v>650</v>
      </c>
      <c r="CW70" s="55">
        <v>115</v>
      </c>
      <c r="CX70" s="56">
        <v>600</v>
      </c>
      <c r="CY70" s="55">
        <v>113</v>
      </c>
      <c r="CZ70" s="56">
        <v>625</v>
      </c>
      <c r="DA70" s="55">
        <v>129</v>
      </c>
      <c r="DB70" s="56">
        <v>650</v>
      </c>
      <c r="DC70" s="55">
        <v>97</v>
      </c>
      <c r="DD70" s="56">
        <v>630</v>
      </c>
      <c r="DE70" s="55">
        <v>125</v>
      </c>
      <c r="DF70" s="56">
        <v>650</v>
      </c>
      <c r="DG70" s="55">
        <v>129</v>
      </c>
      <c r="DH70" s="56">
        <v>650</v>
      </c>
      <c r="DI70" s="55">
        <v>146</v>
      </c>
      <c r="DJ70" s="56">
        <v>650</v>
      </c>
      <c r="DK70" s="55">
        <v>105</v>
      </c>
      <c r="DL70" s="56">
        <v>650</v>
      </c>
      <c r="DM70" s="55">
        <v>130</v>
      </c>
      <c r="DN70" s="56">
        <v>633</v>
      </c>
      <c r="DO70" s="55">
        <v>125</v>
      </c>
      <c r="DP70" s="56">
        <v>650</v>
      </c>
      <c r="DQ70" s="55">
        <v>158</v>
      </c>
      <c r="DR70" s="56">
        <v>660</v>
      </c>
      <c r="DS70" s="55">
        <v>125</v>
      </c>
      <c r="DT70" s="56">
        <v>695</v>
      </c>
      <c r="DU70" s="55">
        <v>124</v>
      </c>
      <c r="DV70" s="56">
        <v>650</v>
      </c>
      <c r="DW70" s="55">
        <v>146</v>
      </c>
      <c r="DX70" s="56">
        <v>673</v>
      </c>
      <c r="DY70" s="55">
        <v>133</v>
      </c>
      <c r="DZ70" s="56">
        <v>695</v>
      </c>
      <c r="EA70" s="55">
        <v>127</v>
      </c>
      <c r="EB70" s="56">
        <v>695</v>
      </c>
      <c r="EC70" s="55">
        <v>181</v>
      </c>
      <c r="ED70" s="56">
        <v>692</v>
      </c>
      <c r="EE70" s="55">
        <v>160</v>
      </c>
      <c r="EF70" s="56">
        <v>663</v>
      </c>
      <c r="EG70" s="55">
        <v>171</v>
      </c>
      <c r="EH70" s="56">
        <v>715</v>
      </c>
      <c r="EI70" s="55">
        <v>130</v>
      </c>
      <c r="EJ70" s="56">
        <v>713</v>
      </c>
      <c r="EK70" s="55">
        <v>181</v>
      </c>
      <c r="EL70" s="56">
        <v>720</v>
      </c>
      <c r="EM70" s="55">
        <v>137</v>
      </c>
      <c r="EN70" s="56">
        <v>725</v>
      </c>
      <c r="EO70" s="55">
        <v>174</v>
      </c>
      <c r="EP70" s="56">
        <v>728</v>
      </c>
      <c r="EQ70" s="55">
        <v>133</v>
      </c>
      <c r="ER70" s="56">
        <v>720</v>
      </c>
      <c r="ES70" s="55">
        <v>164</v>
      </c>
      <c r="ET70" s="56">
        <v>725</v>
      </c>
      <c r="EU70" s="55">
        <v>132</v>
      </c>
      <c r="EV70" s="56">
        <v>750</v>
      </c>
      <c r="EW70" s="55">
        <v>190</v>
      </c>
      <c r="EX70" s="56">
        <v>795</v>
      </c>
      <c r="EY70" s="55">
        <v>125</v>
      </c>
      <c r="EZ70" s="56">
        <v>770</v>
      </c>
      <c r="FA70" s="55">
        <v>160</v>
      </c>
      <c r="FB70" s="56">
        <v>750</v>
      </c>
      <c r="FC70" s="55">
        <v>168</v>
      </c>
      <c r="FD70" s="56">
        <v>750</v>
      </c>
      <c r="FE70" s="55">
        <v>188</v>
      </c>
      <c r="FF70" s="56">
        <v>800</v>
      </c>
      <c r="FG70" s="55">
        <v>135</v>
      </c>
      <c r="FH70" s="56">
        <v>785</v>
      </c>
      <c r="FI70" s="55">
        <v>138</v>
      </c>
      <c r="FJ70" s="56">
        <v>750</v>
      </c>
      <c r="FK70" s="55">
        <v>120</v>
      </c>
      <c r="FL70" s="56">
        <v>780</v>
      </c>
      <c r="FM70" s="55">
        <v>170</v>
      </c>
      <c r="FN70" s="56">
        <v>800</v>
      </c>
      <c r="FO70" s="55">
        <v>144</v>
      </c>
      <c r="FP70" s="56">
        <v>750</v>
      </c>
      <c r="FQ70" s="55">
        <v>139</v>
      </c>
      <c r="FR70" s="56">
        <v>750</v>
      </c>
      <c r="FS70" s="55">
        <v>174</v>
      </c>
      <c r="FT70" s="56">
        <v>750</v>
      </c>
      <c r="FU70" s="55">
        <v>252</v>
      </c>
      <c r="FV70" s="56">
        <v>750</v>
      </c>
      <c r="FW70" s="55">
        <v>173</v>
      </c>
      <c r="FX70" s="56">
        <v>760</v>
      </c>
      <c r="FY70" s="55">
        <v>140</v>
      </c>
      <c r="FZ70" s="56">
        <v>800</v>
      </c>
      <c r="GA70" s="55">
        <v>155</v>
      </c>
      <c r="GB70" s="56">
        <v>760</v>
      </c>
      <c r="GC70" s="55">
        <v>203</v>
      </c>
      <c r="GD70" s="56">
        <v>810</v>
      </c>
      <c r="GE70" s="55">
        <v>153</v>
      </c>
      <c r="GF70" s="56">
        <v>800</v>
      </c>
      <c r="GG70" s="55">
        <v>180</v>
      </c>
      <c r="GH70" s="56">
        <v>800</v>
      </c>
      <c r="GI70" s="55">
        <v>171</v>
      </c>
      <c r="GJ70" s="56">
        <v>800</v>
      </c>
      <c r="GK70" s="55">
        <v>186</v>
      </c>
      <c r="GL70" s="56">
        <v>850</v>
      </c>
      <c r="GM70" s="55">
        <v>139</v>
      </c>
      <c r="GN70" s="56">
        <v>900</v>
      </c>
      <c r="GO70" s="55">
        <v>147</v>
      </c>
      <c r="GP70" s="56">
        <v>900</v>
      </c>
      <c r="GQ70" s="55">
        <v>126</v>
      </c>
      <c r="GR70" s="56">
        <v>875</v>
      </c>
      <c r="GS70" s="55">
        <v>112</v>
      </c>
      <c r="GT70" s="56">
        <v>925</v>
      </c>
      <c r="GU70" s="55">
        <v>118</v>
      </c>
      <c r="GV70" s="56">
        <v>950</v>
      </c>
      <c r="GW70" s="55">
        <v>123</v>
      </c>
      <c r="GX70" s="56">
        <v>950</v>
      </c>
      <c r="GY70" s="55">
        <v>128</v>
      </c>
      <c r="GZ70" s="56">
        <v>950</v>
      </c>
      <c r="HA70">
        <v>127</v>
      </c>
      <c r="HB70" s="56">
        <v>1000</v>
      </c>
      <c r="HC70">
        <v>89</v>
      </c>
      <c r="HD70" s="56">
        <v>975</v>
      </c>
      <c r="HE70">
        <v>111</v>
      </c>
      <c r="HF70" s="56">
        <v>995</v>
      </c>
    </row>
    <row r="71" spans="1:214" x14ac:dyDescent="0.25">
      <c r="A71" s="57"/>
      <c r="B71" s="57" t="s">
        <v>752</v>
      </c>
      <c r="C71" s="58">
        <v>2479</v>
      </c>
      <c r="D71" s="59">
        <v>180</v>
      </c>
      <c r="E71" s="58">
        <v>2645</v>
      </c>
      <c r="F71" s="59">
        <v>180</v>
      </c>
      <c r="G71" s="58">
        <v>2698</v>
      </c>
      <c r="H71" s="59">
        <v>180</v>
      </c>
      <c r="I71" s="58">
        <v>3284</v>
      </c>
      <c r="J71" s="59">
        <v>185</v>
      </c>
      <c r="K71" s="58">
        <v>2782</v>
      </c>
      <c r="L71" s="59">
        <v>185</v>
      </c>
      <c r="M71" s="58">
        <v>3010</v>
      </c>
      <c r="N71" s="59">
        <v>185</v>
      </c>
      <c r="O71" s="58">
        <v>2813</v>
      </c>
      <c r="P71" s="59">
        <v>190</v>
      </c>
      <c r="Q71" s="58">
        <v>3123</v>
      </c>
      <c r="R71" s="59">
        <v>200</v>
      </c>
      <c r="S71" s="58">
        <v>2738</v>
      </c>
      <c r="T71" s="59">
        <v>195</v>
      </c>
      <c r="U71" s="58">
        <v>2797</v>
      </c>
      <c r="V71" s="59">
        <v>195</v>
      </c>
      <c r="W71" s="58">
        <v>2831</v>
      </c>
      <c r="X71" s="59">
        <v>200</v>
      </c>
      <c r="Y71" s="58">
        <v>3301</v>
      </c>
      <c r="Z71" s="59">
        <v>205</v>
      </c>
      <c r="AA71" s="58">
        <v>2826</v>
      </c>
      <c r="AB71" s="59">
        <v>200</v>
      </c>
      <c r="AC71" s="58">
        <v>3095</v>
      </c>
      <c r="AD71" s="59">
        <v>200</v>
      </c>
      <c r="AE71" s="58">
        <v>2942</v>
      </c>
      <c r="AF71" s="59">
        <v>200</v>
      </c>
      <c r="AG71" s="58">
        <v>3559</v>
      </c>
      <c r="AH71" s="59">
        <v>210</v>
      </c>
      <c r="AI71" s="58">
        <v>3036</v>
      </c>
      <c r="AJ71" s="59">
        <v>200</v>
      </c>
      <c r="AK71" s="58">
        <v>3345</v>
      </c>
      <c r="AL71" s="59">
        <v>205</v>
      </c>
      <c r="AM71" s="58">
        <v>3190</v>
      </c>
      <c r="AN71" s="59">
        <v>210</v>
      </c>
      <c r="AO71" s="58">
        <v>3712</v>
      </c>
      <c r="AP71" s="59">
        <v>220</v>
      </c>
      <c r="AQ71" s="58">
        <v>2705</v>
      </c>
      <c r="AR71" s="59">
        <v>210</v>
      </c>
      <c r="AS71" s="58">
        <v>3312</v>
      </c>
      <c r="AT71" s="59">
        <v>210</v>
      </c>
      <c r="AU71" s="58">
        <v>3215</v>
      </c>
      <c r="AV71" s="59">
        <v>210</v>
      </c>
      <c r="AW71" s="58">
        <v>3392</v>
      </c>
      <c r="AX71" s="59">
        <v>220</v>
      </c>
      <c r="AY71" s="58">
        <v>3119</v>
      </c>
      <c r="AZ71" s="59">
        <v>220</v>
      </c>
      <c r="BA71" s="58">
        <v>3351</v>
      </c>
      <c r="BB71" s="59">
        <v>220</v>
      </c>
      <c r="BC71" s="58">
        <v>2974</v>
      </c>
      <c r="BD71" s="59">
        <v>220</v>
      </c>
      <c r="BE71" s="58">
        <v>3281</v>
      </c>
      <c r="BF71" s="59">
        <v>225</v>
      </c>
      <c r="BG71" s="58">
        <v>2910</v>
      </c>
      <c r="BH71" s="59">
        <v>230</v>
      </c>
      <c r="BI71" s="58">
        <v>3039</v>
      </c>
      <c r="BJ71" s="59">
        <v>230</v>
      </c>
      <c r="BK71" s="58">
        <v>2874</v>
      </c>
      <c r="BL71" s="59">
        <v>233</v>
      </c>
      <c r="BM71" s="58">
        <v>3433</v>
      </c>
      <c r="BN71" s="59">
        <v>240</v>
      </c>
      <c r="BO71" s="58">
        <v>2897</v>
      </c>
      <c r="BP71" s="59">
        <v>245</v>
      </c>
      <c r="BQ71" s="58">
        <v>3088</v>
      </c>
      <c r="BR71" s="59">
        <v>250</v>
      </c>
      <c r="BS71" s="58">
        <v>3028</v>
      </c>
      <c r="BT71" s="59">
        <v>265</v>
      </c>
      <c r="BU71" s="58">
        <v>3358</v>
      </c>
      <c r="BV71" s="59">
        <v>275</v>
      </c>
      <c r="BW71" s="58">
        <v>3206</v>
      </c>
      <c r="BX71" s="59">
        <v>280</v>
      </c>
      <c r="BY71" s="58">
        <v>3322</v>
      </c>
      <c r="BZ71" s="59">
        <v>298</v>
      </c>
      <c r="CA71" s="58">
        <v>3290</v>
      </c>
      <c r="CB71" s="59">
        <v>300</v>
      </c>
      <c r="CC71" s="58">
        <v>3463</v>
      </c>
      <c r="CD71" s="59">
        <v>300</v>
      </c>
      <c r="CE71" s="58">
        <v>3178</v>
      </c>
      <c r="CF71" s="59">
        <v>300</v>
      </c>
      <c r="CG71" s="58">
        <v>3509</v>
      </c>
      <c r="CH71" s="59">
        <v>300</v>
      </c>
      <c r="CI71" s="58">
        <v>3658</v>
      </c>
      <c r="CJ71" s="59">
        <v>310</v>
      </c>
      <c r="CK71" s="58">
        <v>3934</v>
      </c>
      <c r="CL71" s="59">
        <v>320</v>
      </c>
      <c r="CM71" s="58">
        <v>3810</v>
      </c>
      <c r="CN71" s="59">
        <v>320</v>
      </c>
      <c r="CO71" s="58">
        <v>4105</v>
      </c>
      <c r="CP71" s="59">
        <v>320</v>
      </c>
      <c r="CQ71" s="58">
        <v>4124</v>
      </c>
      <c r="CR71" s="59">
        <v>320</v>
      </c>
      <c r="CS71" s="58">
        <v>4355</v>
      </c>
      <c r="CT71" s="59">
        <v>330</v>
      </c>
      <c r="CU71" s="58">
        <v>3995</v>
      </c>
      <c r="CV71" s="59">
        <v>320</v>
      </c>
      <c r="CW71" s="58">
        <v>4446</v>
      </c>
      <c r="CX71" s="59">
        <v>320</v>
      </c>
      <c r="CY71" s="58">
        <v>4088</v>
      </c>
      <c r="CZ71" s="59">
        <v>320</v>
      </c>
      <c r="DA71" s="58">
        <v>4770</v>
      </c>
      <c r="DB71" s="59">
        <v>330</v>
      </c>
      <c r="DC71" s="58">
        <v>4046</v>
      </c>
      <c r="DD71" s="59">
        <v>320</v>
      </c>
      <c r="DE71" s="58">
        <v>4668</v>
      </c>
      <c r="DF71" s="59">
        <v>320</v>
      </c>
      <c r="DG71" s="58">
        <v>4398</v>
      </c>
      <c r="DH71" s="59">
        <v>320</v>
      </c>
      <c r="DI71" s="58">
        <v>4621</v>
      </c>
      <c r="DJ71" s="59">
        <v>330</v>
      </c>
      <c r="DK71" s="58">
        <v>4388</v>
      </c>
      <c r="DL71" s="59">
        <v>330</v>
      </c>
      <c r="DM71" s="58">
        <v>4522</v>
      </c>
      <c r="DN71" s="59">
        <v>330</v>
      </c>
      <c r="DO71" s="58">
        <v>4294</v>
      </c>
      <c r="DP71" s="59">
        <v>335</v>
      </c>
      <c r="DQ71" s="58">
        <v>4421</v>
      </c>
      <c r="DR71" s="59">
        <v>340</v>
      </c>
      <c r="DS71" s="58">
        <v>4056</v>
      </c>
      <c r="DT71" s="59">
        <v>340</v>
      </c>
      <c r="DU71" s="58">
        <v>4368</v>
      </c>
      <c r="DV71" s="59">
        <v>340</v>
      </c>
      <c r="DW71" s="58">
        <v>4466</v>
      </c>
      <c r="DX71" s="59">
        <v>345</v>
      </c>
      <c r="DY71" s="58">
        <v>4605</v>
      </c>
      <c r="DZ71" s="59">
        <v>350</v>
      </c>
      <c r="EA71" s="58">
        <v>4458</v>
      </c>
      <c r="EB71" s="59">
        <v>350</v>
      </c>
      <c r="EC71" s="58">
        <v>4528</v>
      </c>
      <c r="ED71" s="59">
        <v>350</v>
      </c>
      <c r="EE71" s="58">
        <v>4790</v>
      </c>
      <c r="EF71" s="59">
        <v>350</v>
      </c>
      <c r="EG71" s="58">
        <v>4972</v>
      </c>
      <c r="EH71" s="59">
        <v>360</v>
      </c>
      <c r="EI71" s="58">
        <v>4716</v>
      </c>
      <c r="EJ71" s="59">
        <v>350</v>
      </c>
      <c r="EK71" s="58">
        <v>5031</v>
      </c>
      <c r="EL71" s="59">
        <v>360</v>
      </c>
      <c r="EM71" s="58">
        <v>4517</v>
      </c>
      <c r="EN71" s="59">
        <v>360</v>
      </c>
      <c r="EO71" s="58">
        <v>5095</v>
      </c>
      <c r="EP71" s="59">
        <v>370</v>
      </c>
      <c r="EQ71" s="58">
        <v>4458</v>
      </c>
      <c r="ER71" s="59">
        <v>370</v>
      </c>
      <c r="ES71" s="58">
        <v>4906</v>
      </c>
      <c r="ET71" s="59">
        <v>370</v>
      </c>
      <c r="EU71" s="58">
        <v>4738</v>
      </c>
      <c r="EV71" s="59">
        <v>380</v>
      </c>
      <c r="EW71" s="58">
        <v>5137</v>
      </c>
      <c r="EX71" s="59">
        <v>380</v>
      </c>
      <c r="EY71" s="58">
        <v>4501</v>
      </c>
      <c r="EZ71" s="59">
        <v>380</v>
      </c>
      <c r="FA71" s="58">
        <v>4769</v>
      </c>
      <c r="FB71" s="59">
        <v>390</v>
      </c>
      <c r="FC71" s="58">
        <v>4587</v>
      </c>
      <c r="FD71" s="59">
        <v>390</v>
      </c>
      <c r="FE71" s="58">
        <v>4934</v>
      </c>
      <c r="FF71" s="59">
        <v>390</v>
      </c>
      <c r="FG71" s="58">
        <v>4473</v>
      </c>
      <c r="FH71" s="59">
        <v>390</v>
      </c>
      <c r="FI71" s="58">
        <v>4832</v>
      </c>
      <c r="FJ71" s="59">
        <v>380</v>
      </c>
      <c r="FK71" s="58">
        <v>4547</v>
      </c>
      <c r="FL71" s="59">
        <v>390</v>
      </c>
      <c r="FM71" s="58">
        <v>4985</v>
      </c>
      <c r="FN71" s="59">
        <v>396</v>
      </c>
      <c r="FO71" s="58">
        <v>4374</v>
      </c>
      <c r="FP71" s="59">
        <v>380</v>
      </c>
      <c r="FQ71" s="58">
        <v>3919</v>
      </c>
      <c r="FR71" s="59">
        <v>386</v>
      </c>
      <c r="FS71" s="58">
        <v>4574</v>
      </c>
      <c r="FT71" s="59">
        <v>390</v>
      </c>
      <c r="FU71" s="58">
        <v>5185</v>
      </c>
      <c r="FV71" s="59">
        <v>395</v>
      </c>
      <c r="FW71" s="58">
        <v>4597</v>
      </c>
      <c r="FX71" s="59">
        <v>385</v>
      </c>
      <c r="FY71" s="58">
        <v>4534</v>
      </c>
      <c r="FZ71" s="59">
        <v>390</v>
      </c>
      <c r="GA71" s="58">
        <v>5172</v>
      </c>
      <c r="GB71" s="59">
        <v>390</v>
      </c>
      <c r="GC71" s="58">
        <v>5410</v>
      </c>
      <c r="GD71" s="59">
        <v>400</v>
      </c>
      <c r="GE71" s="58">
        <v>5040</v>
      </c>
      <c r="GF71" s="59">
        <v>400</v>
      </c>
      <c r="GG71" s="58">
        <v>5120</v>
      </c>
      <c r="GH71" s="59">
        <v>410</v>
      </c>
      <c r="GI71" s="58">
        <v>4740</v>
      </c>
      <c r="GJ71" s="59">
        <v>420</v>
      </c>
      <c r="GK71" s="58">
        <v>4890</v>
      </c>
      <c r="GL71" s="59">
        <v>430</v>
      </c>
      <c r="GM71" s="58">
        <v>4388</v>
      </c>
      <c r="GN71" s="59">
        <v>450</v>
      </c>
      <c r="GO71" s="58">
        <v>4363</v>
      </c>
      <c r="GP71" s="59">
        <v>470</v>
      </c>
      <c r="GQ71" s="58">
        <v>3998</v>
      </c>
      <c r="GR71" s="59">
        <v>480</v>
      </c>
      <c r="GS71" s="58">
        <v>3986</v>
      </c>
      <c r="GT71" s="59">
        <v>500</v>
      </c>
      <c r="GU71" s="58">
        <v>4245</v>
      </c>
      <c r="GV71" s="59">
        <v>500</v>
      </c>
      <c r="GW71" s="58">
        <v>4293</v>
      </c>
      <c r="GX71" s="59">
        <v>500</v>
      </c>
      <c r="GY71" s="58">
        <v>4521</v>
      </c>
      <c r="GZ71" s="59">
        <v>510</v>
      </c>
      <c r="HA71" s="6">
        <v>4810</v>
      </c>
      <c r="HB71" s="59">
        <v>510</v>
      </c>
      <c r="HC71" s="6">
        <v>4655</v>
      </c>
      <c r="HD71" s="59">
        <v>500</v>
      </c>
      <c r="HE71" s="6">
        <v>4810</v>
      </c>
      <c r="HF71" s="59">
        <v>510</v>
      </c>
    </row>
    <row r="72" spans="1:214" s="10" customFormat="1" x14ac:dyDescent="0.25">
      <c r="A72" s="53" t="s">
        <v>809</v>
      </c>
      <c r="B72" s="54" t="s">
        <v>810</v>
      </c>
      <c r="C72" s="55">
        <v>218</v>
      </c>
      <c r="D72" s="56">
        <v>280</v>
      </c>
      <c r="E72" s="55">
        <v>240</v>
      </c>
      <c r="F72" s="56">
        <v>300</v>
      </c>
      <c r="G72" s="55">
        <v>250</v>
      </c>
      <c r="H72" s="56">
        <v>300</v>
      </c>
      <c r="I72" s="55">
        <v>310</v>
      </c>
      <c r="J72" s="56">
        <v>300</v>
      </c>
      <c r="K72" s="55">
        <v>214</v>
      </c>
      <c r="L72" s="56">
        <v>295</v>
      </c>
      <c r="M72" s="55">
        <v>224</v>
      </c>
      <c r="N72" s="56">
        <v>308</v>
      </c>
      <c r="O72" s="55">
        <v>236</v>
      </c>
      <c r="P72" s="56">
        <v>300</v>
      </c>
      <c r="Q72" s="55">
        <v>282</v>
      </c>
      <c r="R72" s="56">
        <v>320</v>
      </c>
      <c r="S72" s="55">
        <v>226</v>
      </c>
      <c r="T72" s="56">
        <v>320</v>
      </c>
      <c r="U72" s="55">
        <v>252</v>
      </c>
      <c r="V72" s="56">
        <v>330</v>
      </c>
      <c r="W72" s="55">
        <v>270</v>
      </c>
      <c r="X72" s="56">
        <v>320</v>
      </c>
      <c r="Y72" s="55">
        <v>309</v>
      </c>
      <c r="Z72" s="56">
        <v>340</v>
      </c>
      <c r="AA72" s="55">
        <v>217</v>
      </c>
      <c r="AB72" s="56">
        <v>330</v>
      </c>
      <c r="AC72" s="55">
        <v>243</v>
      </c>
      <c r="AD72" s="56">
        <v>330</v>
      </c>
      <c r="AE72" s="55">
        <v>246</v>
      </c>
      <c r="AF72" s="56">
        <v>330</v>
      </c>
      <c r="AG72" s="55">
        <v>305</v>
      </c>
      <c r="AH72" s="56">
        <v>335</v>
      </c>
      <c r="AI72" s="55">
        <v>209</v>
      </c>
      <c r="AJ72" s="56">
        <v>340</v>
      </c>
      <c r="AK72" s="55">
        <v>229</v>
      </c>
      <c r="AL72" s="56">
        <v>350</v>
      </c>
      <c r="AM72" s="55">
        <v>251</v>
      </c>
      <c r="AN72" s="56">
        <v>330</v>
      </c>
      <c r="AO72" s="55">
        <v>303</v>
      </c>
      <c r="AP72" s="56">
        <v>350</v>
      </c>
      <c r="AQ72" s="55">
        <v>196</v>
      </c>
      <c r="AR72" s="56">
        <v>335</v>
      </c>
      <c r="AS72" s="55">
        <v>190</v>
      </c>
      <c r="AT72" s="56">
        <v>340</v>
      </c>
      <c r="AU72" s="55">
        <v>235</v>
      </c>
      <c r="AV72" s="56">
        <v>360</v>
      </c>
      <c r="AW72" s="55">
        <v>275</v>
      </c>
      <c r="AX72" s="56">
        <v>360</v>
      </c>
      <c r="AY72" s="55">
        <v>184</v>
      </c>
      <c r="AZ72" s="56">
        <v>360</v>
      </c>
      <c r="BA72" s="55">
        <v>202</v>
      </c>
      <c r="BB72" s="56">
        <v>370</v>
      </c>
      <c r="BC72" s="55">
        <v>175</v>
      </c>
      <c r="BD72" s="56">
        <v>375</v>
      </c>
      <c r="BE72" s="55">
        <v>246</v>
      </c>
      <c r="BF72" s="56">
        <v>360</v>
      </c>
      <c r="BG72" s="55">
        <v>167</v>
      </c>
      <c r="BH72" s="56">
        <v>380</v>
      </c>
      <c r="BI72" s="55">
        <v>178</v>
      </c>
      <c r="BJ72" s="56">
        <v>360</v>
      </c>
      <c r="BK72" s="55">
        <v>188</v>
      </c>
      <c r="BL72" s="56">
        <v>395</v>
      </c>
      <c r="BM72" s="55">
        <v>248</v>
      </c>
      <c r="BN72" s="56">
        <v>400</v>
      </c>
      <c r="BO72" s="55">
        <v>141</v>
      </c>
      <c r="BP72" s="56">
        <v>420</v>
      </c>
      <c r="BQ72" s="55">
        <v>201</v>
      </c>
      <c r="BR72" s="56">
        <v>440</v>
      </c>
      <c r="BS72" s="55">
        <v>195</v>
      </c>
      <c r="BT72" s="56">
        <v>450</v>
      </c>
      <c r="BU72" s="55">
        <v>264</v>
      </c>
      <c r="BV72" s="56">
        <v>458</v>
      </c>
      <c r="BW72" s="55">
        <v>194</v>
      </c>
      <c r="BX72" s="56">
        <v>473</v>
      </c>
      <c r="BY72" s="55">
        <v>193</v>
      </c>
      <c r="BZ72" s="56">
        <v>480</v>
      </c>
      <c r="CA72" s="55">
        <v>222</v>
      </c>
      <c r="CB72" s="56">
        <v>478</v>
      </c>
      <c r="CC72" s="55">
        <v>268</v>
      </c>
      <c r="CD72" s="56">
        <v>493</v>
      </c>
      <c r="CE72" s="55">
        <v>207</v>
      </c>
      <c r="CF72" s="56">
        <v>490</v>
      </c>
      <c r="CG72" s="55">
        <v>216</v>
      </c>
      <c r="CH72" s="56">
        <v>473</v>
      </c>
      <c r="CI72" s="55">
        <v>229</v>
      </c>
      <c r="CJ72" s="56">
        <v>495</v>
      </c>
      <c r="CK72" s="55">
        <v>261</v>
      </c>
      <c r="CL72" s="56">
        <v>495</v>
      </c>
      <c r="CM72" s="55">
        <v>208</v>
      </c>
      <c r="CN72" s="56">
        <v>533</v>
      </c>
      <c r="CO72" s="55">
        <v>200</v>
      </c>
      <c r="CP72" s="56">
        <v>525</v>
      </c>
      <c r="CQ72" s="55">
        <v>231</v>
      </c>
      <c r="CR72" s="56">
        <v>530</v>
      </c>
      <c r="CS72" s="55">
        <v>277</v>
      </c>
      <c r="CT72" s="56">
        <v>530</v>
      </c>
      <c r="CU72" s="55">
        <v>215</v>
      </c>
      <c r="CV72" s="56">
        <v>530</v>
      </c>
      <c r="CW72" s="55">
        <v>213</v>
      </c>
      <c r="CX72" s="56">
        <v>550</v>
      </c>
      <c r="CY72" s="55">
        <v>237</v>
      </c>
      <c r="CZ72" s="56">
        <v>550</v>
      </c>
      <c r="DA72" s="55">
        <v>288</v>
      </c>
      <c r="DB72" s="56">
        <v>550</v>
      </c>
      <c r="DC72" s="55">
        <v>205</v>
      </c>
      <c r="DD72" s="56">
        <v>540</v>
      </c>
      <c r="DE72" s="55">
        <v>241</v>
      </c>
      <c r="DF72" s="56">
        <v>550</v>
      </c>
      <c r="DG72" s="55">
        <v>231</v>
      </c>
      <c r="DH72" s="56">
        <v>550</v>
      </c>
      <c r="DI72" s="55">
        <v>259</v>
      </c>
      <c r="DJ72" s="56">
        <v>560</v>
      </c>
      <c r="DK72" s="55">
        <v>197</v>
      </c>
      <c r="DL72" s="56">
        <v>580</v>
      </c>
      <c r="DM72" s="55">
        <v>241</v>
      </c>
      <c r="DN72" s="56">
        <v>560</v>
      </c>
      <c r="DO72" s="55">
        <v>253</v>
      </c>
      <c r="DP72" s="56">
        <v>570</v>
      </c>
      <c r="DQ72" s="55">
        <v>245</v>
      </c>
      <c r="DR72" s="56">
        <v>570</v>
      </c>
      <c r="DS72" s="55">
        <v>188</v>
      </c>
      <c r="DT72" s="56">
        <v>588</v>
      </c>
      <c r="DU72" s="55">
        <v>186</v>
      </c>
      <c r="DV72" s="56">
        <v>620</v>
      </c>
      <c r="DW72" s="55">
        <v>242</v>
      </c>
      <c r="DX72" s="56">
        <v>580</v>
      </c>
      <c r="DY72" s="55">
        <v>275</v>
      </c>
      <c r="DZ72" s="56">
        <v>580</v>
      </c>
      <c r="EA72" s="55">
        <v>219</v>
      </c>
      <c r="EB72" s="56">
        <v>595</v>
      </c>
      <c r="EC72" s="55">
        <v>193</v>
      </c>
      <c r="ED72" s="56">
        <v>580</v>
      </c>
      <c r="EE72" s="55">
        <v>218</v>
      </c>
      <c r="EF72" s="56">
        <v>600</v>
      </c>
      <c r="EG72" s="55">
        <v>271</v>
      </c>
      <c r="EH72" s="56">
        <v>630</v>
      </c>
      <c r="EI72" s="55">
        <v>217</v>
      </c>
      <c r="EJ72" s="56">
        <v>610</v>
      </c>
      <c r="EK72" s="55">
        <v>250</v>
      </c>
      <c r="EL72" s="56">
        <v>628</v>
      </c>
      <c r="EM72" s="55">
        <v>238</v>
      </c>
      <c r="EN72" s="56">
        <v>623</v>
      </c>
      <c r="EO72" s="55">
        <v>260</v>
      </c>
      <c r="EP72" s="56">
        <v>620</v>
      </c>
      <c r="EQ72" s="55">
        <v>202</v>
      </c>
      <c r="ER72" s="56">
        <v>630</v>
      </c>
      <c r="ES72" s="55">
        <v>204</v>
      </c>
      <c r="ET72" s="56">
        <v>650</v>
      </c>
      <c r="EU72" s="55">
        <v>226</v>
      </c>
      <c r="EV72" s="56">
        <v>643</v>
      </c>
      <c r="EW72" s="55">
        <v>272</v>
      </c>
      <c r="EX72" s="56">
        <v>650</v>
      </c>
      <c r="EY72" s="55">
        <v>157</v>
      </c>
      <c r="EZ72" s="56">
        <v>650</v>
      </c>
      <c r="FA72" s="55">
        <v>201</v>
      </c>
      <c r="FB72" s="56">
        <v>625</v>
      </c>
      <c r="FC72" s="55">
        <v>220</v>
      </c>
      <c r="FD72" s="56">
        <v>650</v>
      </c>
      <c r="FE72" s="55">
        <v>238</v>
      </c>
      <c r="FF72" s="56">
        <v>630</v>
      </c>
      <c r="FG72" s="55">
        <v>175</v>
      </c>
      <c r="FH72" s="56">
        <v>650</v>
      </c>
      <c r="FI72" s="55">
        <v>195</v>
      </c>
      <c r="FJ72" s="56">
        <v>610</v>
      </c>
      <c r="FK72" s="55">
        <v>198</v>
      </c>
      <c r="FL72" s="56">
        <v>650</v>
      </c>
      <c r="FM72" s="55">
        <v>247</v>
      </c>
      <c r="FN72" s="56">
        <v>650</v>
      </c>
      <c r="FO72" s="55">
        <v>178</v>
      </c>
      <c r="FP72" s="56">
        <v>630</v>
      </c>
      <c r="FQ72" s="55">
        <v>176</v>
      </c>
      <c r="FR72" s="56">
        <v>613</v>
      </c>
      <c r="FS72" s="55">
        <v>189</v>
      </c>
      <c r="FT72" s="56">
        <v>600</v>
      </c>
      <c r="FU72" s="55">
        <v>211</v>
      </c>
      <c r="FV72" s="56">
        <v>645</v>
      </c>
      <c r="FW72" s="55">
        <v>158</v>
      </c>
      <c r="FX72" s="56">
        <v>650</v>
      </c>
      <c r="FY72" s="55">
        <v>167</v>
      </c>
      <c r="FZ72" s="56">
        <v>675</v>
      </c>
      <c r="GA72" s="55">
        <v>202</v>
      </c>
      <c r="GB72" s="56">
        <v>680</v>
      </c>
      <c r="GC72" s="55">
        <v>232</v>
      </c>
      <c r="GD72" s="56">
        <v>680</v>
      </c>
      <c r="GE72" s="55">
        <v>188</v>
      </c>
      <c r="GF72" s="56">
        <v>650</v>
      </c>
      <c r="GG72" s="55">
        <v>161</v>
      </c>
      <c r="GH72" s="56">
        <v>680</v>
      </c>
      <c r="GI72" s="55">
        <v>179</v>
      </c>
      <c r="GJ72" s="56">
        <v>680</v>
      </c>
      <c r="GK72" s="55">
        <v>201</v>
      </c>
      <c r="GL72" s="56">
        <v>700</v>
      </c>
      <c r="GM72" s="55">
        <v>142</v>
      </c>
      <c r="GN72" s="56">
        <v>750</v>
      </c>
      <c r="GO72" s="55">
        <v>171</v>
      </c>
      <c r="GP72" s="56">
        <v>800</v>
      </c>
      <c r="GQ72" s="55">
        <v>134</v>
      </c>
      <c r="GR72" s="56">
        <v>750</v>
      </c>
      <c r="GS72" s="55">
        <v>141</v>
      </c>
      <c r="GT72" s="56">
        <v>820</v>
      </c>
      <c r="GU72" s="55">
        <v>168</v>
      </c>
      <c r="GV72" s="56">
        <v>800</v>
      </c>
      <c r="GW72" s="55">
        <v>155</v>
      </c>
      <c r="GX72" s="56">
        <v>800</v>
      </c>
      <c r="GY72" s="55">
        <v>163</v>
      </c>
      <c r="GZ72" s="56">
        <v>795</v>
      </c>
      <c r="HA72" s="7">
        <v>149</v>
      </c>
      <c r="HB72" s="56">
        <v>820</v>
      </c>
      <c r="HC72" s="7">
        <v>140</v>
      </c>
      <c r="HD72" s="56">
        <v>855</v>
      </c>
      <c r="HE72" s="7">
        <v>128</v>
      </c>
      <c r="HF72" s="56">
        <v>850</v>
      </c>
    </row>
    <row r="73" spans="1:214" x14ac:dyDescent="0.25">
      <c r="A73" s="53"/>
      <c r="B73" s="54" t="s">
        <v>811</v>
      </c>
      <c r="C73" s="55">
        <v>266</v>
      </c>
      <c r="D73" s="56">
        <v>180</v>
      </c>
      <c r="E73" s="55">
        <v>266</v>
      </c>
      <c r="F73" s="56">
        <v>185</v>
      </c>
      <c r="G73" s="55">
        <v>248</v>
      </c>
      <c r="H73" s="56">
        <v>185</v>
      </c>
      <c r="I73" s="55">
        <v>248</v>
      </c>
      <c r="J73" s="56">
        <v>185</v>
      </c>
      <c r="K73" s="55">
        <v>281</v>
      </c>
      <c r="L73" s="56">
        <v>185</v>
      </c>
      <c r="M73" s="55">
        <v>257</v>
      </c>
      <c r="N73" s="56">
        <v>190</v>
      </c>
      <c r="O73" s="55">
        <v>256</v>
      </c>
      <c r="P73" s="56">
        <v>190</v>
      </c>
      <c r="Q73" s="55">
        <v>259</v>
      </c>
      <c r="R73" s="56">
        <v>195</v>
      </c>
      <c r="S73" s="55">
        <v>267</v>
      </c>
      <c r="T73" s="56">
        <v>195</v>
      </c>
      <c r="U73" s="55">
        <v>275</v>
      </c>
      <c r="V73" s="56">
        <v>200</v>
      </c>
      <c r="W73" s="55">
        <v>268</v>
      </c>
      <c r="X73" s="56">
        <v>200</v>
      </c>
      <c r="Y73" s="55">
        <v>268</v>
      </c>
      <c r="Z73" s="56">
        <v>200</v>
      </c>
      <c r="AA73" s="55">
        <v>252</v>
      </c>
      <c r="AB73" s="56">
        <v>200</v>
      </c>
      <c r="AC73" s="55">
        <v>311</v>
      </c>
      <c r="AD73" s="56">
        <v>210</v>
      </c>
      <c r="AE73" s="55">
        <v>273</v>
      </c>
      <c r="AF73" s="56">
        <v>210</v>
      </c>
      <c r="AG73" s="55">
        <v>311</v>
      </c>
      <c r="AH73" s="56">
        <v>210</v>
      </c>
      <c r="AI73" s="55">
        <v>296</v>
      </c>
      <c r="AJ73" s="56">
        <v>210</v>
      </c>
      <c r="AK73" s="55">
        <v>293</v>
      </c>
      <c r="AL73" s="56">
        <v>210</v>
      </c>
      <c r="AM73" s="55">
        <v>289</v>
      </c>
      <c r="AN73" s="56">
        <v>220</v>
      </c>
      <c r="AO73" s="55">
        <v>307</v>
      </c>
      <c r="AP73" s="56">
        <v>220</v>
      </c>
      <c r="AQ73" s="55">
        <v>247</v>
      </c>
      <c r="AR73" s="56">
        <v>220</v>
      </c>
      <c r="AS73" s="55">
        <v>287</v>
      </c>
      <c r="AT73" s="56">
        <v>230</v>
      </c>
      <c r="AU73" s="55">
        <v>243</v>
      </c>
      <c r="AV73" s="56">
        <v>225</v>
      </c>
      <c r="AW73" s="55">
        <v>279</v>
      </c>
      <c r="AX73" s="56">
        <v>225</v>
      </c>
      <c r="AY73" s="55">
        <v>262</v>
      </c>
      <c r="AZ73" s="56">
        <v>225</v>
      </c>
      <c r="BA73" s="55">
        <v>272</v>
      </c>
      <c r="BB73" s="56">
        <v>230</v>
      </c>
      <c r="BC73" s="55">
        <v>221</v>
      </c>
      <c r="BD73" s="56">
        <v>240</v>
      </c>
      <c r="BE73" s="55">
        <v>226</v>
      </c>
      <c r="BF73" s="56">
        <v>235</v>
      </c>
      <c r="BG73" s="55">
        <v>216</v>
      </c>
      <c r="BH73" s="56">
        <v>240</v>
      </c>
      <c r="BI73" s="55">
        <v>253</v>
      </c>
      <c r="BJ73" s="56">
        <v>240</v>
      </c>
      <c r="BK73" s="55">
        <v>228</v>
      </c>
      <c r="BL73" s="56">
        <v>255</v>
      </c>
      <c r="BM73" s="55">
        <v>269</v>
      </c>
      <c r="BN73" s="56">
        <v>255</v>
      </c>
      <c r="BO73" s="55">
        <v>229</v>
      </c>
      <c r="BP73" s="56">
        <v>265</v>
      </c>
      <c r="BQ73" s="55">
        <v>248</v>
      </c>
      <c r="BR73" s="56">
        <v>270</v>
      </c>
      <c r="BS73" s="55">
        <v>232</v>
      </c>
      <c r="BT73" s="56">
        <v>288</v>
      </c>
      <c r="BU73" s="55">
        <v>241</v>
      </c>
      <c r="BV73" s="56">
        <v>290</v>
      </c>
      <c r="BW73" s="55">
        <v>229</v>
      </c>
      <c r="BX73" s="56">
        <v>300</v>
      </c>
      <c r="BY73" s="55">
        <v>244</v>
      </c>
      <c r="BZ73" s="56">
        <v>300</v>
      </c>
      <c r="CA73" s="55">
        <v>244</v>
      </c>
      <c r="CB73" s="56">
        <v>310</v>
      </c>
      <c r="CC73" s="55">
        <v>226</v>
      </c>
      <c r="CD73" s="56">
        <v>310</v>
      </c>
      <c r="CE73" s="55">
        <v>236</v>
      </c>
      <c r="CF73" s="56">
        <v>310</v>
      </c>
      <c r="CG73" s="55">
        <v>265</v>
      </c>
      <c r="CH73" s="56">
        <v>320</v>
      </c>
      <c r="CI73" s="55">
        <v>230</v>
      </c>
      <c r="CJ73" s="56">
        <v>320</v>
      </c>
      <c r="CK73" s="55">
        <v>247</v>
      </c>
      <c r="CL73" s="56">
        <v>340</v>
      </c>
      <c r="CM73" s="55">
        <v>247</v>
      </c>
      <c r="CN73" s="56">
        <v>340</v>
      </c>
      <c r="CO73" s="55">
        <v>270</v>
      </c>
      <c r="CP73" s="56">
        <v>340</v>
      </c>
      <c r="CQ73" s="55">
        <v>274</v>
      </c>
      <c r="CR73" s="56">
        <v>350</v>
      </c>
      <c r="CS73" s="55">
        <v>283</v>
      </c>
      <c r="CT73" s="56">
        <v>350</v>
      </c>
      <c r="CU73" s="55">
        <v>273</v>
      </c>
      <c r="CV73" s="56">
        <v>350</v>
      </c>
      <c r="CW73" s="55">
        <v>292</v>
      </c>
      <c r="CX73" s="56">
        <v>350</v>
      </c>
      <c r="CY73" s="55">
        <v>279</v>
      </c>
      <c r="CZ73" s="56">
        <v>350</v>
      </c>
      <c r="DA73" s="55">
        <v>263</v>
      </c>
      <c r="DB73" s="56">
        <v>350</v>
      </c>
      <c r="DC73" s="55">
        <v>286</v>
      </c>
      <c r="DD73" s="56">
        <v>350</v>
      </c>
      <c r="DE73" s="55">
        <v>306</v>
      </c>
      <c r="DF73" s="56">
        <v>350</v>
      </c>
      <c r="DG73" s="55">
        <v>267</v>
      </c>
      <c r="DH73" s="56">
        <v>360</v>
      </c>
      <c r="DI73" s="55">
        <v>240</v>
      </c>
      <c r="DJ73" s="56">
        <v>350</v>
      </c>
      <c r="DK73" s="55">
        <v>266</v>
      </c>
      <c r="DL73" s="56">
        <v>350</v>
      </c>
      <c r="DM73" s="55">
        <v>295</v>
      </c>
      <c r="DN73" s="56">
        <v>355</v>
      </c>
      <c r="DO73" s="55">
        <v>261</v>
      </c>
      <c r="DP73" s="56">
        <v>365</v>
      </c>
      <c r="DQ73" s="55">
        <v>262</v>
      </c>
      <c r="DR73" s="56">
        <v>360</v>
      </c>
      <c r="DS73" s="55">
        <v>232</v>
      </c>
      <c r="DT73" s="56">
        <v>370</v>
      </c>
      <c r="DU73" s="55">
        <v>304</v>
      </c>
      <c r="DV73" s="56">
        <v>365</v>
      </c>
      <c r="DW73" s="55">
        <v>269</v>
      </c>
      <c r="DX73" s="56">
        <v>370</v>
      </c>
      <c r="DY73" s="55">
        <v>295</v>
      </c>
      <c r="DZ73" s="56">
        <v>370</v>
      </c>
      <c r="EA73" s="55">
        <v>300</v>
      </c>
      <c r="EB73" s="56">
        <v>370</v>
      </c>
      <c r="EC73" s="55">
        <v>345</v>
      </c>
      <c r="ED73" s="56">
        <v>380</v>
      </c>
      <c r="EE73" s="55">
        <v>337</v>
      </c>
      <c r="EF73" s="56">
        <v>390</v>
      </c>
      <c r="EG73" s="55">
        <v>331</v>
      </c>
      <c r="EH73" s="56">
        <v>390</v>
      </c>
      <c r="EI73" s="55">
        <v>321</v>
      </c>
      <c r="EJ73" s="56">
        <v>380</v>
      </c>
      <c r="EK73" s="55">
        <v>354</v>
      </c>
      <c r="EL73" s="56">
        <v>385</v>
      </c>
      <c r="EM73" s="55">
        <v>298</v>
      </c>
      <c r="EN73" s="56">
        <v>390</v>
      </c>
      <c r="EO73" s="55">
        <v>316</v>
      </c>
      <c r="EP73" s="56">
        <v>400</v>
      </c>
      <c r="EQ73" s="55">
        <v>338</v>
      </c>
      <c r="ER73" s="56">
        <v>400</v>
      </c>
      <c r="ES73" s="55">
        <v>354</v>
      </c>
      <c r="ET73" s="56">
        <v>400</v>
      </c>
      <c r="EU73" s="55">
        <v>376</v>
      </c>
      <c r="EV73" s="56">
        <v>400</v>
      </c>
      <c r="EW73" s="55">
        <v>339</v>
      </c>
      <c r="EX73" s="56">
        <v>405</v>
      </c>
      <c r="EY73" s="55">
        <v>340</v>
      </c>
      <c r="EZ73" s="56">
        <v>405</v>
      </c>
      <c r="FA73" s="55">
        <v>358</v>
      </c>
      <c r="FB73" s="56">
        <v>410</v>
      </c>
      <c r="FC73" s="55">
        <v>338</v>
      </c>
      <c r="FD73" s="56">
        <v>410</v>
      </c>
      <c r="FE73" s="55">
        <v>351</v>
      </c>
      <c r="FF73" s="56">
        <v>410</v>
      </c>
      <c r="FG73" s="55">
        <v>309</v>
      </c>
      <c r="FH73" s="56">
        <v>400</v>
      </c>
      <c r="FI73" s="55">
        <v>342</v>
      </c>
      <c r="FJ73" s="56">
        <v>410</v>
      </c>
      <c r="FK73" s="55">
        <v>346</v>
      </c>
      <c r="FL73" s="56">
        <v>420</v>
      </c>
      <c r="FM73" s="55">
        <v>332</v>
      </c>
      <c r="FN73" s="56">
        <v>420</v>
      </c>
      <c r="FO73" s="55">
        <v>322</v>
      </c>
      <c r="FP73" s="56">
        <v>410</v>
      </c>
      <c r="FQ73" s="55">
        <v>236</v>
      </c>
      <c r="FR73" s="56">
        <v>420</v>
      </c>
      <c r="FS73" s="55">
        <v>262</v>
      </c>
      <c r="FT73" s="56">
        <v>415</v>
      </c>
      <c r="FU73" s="55">
        <v>280</v>
      </c>
      <c r="FV73" s="56">
        <v>430</v>
      </c>
      <c r="FW73" s="55">
        <v>232</v>
      </c>
      <c r="FX73" s="56">
        <v>430</v>
      </c>
      <c r="FY73" s="55">
        <v>291</v>
      </c>
      <c r="FZ73" s="56">
        <v>450</v>
      </c>
      <c r="GA73" s="55">
        <v>296</v>
      </c>
      <c r="GB73" s="56">
        <v>450</v>
      </c>
      <c r="GC73" s="55">
        <v>291</v>
      </c>
      <c r="GD73" s="56">
        <v>450</v>
      </c>
      <c r="GE73" s="55">
        <v>272</v>
      </c>
      <c r="GF73" s="56">
        <v>450</v>
      </c>
      <c r="GG73" s="55">
        <v>274</v>
      </c>
      <c r="GH73" s="56">
        <v>450</v>
      </c>
      <c r="GI73" s="55">
        <v>234</v>
      </c>
      <c r="GJ73" s="56">
        <v>463</v>
      </c>
      <c r="GK73" s="55">
        <v>217</v>
      </c>
      <c r="GL73" s="56">
        <v>470</v>
      </c>
      <c r="GM73" s="55">
        <v>237</v>
      </c>
      <c r="GN73" s="56">
        <v>500</v>
      </c>
      <c r="GO73" s="55">
        <v>248</v>
      </c>
      <c r="GP73" s="56">
        <v>523</v>
      </c>
      <c r="GQ73" s="55">
        <v>229</v>
      </c>
      <c r="GR73" s="56">
        <v>540</v>
      </c>
      <c r="GS73" s="55">
        <v>198</v>
      </c>
      <c r="GT73" s="56">
        <v>550</v>
      </c>
      <c r="GU73" s="55">
        <v>212</v>
      </c>
      <c r="GV73" s="56">
        <v>567</v>
      </c>
      <c r="GW73" s="55">
        <v>212</v>
      </c>
      <c r="GX73" s="56">
        <v>595</v>
      </c>
      <c r="GY73" s="55">
        <v>240</v>
      </c>
      <c r="GZ73" s="56">
        <v>590</v>
      </c>
      <c r="HA73">
        <v>264</v>
      </c>
      <c r="HB73" s="56">
        <v>595</v>
      </c>
      <c r="HC73">
        <v>230</v>
      </c>
      <c r="HD73" s="56">
        <v>600</v>
      </c>
      <c r="HE73">
        <v>230</v>
      </c>
      <c r="HF73" s="56">
        <v>600</v>
      </c>
    </row>
    <row r="74" spans="1:214" x14ac:dyDescent="0.25">
      <c r="A74" s="53"/>
      <c r="B74" s="54" t="s">
        <v>812</v>
      </c>
      <c r="C74" s="55">
        <v>160</v>
      </c>
      <c r="D74" s="56">
        <v>210</v>
      </c>
      <c r="E74" s="55">
        <v>167</v>
      </c>
      <c r="F74" s="56">
        <v>210</v>
      </c>
      <c r="G74" s="55">
        <v>156</v>
      </c>
      <c r="H74" s="56">
        <v>220</v>
      </c>
      <c r="I74" s="55">
        <v>177</v>
      </c>
      <c r="J74" s="56">
        <v>220</v>
      </c>
      <c r="K74" s="55">
        <v>161</v>
      </c>
      <c r="L74" s="56">
        <v>230</v>
      </c>
      <c r="M74" s="55">
        <v>153</v>
      </c>
      <c r="N74" s="56">
        <v>220</v>
      </c>
      <c r="O74" s="55">
        <v>145</v>
      </c>
      <c r="P74" s="56">
        <v>220</v>
      </c>
      <c r="Q74" s="55">
        <v>187</v>
      </c>
      <c r="R74" s="56">
        <v>230</v>
      </c>
      <c r="S74" s="55">
        <v>148</v>
      </c>
      <c r="T74" s="56">
        <v>240</v>
      </c>
      <c r="U74" s="55">
        <v>159</v>
      </c>
      <c r="V74" s="56">
        <v>240</v>
      </c>
      <c r="W74" s="55">
        <v>168</v>
      </c>
      <c r="X74" s="56">
        <v>240</v>
      </c>
      <c r="Y74" s="55">
        <v>152</v>
      </c>
      <c r="Z74" s="56">
        <v>240</v>
      </c>
      <c r="AA74" s="55">
        <v>142</v>
      </c>
      <c r="AB74" s="56">
        <v>240</v>
      </c>
      <c r="AC74" s="55">
        <v>180</v>
      </c>
      <c r="AD74" s="56">
        <v>240</v>
      </c>
      <c r="AE74" s="55">
        <v>178</v>
      </c>
      <c r="AF74" s="56">
        <v>245</v>
      </c>
      <c r="AG74" s="55">
        <v>181</v>
      </c>
      <c r="AH74" s="56">
        <v>240</v>
      </c>
      <c r="AI74" s="55">
        <v>162</v>
      </c>
      <c r="AJ74" s="56">
        <v>250</v>
      </c>
      <c r="AK74" s="55">
        <v>171</v>
      </c>
      <c r="AL74" s="56">
        <v>240</v>
      </c>
      <c r="AM74" s="55">
        <v>145</v>
      </c>
      <c r="AN74" s="56">
        <v>250</v>
      </c>
      <c r="AO74" s="55">
        <v>201</v>
      </c>
      <c r="AP74" s="56">
        <v>250</v>
      </c>
      <c r="AQ74" s="55">
        <v>142</v>
      </c>
      <c r="AR74" s="56">
        <v>250</v>
      </c>
      <c r="AS74" s="55">
        <v>138</v>
      </c>
      <c r="AT74" s="56">
        <v>250</v>
      </c>
      <c r="AU74" s="55">
        <v>129</v>
      </c>
      <c r="AV74" s="56">
        <v>260</v>
      </c>
      <c r="AW74" s="55">
        <v>151</v>
      </c>
      <c r="AX74" s="56">
        <v>260</v>
      </c>
      <c r="AY74" s="55">
        <v>146</v>
      </c>
      <c r="AZ74" s="56">
        <v>260</v>
      </c>
      <c r="BA74" s="55">
        <v>149</v>
      </c>
      <c r="BB74" s="56">
        <v>270</v>
      </c>
      <c r="BC74" s="55">
        <v>112</v>
      </c>
      <c r="BD74" s="56">
        <v>268</v>
      </c>
      <c r="BE74" s="55">
        <v>130</v>
      </c>
      <c r="BF74" s="56">
        <v>270</v>
      </c>
      <c r="BG74" s="55">
        <v>115</v>
      </c>
      <c r="BH74" s="56">
        <v>270</v>
      </c>
      <c r="BI74" s="55">
        <v>136</v>
      </c>
      <c r="BJ74" s="56">
        <v>280</v>
      </c>
      <c r="BK74" s="55">
        <v>113</v>
      </c>
      <c r="BL74" s="56">
        <v>300</v>
      </c>
      <c r="BM74" s="55">
        <v>143</v>
      </c>
      <c r="BN74" s="56">
        <v>300</v>
      </c>
      <c r="BO74" s="55">
        <v>110</v>
      </c>
      <c r="BP74" s="56">
        <v>310</v>
      </c>
      <c r="BQ74" s="55">
        <v>148</v>
      </c>
      <c r="BR74" s="56">
        <v>310</v>
      </c>
      <c r="BS74" s="55">
        <v>113</v>
      </c>
      <c r="BT74" s="56">
        <v>340</v>
      </c>
      <c r="BU74" s="55">
        <v>154</v>
      </c>
      <c r="BV74" s="56">
        <v>340</v>
      </c>
      <c r="BW74" s="55">
        <v>144</v>
      </c>
      <c r="BX74" s="56">
        <v>350</v>
      </c>
      <c r="BY74" s="55">
        <v>137</v>
      </c>
      <c r="BZ74" s="56">
        <v>365</v>
      </c>
      <c r="CA74" s="55">
        <v>144</v>
      </c>
      <c r="CB74" s="56">
        <v>351</v>
      </c>
      <c r="CC74" s="55">
        <v>151</v>
      </c>
      <c r="CD74" s="56">
        <v>360</v>
      </c>
      <c r="CE74" s="55">
        <v>126</v>
      </c>
      <c r="CF74" s="56">
        <v>350</v>
      </c>
      <c r="CG74" s="55">
        <v>151</v>
      </c>
      <c r="CH74" s="56">
        <v>360</v>
      </c>
      <c r="CI74" s="55">
        <v>127</v>
      </c>
      <c r="CJ74" s="56">
        <v>370</v>
      </c>
      <c r="CK74" s="55">
        <v>165</v>
      </c>
      <c r="CL74" s="56">
        <v>385</v>
      </c>
      <c r="CM74" s="55">
        <v>156</v>
      </c>
      <c r="CN74" s="56">
        <v>375</v>
      </c>
      <c r="CO74" s="55">
        <v>162</v>
      </c>
      <c r="CP74" s="56">
        <v>385</v>
      </c>
      <c r="CQ74" s="55">
        <v>167</v>
      </c>
      <c r="CR74" s="56">
        <v>380</v>
      </c>
      <c r="CS74" s="55">
        <v>162</v>
      </c>
      <c r="CT74" s="56">
        <v>388</v>
      </c>
      <c r="CU74" s="55">
        <v>155</v>
      </c>
      <c r="CV74" s="56">
        <v>400</v>
      </c>
      <c r="CW74" s="55">
        <v>141</v>
      </c>
      <c r="CX74" s="56">
        <v>395</v>
      </c>
      <c r="CY74" s="55">
        <v>172</v>
      </c>
      <c r="CZ74" s="56">
        <v>400</v>
      </c>
      <c r="DA74" s="55">
        <v>168</v>
      </c>
      <c r="DB74" s="56">
        <v>400</v>
      </c>
      <c r="DC74" s="55">
        <v>137</v>
      </c>
      <c r="DD74" s="56">
        <v>395</v>
      </c>
      <c r="DE74" s="55">
        <v>160</v>
      </c>
      <c r="DF74" s="56">
        <v>383</v>
      </c>
      <c r="DG74" s="55">
        <v>167</v>
      </c>
      <c r="DH74" s="56">
        <v>400</v>
      </c>
      <c r="DI74" s="55">
        <v>158</v>
      </c>
      <c r="DJ74" s="56">
        <v>400</v>
      </c>
      <c r="DK74" s="55">
        <v>151</v>
      </c>
      <c r="DL74" s="56">
        <v>400</v>
      </c>
      <c r="DM74" s="55">
        <v>170</v>
      </c>
      <c r="DN74" s="56">
        <v>400</v>
      </c>
      <c r="DO74" s="55">
        <v>147</v>
      </c>
      <c r="DP74" s="56">
        <v>420</v>
      </c>
      <c r="DQ74" s="55">
        <v>164</v>
      </c>
      <c r="DR74" s="56">
        <v>420</v>
      </c>
      <c r="DS74" s="55">
        <v>160</v>
      </c>
      <c r="DT74" s="56">
        <v>420</v>
      </c>
      <c r="DU74" s="55">
        <v>186</v>
      </c>
      <c r="DV74" s="56">
        <v>430</v>
      </c>
      <c r="DW74" s="55">
        <v>162</v>
      </c>
      <c r="DX74" s="56">
        <v>420</v>
      </c>
      <c r="DY74" s="55">
        <v>180</v>
      </c>
      <c r="DZ74" s="56">
        <v>430</v>
      </c>
      <c r="EA74" s="55">
        <v>148</v>
      </c>
      <c r="EB74" s="56">
        <v>430</v>
      </c>
      <c r="EC74" s="55">
        <v>168</v>
      </c>
      <c r="ED74" s="56">
        <v>420</v>
      </c>
      <c r="EE74" s="55">
        <v>181</v>
      </c>
      <c r="EF74" s="56">
        <v>440</v>
      </c>
      <c r="EG74" s="55">
        <v>208</v>
      </c>
      <c r="EH74" s="56">
        <v>450</v>
      </c>
      <c r="EI74" s="55">
        <v>168</v>
      </c>
      <c r="EJ74" s="56">
        <v>450</v>
      </c>
      <c r="EK74" s="55">
        <v>177</v>
      </c>
      <c r="EL74" s="56">
        <v>450</v>
      </c>
      <c r="EM74" s="55">
        <v>187</v>
      </c>
      <c r="EN74" s="56">
        <v>450</v>
      </c>
      <c r="EO74" s="55">
        <v>191</v>
      </c>
      <c r="EP74" s="56">
        <v>450</v>
      </c>
      <c r="EQ74" s="55">
        <v>169</v>
      </c>
      <c r="ER74" s="56">
        <v>450</v>
      </c>
      <c r="ES74" s="55">
        <v>190</v>
      </c>
      <c r="ET74" s="56">
        <v>460</v>
      </c>
      <c r="EU74" s="55">
        <v>161</v>
      </c>
      <c r="EV74" s="56">
        <v>480</v>
      </c>
      <c r="EW74" s="55">
        <v>172</v>
      </c>
      <c r="EX74" s="56">
        <v>468</v>
      </c>
      <c r="EY74" s="55">
        <v>174</v>
      </c>
      <c r="EZ74" s="56">
        <v>470</v>
      </c>
      <c r="FA74" s="55">
        <v>187</v>
      </c>
      <c r="FB74" s="56">
        <v>450</v>
      </c>
      <c r="FC74" s="55">
        <v>141</v>
      </c>
      <c r="FD74" s="56">
        <v>455</v>
      </c>
      <c r="FE74" s="55">
        <v>175</v>
      </c>
      <c r="FF74" s="56">
        <v>450</v>
      </c>
      <c r="FG74" s="55">
        <v>170</v>
      </c>
      <c r="FH74" s="56">
        <v>480</v>
      </c>
      <c r="FI74" s="55">
        <v>183</v>
      </c>
      <c r="FJ74" s="56">
        <v>460</v>
      </c>
      <c r="FK74" s="55">
        <v>147</v>
      </c>
      <c r="FL74" s="56">
        <v>475</v>
      </c>
      <c r="FM74" s="55">
        <v>160</v>
      </c>
      <c r="FN74" s="56">
        <v>470</v>
      </c>
      <c r="FO74" s="55">
        <v>141</v>
      </c>
      <c r="FP74" s="56">
        <v>455</v>
      </c>
      <c r="FQ74" s="55">
        <v>138</v>
      </c>
      <c r="FR74" s="56">
        <v>470</v>
      </c>
      <c r="FS74" s="55">
        <v>134</v>
      </c>
      <c r="FT74" s="56">
        <v>483</v>
      </c>
      <c r="FU74" s="55">
        <v>150</v>
      </c>
      <c r="FV74" s="56">
        <v>475</v>
      </c>
      <c r="FW74" s="55">
        <v>121</v>
      </c>
      <c r="FX74" s="56">
        <v>480</v>
      </c>
      <c r="FY74" s="55">
        <v>125</v>
      </c>
      <c r="FZ74" s="56">
        <v>475</v>
      </c>
      <c r="GA74" s="55">
        <v>161</v>
      </c>
      <c r="GB74" s="56">
        <v>510</v>
      </c>
      <c r="GC74" s="55">
        <v>150</v>
      </c>
      <c r="GD74" s="56">
        <v>493</v>
      </c>
      <c r="GE74" s="55">
        <v>134</v>
      </c>
      <c r="GF74" s="56">
        <v>498</v>
      </c>
      <c r="GG74" s="55">
        <v>143</v>
      </c>
      <c r="GH74" s="56">
        <v>520</v>
      </c>
      <c r="GI74" s="55">
        <v>128</v>
      </c>
      <c r="GJ74" s="56">
        <v>530</v>
      </c>
      <c r="GK74" s="55">
        <v>126</v>
      </c>
      <c r="GL74" s="56">
        <v>550</v>
      </c>
      <c r="GM74" s="55">
        <v>103</v>
      </c>
      <c r="GN74" s="56">
        <v>570</v>
      </c>
      <c r="GO74" s="55">
        <v>115</v>
      </c>
      <c r="GP74" s="56">
        <v>600</v>
      </c>
      <c r="GQ74" s="55">
        <v>114</v>
      </c>
      <c r="GR74" s="56">
        <v>650</v>
      </c>
      <c r="GS74" s="55">
        <v>140</v>
      </c>
      <c r="GT74" s="56">
        <v>619</v>
      </c>
      <c r="GU74" s="55">
        <v>127</v>
      </c>
      <c r="GV74" s="56">
        <v>640</v>
      </c>
      <c r="GW74" s="55">
        <v>116</v>
      </c>
      <c r="GX74" s="56">
        <v>630</v>
      </c>
      <c r="GY74" s="55">
        <v>126</v>
      </c>
      <c r="GZ74" s="56">
        <v>675</v>
      </c>
      <c r="HA74">
        <v>108</v>
      </c>
      <c r="HB74" s="56">
        <v>650</v>
      </c>
      <c r="HC74">
        <v>114</v>
      </c>
      <c r="HD74" s="56">
        <v>670</v>
      </c>
      <c r="HE74">
        <v>105</v>
      </c>
      <c r="HF74" s="56">
        <v>680</v>
      </c>
    </row>
    <row r="75" spans="1:214" x14ac:dyDescent="0.25">
      <c r="A75" s="53"/>
      <c r="B75" s="54" t="s">
        <v>813</v>
      </c>
      <c r="C75" s="55">
        <v>159</v>
      </c>
      <c r="D75" s="56">
        <v>175</v>
      </c>
      <c r="E75" s="55">
        <v>170</v>
      </c>
      <c r="F75" s="56">
        <v>180</v>
      </c>
      <c r="G75" s="55">
        <v>140</v>
      </c>
      <c r="H75" s="56">
        <v>180</v>
      </c>
      <c r="I75" s="55">
        <v>157</v>
      </c>
      <c r="J75" s="56">
        <v>185</v>
      </c>
      <c r="K75" s="55">
        <v>145</v>
      </c>
      <c r="L75" s="56">
        <v>180</v>
      </c>
      <c r="M75" s="55">
        <v>175</v>
      </c>
      <c r="N75" s="56">
        <v>185</v>
      </c>
      <c r="O75" s="55">
        <v>147</v>
      </c>
      <c r="P75" s="56">
        <v>190</v>
      </c>
      <c r="Q75" s="55">
        <v>145</v>
      </c>
      <c r="R75" s="56">
        <v>190</v>
      </c>
      <c r="S75" s="55">
        <v>135</v>
      </c>
      <c r="T75" s="56">
        <v>190</v>
      </c>
      <c r="U75" s="55">
        <v>167</v>
      </c>
      <c r="V75" s="56">
        <v>190</v>
      </c>
      <c r="W75" s="55">
        <v>156</v>
      </c>
      <c r="X75" s="56">
        <v>195</v>
      </c>
      <c r="Y75" s="55">
        <v>139</v>
      </c>
      <c r="Z75" s="56">
        <v>195</v>
      </c>
      <c r="AA75" s="55">
        <v>163</v>
      </c>
      <c r="AB75" s="56">
        <v>200</v>
      </c>
      <c r="AC75" s="55">
        <v>172</v>
      </c>
      <c r="AD75" s="56">
        <v>200</v>
      </c>
      <c r="AE75" s="55">
        <v>163</v>
      </c>
      <c r="AF75" s="56">
        <v>210</v>
      </c>
      <c r="AG75" s="55">
        <v>178</v>
      </c>
      <c r="AH75" s="56">
        <v>210</v>
      </c>
      <c r="AI75" s="55">
        <v>181</v>
      </c>
      <c r="AJ75" s="56">
        <v>210</v>
      </c>
      <c r="AK75" s="55">
        <v>202</v>
      </c>
      <c r="AL75" s="56">
        <v>210</v>
      </c>
      <c r="AM75" s="55">
        <v>152</v>
      </c>
      <c r="AN75" s="56">
        <v>220</v>
      </c>
      <c r="AO75" s="55">
        <v>196</v>
      </c>
      <c r="AP75" s="56">
        <v>220</v>
      </c>
      <c r="AQ75" s="55">
        <v>162</v>
      </c>
      <c r="AR75" s="56">
        <v>215</v>
      </c>
      <c r="AS75" s="55">
        <v>158</v>
      </c>
      <c r="AT75" s="56">
        <v>220</v>
      </c>
      <c r="AU75" s="55">
        <v>178</v>
      </c>
      <c r="AV75" s="56">
        <v>220</v>
      </c>
      <c r="AW75" s="55">
        <v>175</v>
      </c>
      <c r="AX75" s="56">
        <v>220</v>
      </c>
      <c r="AY75" s="55">
        <v>161</v>
      </c>
      <c r="AZ75" s="56">
        <v>230</v>
      </c>
      <c r="BA75" s="55">
        <v>158</v>
      </c>
      <c r="BB75" s="56">
        <v>230</v>
      </c>
      <c r="BC75" s="55">
        <v>150</v>
      </c>
      <c r="BD75" s="56">
        <v>230</v>
      </c>
      <c r="BE75" s="55">
        <v>161</v>
      </c>
      <c r="BF75" s="56">
        <v>230</v>
      </c>
      <c r="BG75" s="55">
        <v>138</v>
      </c>
      <c r="BH75" s="56">
        <v>240</v>
      </c>
      <c r="BI75" s="55">
        <v>136</v>
      </c>
      <c r="BJ75" s="56">
        <v>240</v>
      </c>
      <c r="BK75" s="55">
        <v>133</v>
      </c>
      <c r="BL75" s="56">
        <v>245</v>
      </c>
      <c r="BM75" s="55">
        <v>158</v>
      </c>
      <c r="BN75" s="56">
        <v>250</v>
      </c>
      <c r="BO75" s="55">
        <v>170</v>
      </c>
      <c r="BP75" s="56">
        <v>260</v>
      </c>
      <c r="BQ75" s="55">
        <v>151</v>
      </c>
      <c r="BR75" s="56">
        <v>270</v>
      </c>
      <c r="BS75" s="55">
        <v>129</v>
      </c>
      <c r="BT75" s="56">
        <v>280</v>
      </c>
      <c r="BU75" s="55">
        <v>145</v>
      </c>
      <c r="BV75" s="56">
        <v>300</v>
      </c>
      <c r="BW75" s="55">
        <v>165</v>
      </c>
      <c r="BX75" s="56">
        <v>300</v>
      </c>
      <c r="BY75" s="55">
        <v>153</v>
      </c>
      <c r="BZ75" s="56">
        <v>300</v>
      </c>
      <c r="CA75" s="55">
        <v>148</v>
      </c>
      <c r="CB75" s="56">
        <v>310</v>
      </c>
      <c r="CC75" s="55">
        <v>149</v>
      </c>
      <c r="CD75" s="56">
        <v>320</v>
      </c>
      <c r="CE75" s="55">
        <v>159</v>
      </c>
      <c r="CF75" s="56">
        <v>320</v>
      </c>
      <c r="CG75" s="55">
        <v>143</v>
      </c>
      <c r="CH75" s="56">
        <v>320</v>
      </c>
      <c r="CI75" s="55">
        <v>154</v>
      </c>
      <c r="CJ75" s="56">
        <v>330</v>
      </c>
      <c r="CK75" s="55">
        <v>179</v>
      </c>
      <c r="CL75" s="56">
        <v>330</v>
      </c>
      <c r="CM75" s="55">
        <v>199</v>
      </c>
      <c r="CN75" s="56">
        <v>340</v>
      </c>
      <c r="CO75" s="55">
        <v>178</v>
      </c>
      <c r="CP75" s="56">
        <v>350</v>
      </c>
      <c r="CQ75" s="55">
        <v>140</v>
      </c>
      <c r="CR75" s="56">
        <v>350</v>
      </c>
      <c r="CS75" s="55">
        <v>173</v>
      </c>
      <c r="CT75" s="56">
        <v>360</v>
      </c>
      <c r="CU75" s="55">
        <v>168</v>
      </c>
      <c r="CV75" s="56">
        <v>350</v>
      </c>
      <c r="CW75" s="55">
        <v>218</v>
      </c>
      <c r="CX75" s="56">
        <v>350</v>
      </c>
      <c r="CY75" s="55">
        <v>170</v>
      </c>
      <c r="CZ75" s="56">
        <v>350</v>
      </c>
      <c r="DA75" s="55">
        <v>207</v>
      </c>
      <c r="DB75" s="56">
        <v>360</v>
      </c>
      <c r="DC75" s="55">
        <v>183</v>
      </c>
      <c r="DD75" s="56">
        <v>350</v>
      </c>
      <c r="DE75" s="55">
        <v>188</v>
      </c>
      <c r="DF75" s="56">
        <v>360</v>
      </c>
      <c r="DG75" s="55">
        <v>187</v>
      </c>
      <c r="DH75" s="56">
        <v>360</v>
      </c>
      <c r="DI75" s="55">
        <v>171</v>
      </c>
      <c r="DJ75" s="56">
        <v>360</v>
      </c>
      <c r="DK75" s="55">
        <v>190</v>
      </c>
      <c r="DL75" s="56">
        <v>360</v>
      </c>
      <c r="DM75" s="55">
        <v>194</v>
      </c>
      <c r="DN75" s="56">
        <v>360</v>
      </c>
      <c r="DO75" s="55">
        <v>167</v>
      </c>
      <c r="DP75" s="56">
        <v>370</v>
      </c>
      <c r="DQ75" s="55">
        <v>178</v>
      </c>
      <c r="DR75" s="56">
        <v>370</v>
      </c>
      <c r="DS75" s="55">
        <v>177</v>
      </c>
      <c r="DT75" s="56">
        <v>375</v>
      </c>
      <c r="DU75" s="55">
        <v>174</v>
      </c>
      <c r="DV75" s="56">
        <v>380</v>
      </c>
      <c r="DW75" s="55">
        <v>189</v>
      </c>
      <c r="DX75" s="56">
        <v>370</v>
      </c>
      <c r="DY75" s="55">
        <v>188</v>
      </c>
      <c r="DZ75" s="56">
        <v>390</v>
      </c>
      <c r="EA75" s="55">
        <v>187</v>
      </c>
      <c r="EB75" s="56">
        <v>380</v>
      </c>
      <c r="EC75" s="55">
        <v>196</v>
      </c>
      <c r="ED75" s="56">
        <v>390</v>
      </c>
      <c r="EE75" s="55">
        <v>205</v>
      </c>
      <c r="EF75" s="56">
        <v>390</v>
      </c>
      <c r="EG75" s="55">
        <v>243</v>
      </c>
      <c r="EH75" s="56">
        <v>395</v>
      </c>
      <c r="EI75" s="55">
        <v>222</v>
      </c>
      <c r="EJ75" s="56">
        <v>400</v>
      </c>
      <c r="EK75" s="55">
        <v>229</v>
      </c>
      <c r="EL75" s="56">
        <v>395</v>
      </c>
      <c r="EM75" s="55">
        <v>204</v>
      </c>
      <c r="EN75" s="56">
        <v>393</v>
      </c>
      <c r="EO75" s="55">
        <v>230</v>
      </c>
      <c r="EP75" s="56">
        <v>400</v>
      </c>
      <c r="EQ75" s="55">
        <v>214</v>
      </c>
      <c r="ER75" s="56">
        <v>400</v>
      </c>
      <c r="ES75" s="55">
        <v>239</v>
      </c>
      <c r="ET75" s="56">
        <v>400</v>
      </c>
      <c r="EU75" s="55">
        <v>202</v>
      </c>
      <c r="EV75" s="56">
        <v>400</v>
      </c>
      <c r="EW75" s="55">
        <v>195</v>
      </c>
      <c r="EX75" s="56">
        <v>430</v>
      </c>
      <c r="EY75" s="55">
        <v>193</v>
      </c>
      <c r="EZ75" s="56">
        <v>420</v>
      </c>
      <c r="FA75" s="55">
        <v>234</v>
      </c>
      <c r="FB75" s="56">
        <v>420</v>
      </c>
      <c r="FC75" s="55">
        <v>213</v>
      </c>
      <c r="FD75" s="56">
        <v>420</v>
      </c>
      <c r="FE75" s="55">
        <v>172</v>
      </c>
      <c r="FF75" s="56">
        <v>430</v>
      </c>
      <c r="FG75" s="55">
        <v>208</v>
      </c>
      <c r="FH75" s="56">
        <v>420</v>
      </c>
      <c r="FI75" s="55">
        <v>203</v>
      </c>
      <c r="FJ75" s="56">
        <v>430</v>
      </c>
      <c r="FK75" s="55">
        <v>224</v>
      </c>
      <c r="FL75" s="56">
        <v>428</v>
      </c>
      <c r="FM75" s="55">
        <v>191</v>
      </c>
      <c r="FN75" s="56">
        <v>435</v>
      </c>
      <c r="FO75" s="55">
        <v>171</v>
      </c>
      <c r="FP75" s="56">
        <v>425</v>
      </c>
      <c r="FQ75" s="55">
        <v>162</v>
      </c>
      <c r="FR75" s="56">
        <v>430</v>
      </c>
      <c r="FS75" s="55">
        <v>164</v>
      </c>
      <c r="FT75" s="56">
        <v>435</v>
      </c>
      <c r="FU75" s="55">
        <v>178</v>
      </c>
      <c r="FV75" s="56">
        <v>450</v>
      </c>
      <c r="FW75" s="55">
        <v>177</v>
      </c>
      <c r="FX75" s="56">
        <v>450</v>
      </c>
      <c r="FY75" s="55">
        <v>159</v>
      </c>
      <c r="FZ75" s="56">
        <v>450</v>
      </c>
      <c r="GA75" s="55">
        <v>199</v>
      </c>
      <c r="GB75" s="56">
        <v>460</v>
      </c>
      <c r="GC75" s="55">
        <v>204</v>
      </c>
      <c r="GD75" s="56">
        <v>458</v>
      </c>
      <c r="GE75" s="55">
        <v>176</v>
      </c>
      <c r="GF75" s="56">
        <v>478</v>
      </c>
      <c r="GG75" s="55">
        <v>151</v>
      </c>
      <c r="GH75" s="56">
        <v>480</v>
      </c>
      <c r="GI75" s="55">
        <v>163</v>
      </c>
      <c r="GJ75" s="56">
        <v>495</v>
      </c>
      <c r="GK75" s="55">
        <v>156</v>
      </c>
      <c r="GL75" s="56">
        <v>495</v>
      </c>
      <c r="GM75" s="55">
        <v>177</v>
      </c>
      <c r="GN75" s="56">
        <v>520</v>
      </c>
      <c r="GO75" s="55">
        <v>176</v>
      </c>
      <c r="GP75" s="56">
        <v>550</v>
      </c>
      <c r="GQ75" s="55">
        <v>176</v>
      </c>
      <c r="GR75" s="56">
        <v>550</v>
      </c>
      <c r="GS75" s="55">
        <v>133</v>
      </c>
      <c r="GT75" s="56">
        <v>570</v>
      </c>
      <c r="GU75" s="55">
        <v>140</v>
      </c>
      <c r="GV75" s="56">
        <v>585</v>
      </c>
      <c r="GW75" s="55">
        <v>139</v>
      </c>
      <c r="GX75" s="56">
        <v>600</v>
      </c>
      <c r="GY75" s="55">
        <v>139</v>
      </c>
      <c r="GZ75" s="56">
        <v>600</v>
      </c>
      <c r="HA75">
        <v>167</v>
      </c>
      <c r="HB75" s="56">
        <v>600</v>
      </c>
      <c r="HC75">
        <v>155</v>
      </c>
      <c r="HD75" s="56">
        <v>600</v>
      </c>
      <c r="HE75">
        <v>133</v>
      </c>
      <c r="HF75" s="56">
        <v>630</v>
      </c>
    </row>
    <row r="76" spans="1:214" x14ac:dyDescent="0.25">
      <c r="A76" s="53"/>
      <c r="B76" s="54" t="s">
        <v>814</v>
      </c>
      <c r="C76" s="55">
        <v>391</v>
      </c>
      <c r="D76" s="56">
        <v>195</v>
      </c>
      <c r="E76" s="55">
        <v>378</v>
      </c>
      <c r="F76" s="56">
        <v>195</v>
      </c>
      <c r="G76" s="55">
        <v>375</v>
      </c>
      <c r="H76" s="56">
        <v>200</v>
      </c>
      <c r="I76" s="55">
        <v>455</v>
      </c>
      <c r="J76" s="56">
        <v>200</v>
      </c>
      <c r="K76" s="55">
        <v>385</v>
      </c>
      <c r="L76" s="56">
        <v>200</v>
      </c>
      <c r="M76" s="55">
        <v>391</v>
      </c>
      <c r="N76" s="56">
        <v>200</v>
      </c>
      <c r="O76" s="55">
        <v>406</v>
      </c>
      <c r="P76" s="56">
        <v>200</v>
      </c>
      <c r="Q76" s="55">
        <v>410</v>
      </c>
      <c r="R76" s="56">
        <v>215</v>
      </c>
      <c r="S76" s="55">
        <v>317</v>
      </c>
      <c r="T76" s="56">
        <v>220</v>
      </c>
      <c r="U76" s="55">
        <v>373</v>
      </c>
      <c r="V76" s="56">
        <v>215</v>
      </c>
      <c r="W76" s="55">
        <v>369</v>
      </c>
      <c r="X76" s="56">
        <v>220</v>
      </c>
      <c r="Y76" s="55">
        <v>432</v>
      </c>
      <c r="Z76" s="56">
        <v>220</v>
      </c>
      <c r="AA76" s="55">
        <v>389</v>
      </c>
      <c r="AB76" s="56">
        <v>220</v>
      </c>
      <c r="AC76" s="55">
        <v>345</v>
      </c>
      <c r="AD76" s="56">
        <v>225</v>
      </c>
      <c r="AE76" s="55">
        <v>361</v>
      </c>
      <c r="AF76" s="56">
        <v>220</v>
      </c>
      <c r="AG76" s="55">
        <v>446</v>
      </c>
      <c r="AH76" s="56">
        <v>230</v>
      </c>
      <c r="AI76" s="55">
        <v>340</v>
      </c>
      <c r="AJ76" s="56">
        <v>230</v>
      </c>
      <c r="AK76" s="55">
        <v>397</v>
      </c>
      <c r="AL76" s="56">
        <v>235</v>
      </c>
      <c r="AM76" s="55">
        <v>379</v>
      </c>
      <c r="AN76" s="56">
        <v>230</v>
      </c>
      <c r="AO76" s="55">
        <v>515</v>
      </c>
      <c r="AP76" s="56">
        <v>235</v>
      </c>
      <c r="AQ76" s="55">
        <v>310</v>
      </c>
      <c r="AR76" s="56">
        <v>240</v>
      </c>
      <c r="AS76" s="55">
        <v>396</v>
      </c>
      <c r="AT76" s="56">
        <v>240</v>
      </c>
      <c r="AU76" s="55">
        <v>361</v>
      </c>
      <c r="AV76" s="56">
        <v>240</v>
      </c>
      <c r="AW76" s="55">
        <v>407</v>
      </c>
      <c r="AX76" s="56">
        <v>250</v>
      </c>
      <c r="AY76" s="55">
        <v>389</v>
      </c>
      <c r="AZ76" s="56">
        <v>250</v>
      </c>
      <c r="BA76" s="55">
        <v>336</v>
      </c>
      <c r="BB76" s="56">
        <v>250</v>
      </c>
      <c r="BC76" s="55">
        <v>323</v>
      </c>
      <c r="BD76" s="56">
        <v>250</v>
      </c>
      <c r="BE76" s="55">
        <v>366</v>
      </c>
      <c r="BF76" s="56">
        <v>260</v>
      </c>
      <c r="BG76" s="55">
        <v>304</v>
      </c>
      <c r="BH76" s="56">
        <v>262</v>
      </c>
      <c r="BI76" s="55">
        <v>319</v>
      </c>
      <c r="BJ76" s="56">
        <v>270</v>
      </c>
      <c r="BK76" s="55">
        <v>318</v>
      </c>
      <c r="BL76" s="56">
        <v>270</v>
      </c>
      <c r="BM76" s="55">
        <v>352</v>
      </c>
      <c r="BN76" s="56">
        <v>280</v>
      </c>
      <c r="BO76" s="55">
        <v>288</v>
      </c>
      <c r="BP76" s="56">
        <v>300</v>
      </c>
      <c r="BQ76" s="55">
        <v>329</v>
      </c>
      <c r="BR76" s="56">
        <v>300</v>
      </c>
      <c r="BS76" s="55">
        <v>308</v>
      </c>
      <c r="BT76" s="56">
        <v>310</v>
      </c>
      <c r="BU76" s="55">
        <v>405</v>
      </c>
      <c r="BV76" s="56">
        <v>325</v>
      </c>
      <c r="BW76" s="55">
        <v>308</v>
      </c>
      <c r="BX76" s="56">
        <v>340</v>
      </c>
      <c r="BY76" s="55">
        <v>309</v>
      </c>
      <c r="BZ76" s="56">
        <v>350</v>
      </c>
      <c r="CA76" s="55">
        <v>317</v>
      </c>
      <c r="CB76" s="56">
        <v>350</v>
      </c>
      <c r="CC76" s="55">
        <v>374</v>
      </c>
      <c r="CD76" s="56">
        <v>350</v>
      </c>
      <c r="CE76" s="55">
        <v>301</v>
      </c>
      <c r="CF76" s="56">
        <v>350</v>
      </c>
      <c r="CG76" s="55">
        <v>345</v>
      </c>
      <c r="CH76" s="56">
        <v>360</v>
      </c>
      <c r="CI76" s="55">
        <v>331</v>
      </c>
      <c r="CJ76" s="56">
        <v>360</v>
      </c>
      <c r="CK76" s="55">
        <v>417</v>
      </c>
      <c r="CL76" s="56">
        <v>370</v>
      </c>
      <c r="CM76" s="55">
        <v>354</v>
      </c>
      <c r="CN76" s="56">
        <v>370</v>
      </c>
      <c r="CO76" s="55">
        <v>329</v>
      </c>
      <c r="CP76" s="56">
        <v>370</v>
      </c>
      <c r="CQ76" s="55">
        <v>352</v>
      </c>
      <c r="CR76" s="56">
        <v>380</v>
      </c>
      <c r="CS76" s="55">
        <v>439</v>
      </c>
      <c r="CT76" s="56">
        <v>380</v>
      </c>
      <c r="CU76" s="55">
        <v>394</v>
      </c>
      <c r="CV76" s="56">
        <v>380</v>
      </c>
      <c r="CW76" s="55">
        <v>378</v>
      </c>
      <c r="CX76" s="56">
        <v>388</v>
      </c>
      <c r="CY76" s="55">
        <v>371</v>
      </c>
      <c r="CZ76" s="56">
        <v>390</v>
      </c>
      <c r="DA76" s="55">
        <v>410</v>
      </c>
      <c r="DB76" s="56">
        <v>390</v>
      </c>
      <c r="DC76" s="55">
        <v>327</v>
      </c>
      <c r="DD76" s="56">
        <v>385</v>
      </c>
      <c r="DE76" s="55">
        <v>380</v>
      </c>
      <c r="DF76" s="56">
        <v>395</v>
      </c>
      <c r="DG76" s="55">
        <v>370</v>
      </c>
      <c r="DH76" s="56">
        <v>380</v>
      </c>
      <c r="DI76" s="55">
        <v>436</v>
      </c>
      <c r="DJ76" s="56">
        <v>395</v>
      </c>
      <c r="DK76" s="55">
        <v>353</v>
      </c>
      <c r="DL76" s="56">
        <v>395</v>
      </c>
      <c r="DM76" s="55">
        <v>356</v>
      </c>
      <c r="DN76" s="56">
        <v>400</v>
      </c>
      <c r="DO76" s="55">
        <v>366</v>
      </c>
      <c r="DP76" s="56">
        <v>390</v>
      </c>
      <c r="DQ76" s="55">
        <v>439</v>
      </c>
      <c r="DR76" s="56">
        <v>400</v>
      </c>
      <c r="DS76" s="55">
        <v>359</v>
      </c>
      <c r="DT76" s="56">
        <v>410</v>
      </c>
      <c r="DU76" s="55">
        <v>397</v>
      </c>
      <c r="DV76" s="56">
        <v>400</v>
      </c>
      <c r="DW76" s="55">
        <v>446</v>
      </c>
      <c r="DX76" s="56">
        <v>410</v>
      </c>
      <c r="DY76" s="55">
        <v>435</v>
      </c>
      <c r="DZ76" s="56">
        <v>420</v>
      </c>
      <c r="EA76" s="55">
        <v>375</v>
      </c>
      <c r="EB76" s="56">
        <v>420</v>
      </c>
      <c r="EC76" s="55">
        <v>347</v>
      </c>
      <c r="ED76" s="56">
        <v>410</v>
      </c>
      <c r="EE76" s="55">
        <v>414</v>
      </c>
      <c r="EF76" s="56">
        <v>429</v>
      </c>
      <c r="EG76" s="55">
        <v>477</v>
      </c>
      <c r="EH76" s="56">
        <v>440</v>
      </c>
      <c r="EI76" s="55">
        <v>394</v>
      </c>
      <c r="EJ76" s="56">
        <v>420</v>
      </c>
      <c r="EK76" s="55">
        <v>366</v>
      </c>
      <c r="EL76" s="56">
        <v>430</v>
      </c>
      <c r="EM76" s="55">
        <v>398</v>
      </c>
      <c r="EN76" s="56">
        <v>435</v>
      </c>
      <c r="EO76" s="55">
        <v>461</v>
      </c>
      <c r="EP76" s="56">
        <v>450</v>
      </c>
      <c r="EQ76" s="55">
        <v>335</v>
      </c>
      <c r="ER76" s="56">
        <v>450</v>
      </c>
      <c r="ES76" s="55">
        <v>368</v>
      </c>
      <c r="ET76" s="56">
        <v>440</v>
      </c>
      <c r="EU76" s="55">
        <v>350</v>
      </c>
      <c r="EV76" s="56">
        <v>447</v>
      </c>
      <c r="EW76" s="55">
        <v>442</v>
      </c>
      <c r="EX76" s="56">
        <v>450</v>
      </c>
      <c r="EY76" s="55">
        <v>338</v>
      </c>
      <c r="EZ76" s="56">
        <v>450</v>
      </c>
      <c r="FA76" s="55">
        <v>362</v>
      </c>
      <c r="FB76" s="56">
        <v>460</v>
      </c>
      <c r="FC76" s="55">
        <v>357</v>
      </c>
      <c r="FD76" s="56">
        <v>460</v>
      </c>
      <c r="FE76" s="55">
        <v>381</v>
      </c>
      <c r="FF76" s="56">
        <v>470</v>
      </c>
      <c r="FG76" s="55">
        <v>321</v>
      </c>
      <c r="FH76" s="56">
        <v>460</v>
      </c>
      <c r="FI76" s="55">
        <v>339</v>
      </c>
      <c r="FJ76" s="56">
        <v>470</v>
      </c>
      <c r="FK76" s="55">
        <v>339</v>
      </c>
      <c r="FL76" s="56">
        <v>465</v>
      </c>
      <c r="FM76" s="55">
        <v>389</v>
      </c>
      <c r="FN76" s="56">
        <v>470</v>
      </c>
      <c r="FO76" s="55">
        <v>309</v>
      </c>
      <c r="FP76" s="56">
        <v>460</v>
      </c>
      <c r="FQ76" s="55">
        <v>285</v>
      </c>
      <c r="FR76" s="56">
        <v>450</v>
      </c>
      <c r="FS76" s="55">
        <v>310</v>
      </c>
      <c r="FT76" s="56">
        <v>450</v>
      </c>
      <c r="FU76" s="55">
        <v>387</v>
      </c>
      <c r="FV76" s="56">
        <v>450</v>
      </c>
      <c r="FW76" s="55">
        <v>333</v>
      </c>
      <c r="FX76" s="56">
        <v>455</v>
      </c>
      <c r="FY76" s="55">
        <v>350</v>
      </c>
      <c r="FZ76" s="56">
        <v>450</v>
      </c>
      <c r="GA76" s="55">
        <v>419</v>
      </c>
      <c r="GB76" s="56">
        <v>460</v>
      </c>
      <c r="GC76" s="55">
        <v>341</v>
      </c>
      <c r="GD76" s="56">
        <v>470</v>
      </c>
      <c r="GE76" s="55">
        <v>347</v>
      </c>
      <c r="GF76" s="56">
        <v>495</v>
      </c>
      <c r="GG76" s="55">
        <v>289</v>
      </c>
      <c r="GH76" s="56">
        <v>490</v>
      </c>
      <c r="GI76" s="55">
        <v>297</v>
      </c>
      <c r="GJ76" s="56">
        <v>500</v>
      </c>
      <c r="GK76" s="55">
        <v>293</v>
      </c>
      <c r="GL76" s="56">
        <v>520</v>
      </c>
      <c r="GM76" s="55">
        <v>253</v>
      </c>
      <c r="GN76" s="56">
        <v>550</v>
      </c>
      <c r="GO76" s="55">
        <v>308</v>
      </c>
      <c r="GP76" s="56">
        <v>573</v>
      </c>
      <c r="GQ76" s="55">
        <v>262</v>
      </c>
      <c r="GR76" s="56">
        <v>600</v>
      </c>
      <c r="GS76" s="55">
        <v>261</v>
      </c>
      <c r="GT76" s="56">
        <v>620</v>
      </c>
      <c r="GU76" s="55">
        <v>260</v>
      </c>
      <c r="GV76" s="56">
        <v>630</v>
      </c>
      <c r="GW76" s="55">
        <v>270</v>
      </c>
      <c r="GX76" s="56">
        <v>650</v>
      </c>
      <c r="GY76" s="55">
        <v>292</v>
      </c>
      <c r="GZ76" s="56">
        <v>630</v>
      </c>
      <c r="HA76">
        <v>327</v>
      </c>
      <c r="HB76" s="56">
        <v>640</v>
      </c>
      <c r="HC76">
        <v>280</v>
      </c>
      <c r="HD76" s="56">
        <v>650</v>
      </c>
      <c r="HE76">
        <v>240</v>
      </c>
      <c r="HF76" s="56">
        <v>650</v>
      </c>
    </row>
    <row r="77" spans="1:214" x14ac:dyDescent="0.25">
      <c r="A77" s="53"/>
      <c r="B77" s="54" t="s">
        <v>815</v>
      </c>
      <c r="C77" s="55">
        <v>272</v>
      </c>
      <c r="D77" s="56">
        <v>200</v>
      </c>
      <c r="E77" s="55">
        <v>247</v>
      </c>
      <c r="F77" s="56">
        <v>200</v>
      </c>
      <c r="G77" s="55">
        <v>253</v>
      </c>
      <c r="H77" s="56">
        <v>205</v>
      </c>
      <c r="I77" s="55">
        <v>329</v>
      </c>
      <c r="J77" s="56">
        <v>210</v>
      </c>
      <c r="K77" s="55">
        <v>269</v>
      </c>
      <c r="L77" s="56">
        <v>220</v>
      </c>
      <c r="M77" s="55">
        <v>276</v>
      </c>
      <c r="N77" s="56">
        <v>220</v>
      </c>
      <c r="O77" s="55">
        <v>266</v>
      </c>
      <c r="P77" s="56">
        <v>218</v>
      </c>
      <c r="Q77" s="55">
        <v>294</v>
      </c>
      <c r="R77" s="56">
        <v>226</v>
      </c>
      <c r="S77" s="55">
        <v>268</v>
      </c>
      <c r="T77" s="56">
        <v>225</v>
      </c>
      <c r="U77" s="55">
        <v>266</v>
      </c>
      <c r="V77" s="56">
        <v>220</v>
      </c>
      <c r="W77" s="55">
        <v>290</v>
      </c>
      <c r="X77" s="56">
        <v>230</v>
      </c>
      <c r="Y77" s="55">
        <v>372</v>
      </c>
      <c r="Z77" s="56">
        <v>235</v>
      </c>
      <c r="AA77" s="55">
        <v>283</v>
      </c>
      <c r="AB77" s="56">
        <v>235</v>
      </c>
      <c r="AC77" s="55">
        <v>253</v>
      </c>
      <c r="AD77" s="56">
        <v>240</v>
      </c>
      <c r="AE77" s="55">
        <v>275</v>
      </c>
      <c r="AF77" s="56">
        <v>240</v>
      </c>
      <c r="AG77" s="55">
        <v>356</v>
      </c>
      <c r="AH77" s="56">
        <v>245</v>
      </c>
      <c r="AI77" s="55">
        <v>298</v>
      </c>
      <c r="AJ77" s="56">
        <v>235</v>
      </c>
      <c r="AK77" s="55">
        <v>295</v>
      </c>
      <c r="AL77" s="56">
        <v>240</v>
      </c>
      <c r="AM77" s="55">
        <v>327</v>
      </c>
      <c r="AN77" s="56">
        <v>245</v>
      </c>
      <c r="AO77" s="55">
        <v>415</v>
      </c>
      <c r="AP77" s="56">
        <v>250</v>
      </c>
      <c r="AQ77" s="55">
        <v>237</v>
      </c>
      <c r="AR77" s="56">
        <v>250</v>
      </c>
      <c r="AS77" s="55">
        <v>289</v>
      </c>
      <c r="AT77" s="56">
        <v>250</v>
      </c>
      <c r="AU77" s="55">
        <v>253</v>
      </c>
      <c r="AV77" s="56">
        <v>250</v>
      </c>
      <c r="AW77" s="55">
        <v>329</v>
      </c>
      <c r="AX77" s="56">
        <v>260</v>
      </c>
      <c r="AY77" s="55">
        <v>258</v>
      </c>
      <c r="AZ77" s="56">
        <v>260</v>
      </c>
      <c r="BA77" s="55">
        <v>254</v>
      </c>
      <c r="BB77" s="56">
        <v>255</v>
      </c>
      <c r="BC77" s="55">
        <v>266</v>
      </c>
      <c r="BD77" s="56">
        <v>260</v>
      </c>
      <c r="BE77" s="55">
        <v>291</v>
      </c>
      <c r="BF77" s="56">
        <v>270</v>
      </c>
      <c r="BG77" s="55">
        <v>233</v>
      </c>
      <c r="BH77" s="56">
        <v>270</v>
      </c>
      <c r="BI77" s="55">
        <v>248</v>
      </c>
      <c r="BJ77" s="56">
        <v>278</v>
      </c>
      <c r="BK77" s="55">
        <v>235</v>
      </c>
      <c r="BL77" s="56">
        <v>280</v>
      </c>
      <c r="BM77" s="55">
        <v>284</v>
      </c>
      <c r="BN77" s="56">
        <v>290</v>
      </c>
      <c r="BO77" s="55">
        <v>231</v>
      </c>
      <c r="BP77" s="56">
        <v>300</v>
      </c>
      <c r="BQ77" s="55">
        <v>263</v>
      </c>
      <c r="BR77" s="56">
        <v>310</v>
      </c>
      <c r="BS77" s="55">
        <v>248</v>
      </c>
      <c r="BT77" s="56">
        <v>320</v>
      </c>
      <c r="BU77" s="55">
        <v>317</v>
      </c>
      <c r="BV77" s="56">
        <v>340</v>
      </c>
      <c r="BW77" s="55">
        <v>293</v>
      </c>
      <c r="BX77" s="56">
        <v>350</v>
      </c>
      <c r="BY77" s="55">
        <v>273</v>
      </c>
      <c r="BZ77" s="56">
        <v>350</v>
      </c>
      <c r="CA77" s="55">
        <v>299</v>
      </c>
      <c r="CB77" s="56">
        <v>355</v>
      </c>
      <c r="CC77" s="55">
        <v>316</v>
      </c>
      <c r="CD77" s="56">
        <v>355</v>
      </c>
      <c r="CE77" s="55">
        <v>294</v>
      </c>
      <c r="CF77" s="56">
        <v>350</v>
      </c>
      <c r="CG77" s="55">
        <v>277</v>
      </c>
      <c r="CH77" s="56">
        <v>360</v>
      </c>
      <c r="CI77" s="55">
        <v>292</v>
      </c>
      <c r="CJ77" s="56">
        <v>375</v>
      </c>
      <c r="CK77" s="55">
        <v>367</v>
      </c>
      <c r="CL77" s="56">
        <v>380</v>
      </c>
      <c r="CM77" s="55">
        <v>281</v>
      </c>
      <c r="CN77" s="56">
        <v>375</v>
      </c>
      <c r="CO77" s="55">
        <v>321</v>
      </c>
      <c r="CP77" s="56">
        <v>380</v>
      </c>
      <c r="CQ77" s="55">
        <v>316</v>
      </c>
      <c r="CR77" s="56">
        <v>380</v>
      </c>
      <c r="CS77" s="55">
        <v>405</v>
      </c>
      <c r="CT77" s="56">
        <v>380</v>
      </c>
      <c r="CU77" s="55">
        <v>307</v>
      </c>
      <c r="CV77" s="56">
        <v>390</v>
      </c>
      <c r="CW77" s="55">
        <v>350</v>
      </c>
      <c r="CX77" s="56">
        <v>385</v>
      </c>
      <c r="CY77" s="55">
        <v>330</v>
      </c>
      <c r="CZ77" s="56">
        <v>386</v>
      </c>
      <c r="DA77" s="55">
        <v>423</v>
      </c>
      <c r="DB77" s="56">
        <v>395</v>
      </c>
      <c r="DC77" s="55">
        <v>321</v>
      </c>
      <c r="DD77" s="56">
        <v>390</v>
      </c>
      <c r="DE77" s="55">
        <v>320</v>
      </c>
      <c r="DF77" s="56">
        <v>390</v>
      </c>
      <c r="DG77" s="55">
        <v>349</v>
      </c>
      <c r="DH77" s="56">
        <v>390</v>
      </c>
      <c r="DI77" s="55">
        <v>398</v>
      </c>
      <c r="DJ77" s="56">
        <v>390</v>
      </c>
      <c r="DK77" s="55">
        <v>356</v>
      </c>
      <c r="DL77" s="56">
        <v>398</v>
      </c>
      <c r="DM77" s="55">
        <v>338</v>
      </c>
      <c r="DN77" s="56">
        <v>395</v>
      </c>
      <c r="DO77" s="55">
        <v>325</v>
      </c>
      <c r="DP77" s="56">
        <v>400</v>
      </c>
      <c r="DQ77" s="55">
        <v>381</v>
      </c>
      <c r="DR77" s="56">
        <v>400</v>
      </c>
      <c r="DS77" s="55">
        <v>300</v>
      </c>
      <c r="DT77" s="56">
        <v>400</v>
      </c>
      <c r="DU77" s="55">
        <v>357</v>
      </c>
      <c r="DV77" s="56">
        <v>410</v>
      </c>
      <c r="DW77" s="55">
        <v>336</v>
      </c>
      <c r="DX77" s="56">
        <v>410</v>
      </c>
      <c r="DY77" s="55">
        <v>398</v>
      </c>
      <c r="DZ77" s="56">
        <v>420</v>
      </c>
      <c r="EA77" s="55">
        <v>325</v>
      </c>
      <c r="EB77" s="56">
        <v>400</v>
      </c>
      <c r="EC77" s="55">
        <v>327</v>
      </c>
      <c r="ED77" s="56">
        <v>420</v>
      </c>
      <c r="EE77" s="55">
        <v>400</v>
      </c>
      <c r="EF77" s="56">
        <v>420</v>
      </c>
      <c r="EG77" s="55">
        <v>417</v>
      </c>
      <c r="EH77" s="56">
        <v>435</v>
      </c>
      <c r="EI77" s="55">
        <v>345</v>
      </c>
      <c r="EJ77" s="56">
        <v>425</v>
      </c>
      <c r="EK77" s="55">
        <v>372</v>
      </c>
      <c r="EL77" s="56">
        <v>420</v>
      </c>
      <c r="EM77" s="55">
        <v>353</v>
      </c>
      <c r="EN77" s="56">
        <v>425</v>
      </c>
      <c r="EO77" s="55">
        <v>428</v>
      </c>
      <c r="EP77" s="56">
        <v>450</v>
      </c>
      <c r="EQ77" s="55">
        <v>327</v>
      </c>
      <c r="ER77" s="56">
        <v>440</v>
      </c>
      <c r="ES77" s="55">
        <v>342</v>
      </c>
      <c r="ET77" s="56">
        <v>450</v>
      </c>
      <c r="EU77" s="55">
        <v>353</v>
      </c>
      <c r="EV77" s="56">
        <v>450</v>
      </c>
      <c r="EW77" s="55">
        <v>440</v>
      </c>
      <c r="EX77" s="56">
        <v>450</v>
      </c>
      <c r="EY77" s="55">
        <v>294</v>
      </c>
      <c r="EZ77" s="56">
        <v>450</v>
      </c>
      <c r="FA77" s="55">
        <v>337</v>
      </c>
      <c r="FB77" s="56">
        <v>460</v>
      </c>
      <c r="FC77" s="55">
        <v>352</v>
      </c>
      <c r="FD77" s="56">
        <v>450</v>
      </c>
      <c r="FE77" s="55">
        <v>415</v>
      </c>
      <c r="FF77" s="56">
        <v>460</v>
      </c>
      <c r="FG77" s="55">
        <v>318</v>
      </c>
      <c r="FH77" s="56">
        <v>455</v>
      </c>
      <c r="FI77" s="55">
        <v>351</v>
      </c>
      <c r="FJ77" s="56">
        <v>460</v>
      </c>
      <c r="FK77" s="55">
        <v>351</v>
      </c>
      <c r="FL77" s="56">
        <v>455</v>
      </c>
      <c r="FM77" s="55">
        <v>341</v>
      </c>
      <c r="FN77" s="56">
        <v>460</v>
      </c>
      <c r="FO77" s="55">
        <v>281</v>
      </c>
      <c r="FP77" s="56">
        <v>450</v>
      </c>
      <c r="FQ77" s="55">
        <v>274</v>
      </c>
      <c r="FR77" s="56">
        <v>450</v>
      </c>
      <c r="FS77" s="55">
        <v>342</v>
      </c>
      <c r="FT77" s="56">
        <v>450</v>
      </c>
      <c r="FU77" s="55">
        <v>355</v>
      </c>
      <c r="FV77" s="56">
        <v>450</v>
      </c>
      <c r="FW77" s="55">
        <v>336</v>
      </c>
      <c r="FX77" s="56">
        <v>460</v>
      </c>
      <c r="FY77" s="55">
        <v>287</v>
      </c>
      <c r="FZ77" s="56">
        <v>450</v>
      </c>
      <c r="GA77" s="55">
        <v>360</v>
      </c>
      <c r="GB77" s="56">
        <v>478</v>
      </c>
      <c r="GC77" s="55">
        <v>391</v>
      </c>
      <c r="GD77" s="56">
        <v>470</v>
      </c>
      <c r="GE77" s="55">
        <v>327</v>
      </c>
      <c r="GF77" s="56">
        <v>480</v>
      </c>
      <c r="GG77" s="55">
        <v>329</v>
      </c>
      <c r="GH77" s="56">
        <v>500</v>
      </c>
      <c r="GI77" s="55">
        <v>274</v>
      </c>
      <c r="GJ77" s="56">
        <v>500</v>
      </c>
      <c r="GK77" s="55">
        <v>319</v>
      </c>
      <c r="GL77" s="56">
        <v>520</v>
      </c>
      <c r="GM77" s="55">
        <v>244</v>
      </c>
      <c r="GN77" s="56">
        <v>550</v>
      </c>
      <c r="GO77" s="55">
        <v>274</v>
      </c>
      <c r="GP77" s="56">
        <v>570</v>
      </c>
      <c r="GQ77" s="55">
        <v>271</v>
      </c>
      <c r="GR77" s="56">
        <v>580</v>
      </c>
      <c r="GS77" s="55">
        <v>262</v>
      </c>
      <c r="GT77" s="56">
        <v>600</v>
      </c>
      <c r="GU77" s="55">
        <v>257</v>
      </c>
      <c r="GV77" s="56">
        <v>600</v>
      </c>
      <c r="GW77" s="55">
        <v>243</v>
      </c>
      <c r="GX77" s="56">
        <v>610</v>
      </c>
      <c r="GY77" s="55">
        <v>300</v>
      </c>
      <c r="GZ77" s="56">
        <v>630</v>
      </c>
      <c r="HA77">
        <v>284</v>
      </c>
      <c r="HB77" s="56">
        <v>630</v>
      </c>
      <c r="HC77">
        <v>252</v>
      </c>
      <c r="HD77" s="56">
        <v>650</v>
      </c>
      <c r="HE77">
        <v>244</v>
      </c>
      <c r="HF77" s="56">
        <v>650</v>
      </c>
    </row>
    <row r="78" spans="1:214" x14ac:dyDescent="0.25">
      <c r="A78" s="53"/>
      <c r="B78" s="54" t="s">
        <v>816</v>
      </c>
      <c r="C78" s="55">
        <v>257</v>
      </c>
      <c r="D78" s="56">
        <v>160</v>
      </c>
      <c r="E78" s="55">
        <v>257</v>
      </c>
      <c r="F78" s="56">
        <v>165</v>
      </c>
      <c r="G78" s="55">
        <v>274</v>
      </c>
      <c r="H78" s="56">
        <v>170</v>
      </c>
      <c r="I78" s="55">
        <v>240</v>
      </c>
      <c r="J78" s="56">
        <v>170</v>
      </c>
      <c r="K78" s="55">
        <v>246</v>
      </c>
      <c r="L78" s="56">
        <v>175</v>
      </c>
      <c r="M78" s="55">
        <v>257</v>
      </c>
      <c r="N78" s="56">
        <v>175</v>
      </c>
      <c r="O78" s="55">
        <v>212</v>
      </c>
      <c r="P78" s="56">
        <v>175</v>
      </c>
      <c r="Q78" s="55">
        <v>242</v>
      </c>
      <c r="R78" s="56">
        <v>180</v>
      </c>
      <c r="S78" s="55">
        <v>243</v>
      </c>
      <c r="T78" s="56">
        <v>180</v>
      </c>
      <c r="U78" s="55">
        <v>247</v>
      </c>
      <c r="V78" s="56">
        <v>180</v>
      </c>
      <c r="W78" s="55">
        <v>237</v>
      </c>
      <c r="X78" s="56">
        <v>185</v>
      </c>
      <c r="Y78" s="55">
        <v>235</v>
      </c>
      <c r="Z78" s="56">
        <v>190</v>
      </c>
      <c r="AA78" s="55">
        <v>255</v>
      </c>
      <c r="AB78" s="56">
        <v>190</v>
      </c>
      <c r="AC78" s="55">
        <v>231</v>
      </c>
      <c r="AD78" s="56">
        <v>190</v>
      </c>
      <c r="AE78" s="55">
        <v>276</v>
      </c>
      <c r="AF78" s="56">
        <v>195</v>
      </c>
      <c r="AG78" s="55">
        <v>276</v>
      </c>
      <c r="AH78" s="56">
        <v>195</v>
      </c>
      <c r="AI78" s="55">
        <v>261</v>
      </c>
      <c r="AJ78" s="56">
        <v>200</v>
      </c>
      <c r="AK78" s="55">
        <v>296</v>
      </c>
      <c r="AL78" s="56">
        <v>200</v>
      </c>
      <c r="AM78" s="55">
        <v>297</v>
      </c>
      <c r="AN78" s="56">
        <v>200</v>
      </c>
      <c r="AO78" s="55">
        <v>263</v>
      </c>
      <c r="AP78" s="56">
        <v>210</v>
      </c>
      <c r="AQ78" s="55">
        <v>244</v>
      </c>
      <c r="AR78" s="56">
        <v>210</v>
      </c>
      <c r="AS78" s="55">
        <v>286</v>
      </c>
      <c r="AT78" s="56">
        <v>209</v>
      </c>
      <c r="AU78" s="55">
        <v>245</v>
      </c>
      <c r="AV78" s="56">
        <v>215</v>
      </c>
      <c r="AW78" s="55">
        <v>257</v>
      </c>
      <c r="AX78" s="56">
        <v>210</v>
      </c>
      <c r="AY78" s="55">
        <v>270</v>
      </c>
      <c r="AZ78" s="56">
        <v>218</v>
      </c>
      <c r="BA78" s="55">
        <v>249</v>
      </c>
      <c r="BB78" s="56">
        <v>215</v>
      </c>
      <c r="BC78" s="55">
        <v>239</v>
      </c>
      <c r="BD78" s="56">
        <v>220</v>
      </c>
      <c r="BE78" s="55">
        <v>257</v>
      </c>
      <c r="BF78" s="56">
        <v>225</v>
      </c>
      <c r="BG78" s="55">
        <v>259</v>
      </c>
      <c r="BH78" s="56">
        <v>220</v>
      </c>
      <c r="BI78" s="55">
        <v>258</v>
      </c>
      <c r="BJ78" s="56">
        <v>230</v>
      </c>
      <c r="BK78" s="55">
        <v>216</v>
      </c>
      <c r="BL78" s="56">
        <v>230</v>
      </c>
      <c r="BM78" s="55">
        <v>256</v>
      </c>
      <c r="BN78" s="56">
        <v>240</v>
      </c>
      <c r="BO78" s="55">
        <v>241</v>
      </c>
      <c r="BP78" s="56">
        <v>250</v>
      </c>
      <c r="BQ78" s="55">
        <v>239</v>
      </c>
      <c r="BR78" s="56">
        <v>250</v>
      </c>
      <c r="BS78" s="55">
        <v>199</v>
      </c>
      <c r="BT78" s="56">
        <v>260</v>
      </c>
      <c r="BU78" s="55">
        <v>237</v>
      </c>
      <c r="BV78" s="56">
        <v>270</v>
      </c>
      <c r="BW78" s="55">
        <v>236</v>
      </c>
      <c r="BX78" s="56">
        <v>275</v>
      </c>
      <c r="BY78" s="55">
        <v>222</v>
      </c>
      <c r="BZ78" s="56">
        <v>283</v>
      </c>
      <c r="CA78" s="55">
        <v>223</v>
      </c>
      <c r="CB78" s="56">
        <v>290</v>
      </c>
      <c r="CC78" s="55">
        <v>230</v>
      </c>
      <c r="CD78" s="56">
        <v>295</v>
      </c>
      <c r="CE78" s="55">
        <v>221</v>
      </c>
      <c r="CF78" s="56">
        <v>300</v>
      </c>
      <c r="CG78" s="55">
        <v>243</v>
      </c>
      <c r="CH78" s="56">
        <v>300</v>
      </c>
      <c r="CI78" s="55">
        <v>217</v>
      </c>
      <c r="CJ78" s="56">
        <v>310</v>
      </c>
      <c r="CK78" s="55">
        <v>239</v>
      </c>
      <c r="CL78" s="56">
        <v>310</v>
      </c>
      <c r="CM78" s="55">
        <v>245</v>
      </c>
      <c r="CN78" s="56">
        <v>320</v>
      </c>
      <c r="CO78" s="55">
        <v>295</v>
      </c>
      <c r="CP78" s="56">
        <v>320</v>
      </c>
      <c r="CQ78" s="55">
        <v>239</v>
      </c>
      <c r="CR78" s="56">
        <v>340</v>
      </c>
      <c r="CS78" s="55">
        <v>231</v>
      </c>
      <c r="CT78" s="56">
        <v>340</v>
      </c>
      <c r="CU78" s="55">
        <v>249</v>
      </c>
      <c r="CV78" s="56">
        <v>340</v>
      </c>
      <c r="CW78" s="55">
        <v>254</v>
      </c>
      <c r="CX78" s="56">
        <v>330</v>
      </c>
      <c r="CY78" s="55">
        <v>252</v>
      </c>
      <c r="CZ78" s="56">
        <v>340</v>
      </c>
      <c r="DA78" s="55">
        <v>281</v>
      </c>
      <c r="DB78" s="56">
        <v>340</v>
      </c>
      <c r="DC78" s="55">
        <v>248</v>
      </c>
      <c r="DD78" s="56">
        <v>350</v>
      </c>
      <c r="DE78" s="55">
        <v>266</v>
      </c>
      <c r="DF78" s="56">
        <v>350</v>
      </c>
      <c r="DG78" s="55">
        <v>242</v>
      </c>
      <c r="DH78" s="56">
        <v>340</v>
      </c>
      <c r="DI78" s="55">
        <v>226</v>
      </c>
      <c r="DJ78" s="56">
        <v>340</v>
      </c>
      <c r="DK78" s="55">
        <v>245</v>
      </c>
      <c r="DL78" s="56">
        <v>345</v>
      </c>
      <c r="DM78" s="55">
        <v>270</v>
      </c>
      <c r="DN78" s="56">
        <v>350</v>
      </c>
      <c r="DO78" s="55">
        <v>248</v>
      </c>
      <c r="DP78" s="56">
        <v>353</v>
      </c>
      <c r="DQ78" s="55">
        <v>227</v>
      </c>
      <c r="DR78" s="56">
        <v>350</v>
      </c>
      <c r="DS78" s="55">
        <v>222</v>
      </c>
      <c r="DT78" s="56">
        <v>357</v>
      </c>
      <c r="DU78" s="55">
        <v>256</v>
      </c>
      <c r="DV78" s="56">
        <v>350</v>
      </c>
      <c r="DW78" s="55">
        <v>236</v>
      </c>
      <c r="DX78" s="56">
        <v>350</v>
      </c>
      <c r="DY78" s="55">
        <v>254</v>
      </c>
      <c r="DZ78" s="56">
        <v>360</v>
      </c>
      <c r="EA78" s="55">
        <v>225</v>
      </c>
      <c r="EB78" s="56">
        <v>370</v>
      </c>
      <c r="EC78" s="55">
        <v>258</v>
      </c>
      <c r="ED78" s="56">
        <v>370</v>
      </c>
      <c r="EE78" s="55">
        <v>231</v>
      </c>
      <c r="EF78" s="56">
        <v>370</v>
      </c>
      <c r="EG78" s="55">
        <v>266</v>
      </c>
      <c r="EH78" s="56">
        <v>370</v>
      </c>
      <c r="EI78" s="55">
        <v>250</v>
      </c>
      <c r="EJ78" s="56">
        <v>380</v>
      </c>
      <c r="EK78" s="55">
        <v>265</v>
      </c>
      <c r="EL78" s="56">
        <v>385</v>
      </c>
      <c r="EM78" s="55">
        <v>242</v>
      </c>
      <c r="EN78" s="56">
        <v>380</v>
      </c>
      <c r="EO78" s="55">
        <v>277</v>
      </c>
      <c r="EP78" s="56">
        <v>385</v>
      </c>
      <c r="EQ78" s="55">
        <v>292</v>
      </c>
      <c r="ER78" s="56">
        <v>395</v>
      </c>
      <c r="ES78" s="55">
        <v>252</v>
      </c>
      <c r="ET78" s="56">
        <v>390</v>
      </c>
      <c r="EU78" s="55">
        <v>253</v>
      </c>
      <c r="EV78" s="56">
        <v>400</v>
      </c>
      <c r="EW78" s="55">
        <v>265</v>
      </c>
      <c r="EX78" s="56">
        <v>400</v>
      </c>
      <c r="EY78" s="55">
        <v>236</v>
      </c>
      <c r="EZ78" s="56">
        <v>400</v>
      </c>
      <c r="FA78" s="55">
        <v>194</v>
      </c>
      <c r="FB78" s="56">
        <v>400</v>
      </c>
      <c r="FC78" s="55">
        <v>248</v>
      </c>
      <c r="FD78" s="56">
        <v>410</v>
      </c>
      <c r="FE78" s="55">
        <v>265</v>
      </c>
      <c r="FF78" s="56">
        <v>420</v>
      </c>
      <c r="FG78" s="55">
        <v>246</v>
      </c>
      <c r="FH78" s="56">
        <v>410</v>
      </c>
      <c r="FI78" s="55">
        <v>268</v>
      </c>
      <c r="FJ78" s="56">
        <v>410</v>
      </c>
      <c r="FK78" s="55">
        <v>234</v>
      </c>
      <c r="FL78" s="56">
        <v>415</v>
      </c>
      <c r="FM78" s="55">
        <v>205</v>
      </c>
      <c r="FN78" s="56">
        <v>425</v>
      </c>
      <c r="FO78" s="55">
        <v>215</v>
      </c>
      <c r="FP78" s="56">
        <v>420</v>
      </c>
      <c r="FQ78" s="55">
        <v>169</v>
      </c>
      <c r="FR78" s="56">
        <v>410</v>
      </c>
      <c r="FS78" s="55">
        <v>193</v>
      </c>
      <c r="FT78" s="56">
        <v>420</v>
      </c>
      <c r="FU78" s="55">
        <v>184</v>
      </c>
      <c r="FV78" s="56">
        <v>430</v>
      </c>
      <c r="FW78" s="55">
        <v>180</v>
      </c>
      <c r="FX78" s="56">
        <v>440</v>
      </c>
      <c r="FY78" s="55">
        <v>187</v>
      </c>
      <c r="FZ78" s="56">
        <v>440</v>
      </c>
      <c r="GA78" s="55">
        <v>168</v>
      </c>
      <c r="GB78" s="56">
        <v>460</v>
      </c>
      <c r="GC78" s="55">
        <v>174</v>
      </c>
      <c r="GD78" s="56">
        <v>450</v>
      </c>
      <c r="GE78" s="55">
        <v>213</v>
      </c>
      <c r="GF78" s="56">
        <v>470</v>
      </c>
      <c r="GG78" s="55">
        <v>186</v>
      </c>
      <c r="GH78" s="56">
        <v>480</v>
      </c>
      <c r="GI78" s="55">
        <v>170</v>
      </c>
      <c r="GJ78" s="56">
        <v>480</v>
      </c>
      <c r="GK78" s="55">
        <v>190</v>
      </c>
      <c r="GL78" s="56">
        <v>500</v>
      </c>
      <c r="GM78" s="55">
        <v>204</v>
      </c>
      <c r="GN78" s="56">
        <v>500</v>
      </c>
      <c r="GO78" s="55">
        <v>189</v>
      </c>
      <c r="GP78" s="56">
        <v>520</v>
      </c>
      <c r="GQ78" s="55">
        <v>191</v>
      </c>
      <c r="GR78" s="56">
        <v>550</v>
      </c>
      <c r="GS78" s="55">
        <v>179</v>
      </c>
      <c r="GT78" s="56">
        <v>550</v>
      </c>
      <c r="GU78" s="55">
        <v>166</v>
      </c>
      <c r="GV78" s="56">
        <v>555</v>
      </c>
      <c r="GW78" s="55">
        <v>177</v>
      </c>
      <c r="GX78" s="56">
        <v>600</v>
      </c>
      <c r="GY78" s="55">
        <v>174</v>
      </c>
      <c r="GZ78" s="56">
        <v>588</v>
      </c>
      <c r="HA78">
        <v>157</v>
      </c>
      <c r="HB78" s="56">
        <v>595</v>
      </c>
      <c r="HC78">
        <v>177</v>
      </c>
      <c r="HD78" s="56">
        <v>615</v>
      </c>
      <c r="HE78">
        <v>146</v>
      </c>
      <c r="HF78" s="56">
        <v>605</v>
      </c>
    </row>
    <row r="79" spans="1:214" s="10" customFormat="1" x14ac:dyDescent="0.25">
      <c r="A79" s="57"/>
      <c r="B79" s="57" t="s">
        <v>752</v>
      </c>
      <c r="C79" s="58">
        <v>1723</v>
      </c>
      <c r="D79" s="59">
        <v>190</v>
      </c>
      <c r="E79" s="58">
        <v>1725</v>
      </c>
      <c r="F79" s="59">
        <v>190</v>
      </c>
      <c r="G79" s="58">
        <v>1696</v>
      </c>
      <c r="H79" s="59">
        <v>200</v>
      </c>
      <c r="I79" s="58">
        <v>1916</v>
      </c>
      <c r="J79" s="59">
        <v>200</v>
      </c>
      <c r="K79" s="58">
        <v>1701</v>
      </c>
      <c r="L79" s="59">
        <v>200</v>
      </c>
      <c r="M79" s="58">
        <v>1733</v>
      </c>
      <c r="N79" s="59">
        <v>200</v>
      </c>
      <c r="O79" s="58">
        <v>1668</v>
      </c>
      <c r="P79" s="59">
        <v>200</v>
      </c>
      <c r="Q79" s="58">
        <v>1819</v>
      </c>
      <c r="R79" s="59">
        <v>215</v>
      </c>
      <c r="S79" s="58">
        <v>1604</v>
      </c>
      <c r="T79" s="59">
        <v>215</v>
      </c>
      <c r="U79" s="58">
        <v>1739</v>
      </c>
      <c r="V79" s="59">
        <v>210</v>
      </c>
      <c r="W79" s="58">
        <v>1758</v>
      </c>
      <c r="X79" s="59">
        <v>220</v>
      </c>
      <c r="Y79" s="58">
        <v>1907</v>
      </c>
      <c r="Z79" s="59">
        <v>220</v>
      </c>
      <c r="AA79" s="58">
        <v>1701</v>
      </c>
      <c r="AB79" s="59">
        <v>220</v>
      </c>
      <c r="AC79" s="58">
        <v>1735</v>
      </c>
      <c r="AD79" s="59">
        <v>225</v>
      </c>
      <c r="AE79" s="58">
        <v>1772</v>
      </c>
      <c r="AF79" s="59">
        <v>225</v>
      </c>
      <c r="AG79" s="58">
        <v>2053</v>
      </c>
      <c r="AH79" s="59">
        <v>230</v>
      </c>
      <c r="AI79" s="58">
        <v>1747</v>
      </c>
      <c r="AJ79" s="59">
        <v>225</v>
      </c>
      <c r="AK79" s="58">
        <v>1883</v>
      </c>
      <c r="AL79" s="59">
        <v>230</v>
      </c>
      <c r="AM79" s="58">
        <v>1840</v>
      </c>
      <c r="AN79" s="59">
        <v>230</v>
      </c>
      <c r="AO79" s="58">
        <v>2200</v>
      </c>
      <c r="AP79" s="59">
        <v>235</v>
      </c>
      <c r="AQ79" s="58">
        <v>1538</v>
      </c>
      <c r="AR79" s="59">
        <v>235</v>
      </c>
      <c r="AS79" s="58">
        <v>1744</v>
      </c>
      <c r="AT79" s="59">
        <v>240</v>
      </c>
      <c r="AU79" s="58">
        <v>1644</v>
      </c>
      <c r="AV79" s="59">
        <v>240</v>
      </c>
      <c r="AW79" s="58">
        <v>1873</v>
      </c>
      <c r="AX79" s="59">
        <v>245</v>
      </c>
      <c r="AY79" s="58">
        <v>1670</v>
      </c>
      <c r="AZ79" s="59">
        <v>240</v>
      </c>
      <c r="BA79" s="58">
        <v>1620</v>
      </c>
      <c r="BB79" s="59">
        <v>245</v>
      </c>
      <c r="BC79" s="58">
        <v>1486</v>
      </c>
      <c r="BD79" s="59">
        <v>250</v>
      </c>
      <c r="BE79" s="58">
        <v>1677</v>
      </c>
      <c r="BF79" s="59">
        <v>255</v>
      </c>
      <c r="BG79" s="58">
        <v>1432</v>
      </c>
      <c r="BH79" s="59">
        <v>250</v>
      </c>
      <c r="BI79" s="58">
        <v>1528</v>
      </c>
      <c r="BJ79" s="59">
        <v>260</v>
      </c>
      <c r="BK79" s="58">
        <v>1431</v>
      </c>
      <c r="BL79" s="59">
        <v>270</v>
      </c>
      <c r="BM79" s="58">
        <v>1710</v>
      </c>
      <c r="BN79" s="59">
        <v>280</v>
      </c>
      <c r="BO79" s="58">
        <v>1410</v>
      </c>
      <c r="BP79" s="59">
        <v>280</v>
      </c>
      <c r="BQ79" s="58">
        <v>1579</v>
      </c>
      <c r="BR79" s="59">
        <v>295</v>
      </c>
      <c r="BS79" s="58">
        <v>1424</v>
      </c>
      <c r="BT79" s="59">
        <v>305</v>
      </c>
      <c r="BU79" s="58">
        <v>1763</v>
      </c>
      <c r="BV79" s="59">
        <v>320</v>
      </c>
      <c r="BW79" s="58">
        <v>1569</v>
      </c>
      <c r="BX79" s="59">
        <v>330</v>
      </c>
      <c r="BY79" s="58">
        <v>1531</v>
      </c>
      <c r="BZ79" s="59">
        <v>335</v>
      </c>
      <c r="CA79" s="58">
        <v>1597</v>
      </c>
      <c r="CB79" s="59">
        <v>340</v>
      </c>
      <c r="CC79" s="58">
        <v>1714</v>
      </c>
      <c r="CD79" s="59">
        <v>350</v>
      </c>
      <c r="CE79" s="58">
        <v>1544</v>
      </c>
      <c r="CF79" s="59">
        <v>340</v>
      </c>
      <c r="CG79" s="58">
        <v>1640</v>
      </c>
      <c r="CH79" s="59">
        <v>350</v>
      </c>
      <c r="CI79" s="58">
        <v>1580</v>
      </c>
      <c r="CJ79" s="59">
        <v>350</v>
      </c>
      <c r="CK79" s="58">
        <v>1875</v>
      </c>
      <c r="CL79" s="59">
        <v>360</v>
      </c>
      <c r="CM79" s="58">
        <v>1690</v>
      </c>
      <c r="CN79" s="59">
        <v>360</v>
      </c>
      <c r="CO79" s="58">
        <v>1755</v>
      </c>
      <c r="CP79" s="59">
        <v>360</v>
      </c>
      <c r="CQ79" s="58">
        <v>1719</v>
      </c>
      <c r="CR79" s="59">
        <v>370</v>
      </c>
      <c r="CS79" s="58">
        <v>1970</v>
      </c>
      <c r="CT79" s="59">
        <v>380</v>
      </c>
      <c r="CU79" s="58">
        <v>1761</v>
      </c>
      <c r="CV79" s="59">
        <v>380</v>
      </c>
      <c r="CW79" s="58">
        <v>1846</v>
      </c>
      <c r="CX79" s="59">
        <v>375</v>
      </c>
      <c r="CY79" s="58">
        <v>1811</v>
      </c>
      <c r="CZ79" s="59">
        <v>380</v>
      </c>
      <c r="DA79" s="58">
        <v>2040</v>
      </c>
      <c r="DB79" s="59">
        <v>380</v>
      </c>
      <c r="DC79" s="58">
        <v>1707</v>
      </c>
      <c r="DD79" s="59">
        <v>375</v>
      </c>
      <c r="DE79" s="58">
        <v>1861</v>
      </c>
      <c r="DF79" s="59">
        <v>375</v>
      </c>
      <c r="DG79" s="58">
        <v>1813</v>
      </c>
      <c r="DH79" s="59">
        <v>380</v>
      </c>
      <c r="DI79" s="58">
        <v>1888</v>
      </c>
      <c r="DJ79" s="59">
        <v>385</v>
      </c>
      <c r="DK79" s="58">
        <v>1758</v>
      </c>
      <c r="DL79" s="59">
        <v>380</v>
      </c>
      <c r="DM79" s="58">
        <v>1864</v>
      </c>
      <c r="DN79" s="59">
        <v>385</v>
      </c>
      <c r="DO79" s="58">
        <v>1767</v>
      </c>
      <c r="DP79" s="59">
        <v>390</v>
      </c>
      <c r="DQ79" s="58">
        <v>1896</v>
      </c>
      <c r="DR79" s="59">
        <v>395</v>
      </c>
      <c r="DS79" s="58">
        <v>1638</v>
      </c>
      <c r="DT79" s="59">
        <v>400</v>
      </c>
      <c r="DU79" s="58">
        <v>1860</v>
      </c>
      <c r="DV79" s="59">
        <v>396</v>
      </c>
      <c r="DW79" s="58">
        <v>1880</v>
      </c>
      <c r="DX79" s="59">
        <v>400</v>
      </c>
      <c r="DY79" s="58">
        <v>2025</v>
      </c>
      <c r="DZ79" s="59">
        <v>400</v>
      </c>
      <c r="EA79" s="58">
        <v>1779</v>
      </c>
      <c r="EB79" s="59">
        <v>400</v>
      </c>
      <c r="EC79" s="58">
        <v>1834</v>
      </c>
      <c r="ED79" s="59">
        <v>400</v>
      </c>
      <c r="EE79" s="58">
        <v>1986</v>
      </c>
      <c r="EF79" s="59">
        <v>410</v>
      </c>
      <c r="EG79" s="58">
        <v>2213</v>
      </c>
      <c r="EH79" s="59">
        <v>420</v>
      </c>
      <c r="EI79" s="58">
        <v>1917</v>
      </c>
      <c r="EJ79" s="59">
        <v>415</v>
      </c>
      <c r="EK79" s="58">
        <v>2013</v>
      </c>
      <c r="EL79" s="59">
        <v>420</v>
      </c>
      <c r="EM79" s="58">
        <v>1920</v>
      </c>
      <c r="EN79" s="59">
        <v>420</v>
      </c>
      <c r="EO79" s="58">
        <v>2163</v>
      </c>
      <c r="EP79" s="59">
        <v>430</v>
      </c>
      <c r="EQ79" s="58">
        <v>1877</v>
      </c>
      <c r="ER79" s="59">
        <v>425</v>
      </c>
      <c r="ES79" s="58">
        <v>1949</v>
      </c>
      <c r="ET79" s="59">
        <v>430</v>
      </c>
      <c r="EU79" s="58">
        <v>1921</v>
      </c>
      <c r="EV79" s="59">
        <v>440</v>
      </c>
      <c r="EW79" s="58">
        <v>2125</v>
      </c>
      <c r="EX79" s="59">
        <v>450</v>
      </c>
      <c r="EY79" s="58">
        <v>1732</v>
      </c>
      <c r="EZ79" s="59">
        <v>440</v>
      </c>
      <c r="FA79" s="58">
        <v>1873</v>
      </c>
      <c r="FB79" s="59">
        <v>445</v>
      </c>
      <c r="FC79" s="58">
        <v>1869</v>
      </c>
      <c r="FD79" s="59">
        <v>450</v>
      </c>
      <c r="FE79" s="58">
        <v>1997</v>
      </c>
      <c r="FF79" s="59">
        <v>450</v>
      </c>
      <c r="FG79" s="58">
        <v>1747</v>
      </c>
      <c r="FH79" s="59">
        <v>450</v>
      </c>
      <c r="FI79" s="58">
        <v>1881</v>
      </c>
      <c r="FJ79" s="59">
        <v>450</v>
      </c>
      <c r="FK79" s="58">
        <v>1839</v>
      </c>
      <c r="FL79" s="59">
        <v>450</v>
      </c>
      <c r="FM79" s="58">
        <v>1865</v>
      </c>
      <c r="FN79" s="59">
        <v>450</v>
      </c>
      <c r="FO79" s="58">
        <v>1617</v>
      </c>
      <c r="FP79" s="59">
        <v>445</v>
      </c>
      <c r="FQ79" s="58">
        <v>1440</v>
      </c>
      <c r="FR79" s="59">
        <v>450</v>
      </c>
      <c r="FS79" s="58">
        <v>1594</v>
      </c>
      <c r="FT79" s="59">
        <v>450</v>
      </c>
      <c r="FU79" s="58">
        <v>1745</v>
      </c>
      <c r="FV79" s="59">
        <v>450</v>
      </c>
      <c r="FW79" s="58">
        <v>1537</v>
      </c>
      <c r="FX79" s="59">
        <v>450</v>
      </c>
      <c r="FY79" s="58">
        <v>1566</v>
      </c>
      <c r="FZ79" s="59">
        <v>455</v>
      </c>
      <c r="GA79" s="58">
        <v>1805</v>
      </c>
      <c r="GB79" s="59">
        <v>475</v>
      </c>
      <c r="GC79" s="58">
        <v>1783</v>
      </c>
      <c r="GD79" s="59">
        <v>475</v>
      </c>
      <c r="GE79" s="58">
        <v>1657</v>
      </c>
      <c r="GF79" s="59">
        <v>480</v>
      </c>
      <c r="GG79" s="58">
        <v>1533</v>
      </c>
      <c r="GH79" s="59">
        <v>490</v>
      </c>
      <c r="GI79" s="58">
        <v>1445</v>
      </c>
      <c r="GJ79" s="59">
        <v>500</v>
      </c>
      <c r="GK79" s="58">
        <v>1502</v>
      </c>
      <c r="GL79" s="59">
        <v>520</v>
      </c>
      <c r="GM79" s="58">
        <v>1360</v>
      </c>
      <c r="GN79" s="59">
        <v>550</v>
      </c>
      <c r="GO79" s="58">
        <v>1481</v>
      </c>
      <c r="GP79" s="59">
        <v>560</v>
      </c>
      <c r="GQ79" s="58">
        <v>1377</v>
      </c>
      <c r="GR79" s="59">
        <v>575</v>
      </c>
      <c r="GS79" s="58">
        <v>1314</v>
      </c>
      <c r="GT79" s="59">
        <v>595</v>
      </c>
      <c r="GU79" s="58">
        <v>1330</v>
      </c>
      <c r="GV79" s="59">
        <v>600</v>
      </c>
      <c r="GW79" s="58">
        <v>1312</v>
      </c>
      <c r="GX79" s="59">
        <v>620</v>
      </c>
      <c r="GY79" s="58">
        <v>1434</v>
      </c>
      <c r="GZ79" s="59">
        <v>620</v>
      </c>
      <c r="HA79" s="10">
        <v>1456</v>
      </c>
      <c r="HB79" s="59">
        <v>628</v>
      </c>
      <c r="HC79" s="10">
        <v>1348</v>
      </c>
      <c r="HD79" s="59">
        <v>640</v>
      </c>
      <c r="HE79" s="10">
        <v>1226</v>
      </c>
      <c r="HF79" s="59">
        <v>649</v>
      </c>
    </row>
    <row r="80" spans="1:214" x14ac:dyDescent="0.25">
      <c r="A80" s="53" t="s">
        <v>817</v>
      </c>
      <c r="B80" s="54" t="s">
        <v>8</v>
      </c>
      <c r="C80" s="55">
        <v>122</v>
      </c>
      <c r="D80" s="56">
        <v>280</v>
      </c>
      <c r="E80" s="55">
        <v>143</v>
      </c>
      <c r="F80" s="56">
        <v>300</v>
      </c>
      <c r="G80" s="55">
        <v>138</v>
      </c>
      <c r="H80" s="56">
        <v>300</v>
      </c>
      <c r="I80" s="55">
        <v>156</v>
      </c>
      <c r="J80" s="56">
        <v>328</v>
      </c>
      <c r="K80" s="55">
        <v>132</v>
      </c>
      <c r="L80" s="56">
        <v>323</v>
      </c>
      <c r="M80" s="55">
        <v>158</v>
      </c>
      <c r="N80" s="56">
        <v>323</v>
      </c>
      <c r="O80" s="55">
        <v>138</v>
      </c>
      <c r="P80" s="56">
        <v>310</v>
      </c>
      <c r="Q80" s="55">
        <v>171</v>
      </c>
      <c r="R80" s="56">
        <v>325</v>
      </c>
      <c r="S80" s="55">
        <v>131</v>
      </c>
      <c r="T80" s="56">
        <v>370</v>
      </c>
      <c r="U80" s="55">
        <v>171</v>
      </c>
      <c r="V80" s="56">
        <v>350</v>
      </c>
      <c r="W80" s="55">
        <v>169</v>
      </c>
      <c r="X80" s="56">
        <v>340</v>
      </c>
      <c r="Y80" s="55">
        <v>166</v>
      </c>
      <c r="Z80" s="56">
        <v>350</v>
      </c>
      <c r="AA80" s="55">
        <v>133</v>
      </c>
      <c r="AB80" s="56">
        <v>340</v>
      </c>
      <c r="AC80" s="55">
        <v>171</v>
      </c>
      <c r="AD80" s="56">
        <v>375</v>
      </c>
      <c r="AE80" s="55">
        <v>136</v>
      </c>
      <c r="AF80" s="56">
        <v>363</v>
      </c>
      <c r="AG80" s="55">
        <v>158</v>
      </c>
      <c r="AH80" s="56">
        <v>353</v>
      </c>
      <c r="AI80" s="55">
        <v>142</v>
      </c>
      <c r="AJ80" s="56">
        <v>345</v>
      </c>
      <c r="AK80" s="55">
        <v>152</v>
      </c>
      <c r="AL80" s="56">
        <v>365</v>
      </c>
      <c r="AM80" s="55">
        <v>119</v>
      </c>
      <c r="AN80" s="56">
        <v>350</v>
      </c>
      <c r="AO80" s="55">
        <v>172</v>
      </c>
      <c r="AP80" s="56">
        <v>350</v>
      </c>
      <c r="AQ80" s="55">
        <v>119</v>
      </c>
      <c r="AR80" s="56">
        <v>370</v>
      </c>
      <c r="AS80" s="55">
        <v>133</v>
      </c>
      <c r="AT80" s="56">
        <v>360</v>
      </c>
      <c r="AU80" s="55">
        <v>135</v>
      </c>
      <c r="AV80" s="56">
        <v>360</v>
      </c>
      <c r="AW80" s="55">
        <v>156</v>
      </c>
      <c r="AX80" s="56">
        <v>385</v>
      </c>
      <c r="AY80" s="55">
        <v>111</v>
      </c>
      <c r="AZ80" s="56">
        <v>380</v>
      </c>
      <c r="BA80" s="55">
        <v>147</v>
      </c>
      <c r="BB80" s="56">
        <v>400</v>
      </c>
      <c r="BC80" s="55">
        <v>113</v>
      </c>
      <c r="BD80" s="56">
        <v>395</v>
      </c>
      <c r="BE80" s="55">
        <v>126</v>
      </c>
      <c r="BF80" s="56">
        <v>400</v>
      </c>
      <c r="BG80" s="55">
        <v>111</v>
      </c>
      <c r="BH80" s="56">
        <v>395</v>
      </c>
      <c r="BI80" s="55">
        <v>133</v>
      </c>
      <c r="BJ80" s="56">
        <v>450</v>
      </c>
      <c r="BK80" s="55">
        <v>80</v>
      </c>
      <c r="BL80" s="56">
        <v>478</v>
      </c>
      <c r="BM80" s="55">
        <v>121</v>
      </c>
      <c r="BN80" s="56">
        <v>450</v>
      </c>
      <c r="BO80" s="55">
        <v>111</v>
      </c>
      <c r="BP80" s="56">
        <v>475</v>
      </c>
      <c r="BQ80" s="55">
        <v>116</v>
      </c>
      <c r="BR80" s="56">
        <v>508</v>
      </c>
      <c r="BS80" s="55">
        <v>125</v>
      </c>
      <c r="BT80" s="56">
        <v>480</v>
      </c>
      <c r="BU80" s="55">
        <v>164</v>
      </c>
      <c r="BV80" s="56">
        <v>536</v>
      </c>
      <c r="BW80" s="55">
        <v>138</v>
      </c>
      <c r="BX80" s="56">
        <v>500</v>
      </c>
      <c r="BY80" s="55">
        <v>124</v>
      </c>
      <c r="BZ80" s="56">
        <v>523</v>
      </c>
      <c r="CA80" s="55">
        <v>137</v>
      </c>
      <c r="CB80" s="56">
        <v>500</v>
      </c>
      <c r="CC80" s="55">
        <v>164</v>
      </c>
      <c r="CD80" s="56">
        <v>520</v>
      </c>
      <c r="CE80" s="55">
        <v>140</v>
      </c>
      <c r="CF80" s="56">
        <v>538</v>
      </c>
      <c r="CG80" s="55">
        <v>155</v>
      </c>
      <c r="CH80" s="56">
        <v>525</v>
      </c>
      <c r="CI80" s="55">
        <v>145</v>
      </c>
      <c r="CJ80" s="56">
        <v>570</v>
      </c>
      <c r="CK80" s="55">
        <v>150</v>
      </c>
      <c r="CL80" s="56">
        <v>573</v>
      </c>
      <c r="CM80" s="55">
        <v>138</v>
      </c>
      <c r="CN80" s="56">
        <v>570</v>
      </c>
      <c r="CO80" s="55">
        <v>134</v>
      </c>
      <c r="CP80" s="56">
        <v>543</v>
      </c>
      <c r="CQ80" s="55">
        <v>131</v>
      </c>
      <c r="CR80" s="56">
        <v>550</v>
      </c>
      <c r="CS80" s="55">
        <v>155</v>
      </c>
      <c r="CT80" s="56">
        <v>590</v>
      </c>
      <c r="CU80" s="55">
        <v>145</v>
      </c>
      <c r="CV80" s="56">
        <v>595</v>
      </c>
      <c r="CW80" s="55">
        <v>139</v>
      </c>
      <c r="CX80" s="56">
        <v>600</v>
      </c>
      <c r="CY80" s="55">
        <v>131</v>
      </c>
      <c r="CZ80" s="56">
        <v>590</v>
      </c>
      <c r="DA80" s="55">
        <v>165</v>
      </c>
      <c r="DB80" s="56">
        <v>620</v>
      </c>
      <c r="DC80" s="55">
        <v>133</v>
      </c>
      <c r="DD80" s="56">
        <v>680</v>
      </c>
      <c r="DE80" s="55">
        <v>160</v>
      </c>
      <c r="DF80" s="56">
        <v>600</v>
      </c>
      <c r="DG80" s="55">
        <v>152</v>
      </c>
      <c r="DH80" s="56">
        <v>595</v>
      </c>
      <c r="DI80" s="55">
        <v>157</v>
      </c>
      <c r="DJ80" s="56">
        <v>635</v>
      </c>
      <c r="DK80" s="55">
        <v>152</v>
      </c>
      <c r="DL80" s="56">
        <v>600</v>
      </c>
      <c r="DM80" s="55">
        <v>139</v>
      </c>
      <c r="DN80" s="56">
        <v>610</v>
      </c>
      <c r="DO80" s="55">
        <v>161</v>
      </c>
      <c r="DP80" s="56">
        <v>650</v>
      </c>
      <c r="DQ80" s="55">
        <v>179</v>
      </c>
      <c r="DR80" s="56">
        <v>645</v>
      </c>
      <c r="DS80" s="55">
        <v>138</v>
      </c>
      <c r="DT80" s="56">
        <v>620</v>
      </c>
      <c r="DU80" s="55">
        <v>155</v>
      </c>
      <c r="DV80" s="56">
        <v>650</v>
      </c>
      <c r="DW80" s="55">
        <v>148</v>
      </c>
      <c r="DX80" s="56">
        <v>650</v>
      </c>
      <c r="DY80" s="55">
        <v>145</v>
      </c>
      <c r="DZ80" s="56">
        <v>650</v>
      </c>
      <c r="EA80" s="55">
        <v>117</v>
      </c>
      <c r="EB80" s="56">
        <v>700</v>
      </c>
      <c r="EC80" s="55">
        <v>142</v>
      </c>
      <c r="ED80" s="56">
        <v>650</v>
      </c>
      <c r="EE80" s="55">
        <v>152</v>
      </c>
      <c r="EF80" s="56">
        <v>678</v>
      </c>
      <c r="EG80" s="55">
        <v>174</v>
      </c>
      <c r="EH80" s="56">
        <v>690</v>
      </c>
      <c r="EI80" s="55">
        <v>155</v>
      </c>
      <c r="EJ80" s="56">
        <v>650</v>
      </c>
      <c r="EK80" s="55">
        <v>178</v>
      </c>
      <c r="EL80" s="56">
        <v>698</v>
      </c>
      <c r="EM80" s="55">
        <v>126</v>
      </c>
      <c r="EN80" s="56">
        <v>705</v>
      </c>
      <c r="EO80" s="55">
        <v>149</v>
      </c>
      <c r="EP80" s="56">
        <v>675</v>
      </c>
      <c r="EQ80" s="55">
        <v>150</v>
      </c>
      <c r="ER80" s="56">
        <v>655</v>
      </c>
      <c r="ES80" s="55">
        <v>171</v>
      </c>
      <c r="ET80" s="56">
        <v>680</v>
      </c>
      <c r="EU80" s="55">
        <v>154</v>
      </c>
      <c r="EV80" s="56">
        <v>693</v>
      </c>
      <c r="EW80" s="55">
        <v>157</v>
      </c>
      <c r="EX80" s="56">
        <v>680</v>
      </c>
      <c r="EY80" s="55">
        <v>126</v>
      </c>
      <c r="EZ80" s="56">
        <v>700</v>
      </c>
      <c r="FA80" s="55">
        <v>141</v>
      </c>
      <c r="FB80" s="56">
        <v>720</v>
      </c>
      <c r="FC80" s="55">
        <v>152</v>
      </c>
      <c r="FD80" s="56">
        <v>690</v>
      </c>
      <c r="FE80" s="55">
        <v>157</v>
      </c>
      <c r="FF80" s="56">
        <v>710</v>
      </c>
      <c r="FG80" s="55">
        <v>138</v>
      </c>
      <c r="FH80" s="56">
        <v>688</v>
      </c>
      <c r="FI80" s="55">
        <v>153</v>
      </c>
      <c r="FJ80" s="56">
        <v>700</v>
      </c>
      <c r="FK80" s="55">
        <v>128</v>
      </c>
      <c r="FL80" s="56">
        <v>650</v>
      </c>
      <c r="FM80" s="55">
        <v>165</v>
      </c>
      <c r="FN80" s="56">
        <v>730</v>
      </c>
      <c r="FO80" s="55">
        <v>135</v>
      </c>
      <c r="FP80" s="56">
        <v>650</v>
      </c>
      <c r="FQ80" s="55">
        <v>144</v>
      </c>
      <c r="FR80" s="56">
        <v>700</v>
      </c>
      <c r="FS80" s="55">
        <v>145</v>
      </c>
      <c r="FT80" s="56">
        <v>750</v>
      </c>
      <c r="FU80" s="55">
        <v>136</v>
      </c>
      <c r="FV80" s="56">
        <v>750</v>
      </c>
      <c r="FW80" s="55">
        <v>107</v>
      </c>
      <c r="FX80" s="56">
        <v>720</v>
      </c>
      <c r="FY80" s="55">
        <v>120</v>
      </c>
      <c r="FZ80" s="56">
        <v>750</v>
      </c>
      <c r="GA80" s="55">
        <v>148</v>
      </c>
      <c r="GB80" s="56">
        <v>775</v>
      </c>
      <c r="GC80" s="55">
        <v>155</v>
      </c>
      <c r="GD80" s="56">
        <v>770</v>
      </c>
      <c r="GE80" s="55">
        <v>130</v>
      </c>
      <c r="GF80" s="56">
        <v>750</v>
      </c>
      <c r="GG80" s="55">
        <v>118</v>
      </c>
      <c r="GH80" s="56">
        <v>751</v>
      </c>
      <c r="GI80" s="55">
        <v>111</v>
      </c>
      <c r="GJ80" s="56">
        <v>790</v>
      </c>
      <c r="GK80" s="55">
        <v>104</v>
      </c>
      <c r="GL80" s="56">
        <v>845</v>
      </c>
      <c r="GM80" s="55">
        <v>108</v>
      </c>
      <c r="GN80" s="56">
        <v>840</v>
      </c>
      <c r="GO80" s="55">
        <v>114</v>
      </c>
      <c r="GP80" s="56">
        <v>850</v>
      </c>
      <c r="GQ80" s="55">
        <v>97</v>
      </c>
      <c r="GR80" s="56">
        <v>850</v>
      </c>
      <c r="GS80" s="55">
        <v>119</v>
      </c>
      <c r="GT80" s="56">
        <v>875</v>
      </c>
      <c r="GU80" s="55">
        <v>91</v>
      </c>
      <c r="GV80" s="56">
        <v>875</v>
      </c>
      <c r="GW80" s="55">
        <v>101</v>
      </c>
      <c r="GX80" s="56">
        <v>895</v>
      </c>
      <c r="GY80" s="55">
        <v>111</v>
      </c>
      <c r="GZ80" s="56">
        <v>850</v>
      </c>
      <c r="HA80">
        <v>91</v>
      </c>
      <c r="HB80" s="56">
        <v>920</v>
      </c>
      <c r="HC80">
        <v>102</v>
      </c>
      <c r="HD80" s="56">
        <v>950</v>
      </c>
      <c r="HE80">
        <v>99</v>
      </c>
      <c r="HF80" s="56">
        <v>900</v>
      </c>
    </row>
    <row r="81" spans="1:214" x14ac:dyDescent="0.25">
      <c r="A81" s="53"/>
      <c r="B81" s="54" t="s">
        <v>818</v>
      </c>
      <c r="C81" s="55">
        <v>129</v>
      </c>
      <c r="D81" s="56">
        <v>155</v>
      </c>
      <c r="E81" s="55">
        <v>114</v>
      </c>
      <c r="F81" s="56">
        <v>160</v>
      </c>
      <c r="G81" s="55">
        <v>116</v>
      </c>
      <c r="H81" s="56">
        <v>160</v>
      </c>
      <c r="I81" s="55">
        <v>123</v>
      </c>
      <c r="J81" s="56">
        <v>160</v>
      </c>
      <c r="K81" s="55">
        <v>118</v>
      </c>
      <c r="L81" s="56">
        <v>165</v>
      </c>
      <c r="M81" s="55">
        <v>132</v>
      </c>
      <c r="N81" s="56">
        <v>160</v>
      </c>
      <c r="O81" s="55">
        <v>104</v>
      </c>
      <c r="P81" s="56">
        <v>165</v>
      </c>
      <c r="Q81" s="55">
        <v>104</v>
      </c>
      <c r="R81" s="56">
        <v>170</v>
      </c>
      <c r="S81" s="55">
        <v>115</v>
      </c>
      <c r="T81" s="56">
        <v>165</v>
      </c>
      <c r="U81" s="55">
        <v>134</v>
      </c>
      <c r="V81" s="56">
        <v>170</v>
      </c>
      <c r="W81" s="55">
        <v>128</v>
      </c>
      <c r="X81" s="56">
        <v>165</v>
      </c>
      <c r="Y81" s="55">
        <v>127</v>
      </c>
      <c r="Z81" s="56">
        <v>175</v>
      </c>
      <c r="AA81" s="55">
        <v>128</v>
      </c>
      <c r="AB81" s="56">
        <v>175</v>
      </c>
      <c r="AC81" s="55">
        <v>132</v>
      </c>
      <c r="AD81" s="56">
        <v>175</v>
      </c>
      <c r="AE81" s="55">
        <v>129</v>
      </c>
      <c r="AF81" s="56">
        <v>180</v>
      </c>
      <c r="AG81" s="55">
        <v>171</v>
      </c>
      <c r="AH81" s="56">
        <v>175</v>
      </c>
      <c r="AI81" s="55">
        <v>147</v>
      </c>
      <c r="AJ81" s="56">
        <v>185</v>
      </c>
      <c r="AK81" s="55">
        <v>162</v>
      </c>
      <c r="AL81" s="56">
        <v>180</v>
      </c>
      <c r="AM81" s="55">
        <v>169</v>
      </c>
      <c r="AN81" s="56">
        <v>185</v>
      </c>
      <c r="AO81" s="55">
        <v>159</v>
      </c>
      <c r="AP81" s="56">
        <v>190</v>
      </c>
      <c r="AQ81" s="55">
        <v>130</v>
      </c>
      <c r="AR81" s="56">
        <v>190</v>
      </c>
      <c r="AS81" s="55">
        <v>190</v>
      </c>
      <c r="AT81" s="56">
        <v>195</v>
      </c>
      <c r="AU81" s="55">
        <v>153</v>
      </c>
      <c r="AV81" s="56">
        <v>190</v>
      </c>
      <c r="AW81" s="55">
        <v>162</v>
      </c>
      <c r="AX81" s="56">
        <v>190</v>
      </c>
      <c r="AY81" s="55">
        <v>153</v>
      </c>
      <c r="AZ81" s="56">
        <v>200</v>
      </c>
      <c r="BA81" s="55">
        <v>174</v>
      </c>
      <c r="BB81" s="56">
        <v>200</v>
      </c>
      <c r="BC81" s="55">
        <v>152</v>
      </c>
      <c r="BD81" s="56">
        <v>195</v>
      </c>
      <c r="BE81" s="55">
        <v>159</v>
      </c>
      <c r="BF81" s="56">
        <v>205</v>
      </c>
      <c r="BG81" s="55">
        <v>155</v>
      </c>
      <c r="BH81" s="56">
        <v>200</v>
      </c>
      <c r="BI81" s="55">
        <v>162</v>
      </c>
      <c r="BJ81" s="56">
        <v>215</v>
      </c>
      <c r="BK81" s="55">
        <v>185</v>
      </c>
      <c r="BL81" s="56">
        <v>215</v>
      </c>
      <c r="BM81" s="55">
        <v>190</v>
      </c>
      <c r="BN81" s="56">
        <v>220</v>
      </c>
      <c r="BO81" s="55">
        <v>171</v>
      </c>
      <c r="BP81" s="56">
        <v>220</v>
      </c>
      <c r="BQ81" s="55">
        <v>157</v>
      </c>
      <c r="BR81" s="56">
        <v>230</v>
      </c>
      <c r="BS81" s="55">
        <v>178</v>
      </c>
      <c r="BT81" s="56">
        <v>230</v>
      </c>
      <c r="BU81" s="55">
        <v>198</v>
      </c>
      <c r="BV81" s="56">
        <v>245</v>
      </c>
      <c r="BW81" s="55">
        <v>202</v>
      </c>
      <c r="BX81" s="56">
        <v>260</v>
      </c>
      <c r="BY81" s="55">
        <v>207</v>
      </c>
      <c r="BZ81" s="56">
        <v>260</v>
      </c>
      <c r="CA81" s="55">
        <v>214</v>
      </c>
      <c r="CB81" s="56">
        <v>270</v>
      </c>
      <c r="CC81" s="55">
        <v>194</v>
      </c>
      <c r="CD81" s="56">
        <v>268</v>
      </c>
      <c r="CE81" s="55">
        <v>226</v>
      </c>
      <c r="CF81" s="56">
        <v>265</v>
      </c>
      <c r="CG81" s="55">
        <v>242</v>
      </c>
      <c r="CH81" s="56">
        <v>280</v>
      </c>
      <c r="CI81" s="55">
        <v>239</v>
      </c>
      <c r="CJ81" s="56">
        <v>280</v>
      </c>
      <c r="CK81" s="55">
        <v>234</v>
      </c>
      <c r="CL81" s="56">
        <v>290</v>
      </c>
      <c r="CM81" s="55">
        <v>241</v>
      </c>
      <c r="CN81" s="56">
        <v>295</v>
      </c>
      <c r="CO81" s="55">
        <v>241</v>
      </c>
      <c r="CP81" s="56">
        <v>300</v>
      </c>
      <c r="CQ81" s="55">
        <v>240</v>
      </c>
      <c r="CR81" s="56">
        <v>300</v>
      </c>
      <c r="CS81" s="55">
        <v>278</v>
      </c>
      <c r="CT81" s="56">
        <v>300</v>
      </c>
      <c r="CU81" s="55">
        <v>264</v>
      </c>
      <c r="CV81" s="56">
        <v>300</v>
      </c>
      <c r="CW81" s="55">
        <v>282</v>
      </c>
      <c r="CX81" s="56">
        <v>300</v>
      </c>
      <c r="CY81" s="55">
        <v>263</v>
      </c>
      <c r="CZ81" s="56">
        <v>305</v>
      </c>
      <c r="DA81" s="55">
        <v>269</v>
      </c>
      <c r="DB81" s="56">
        <v>300</v>
      </c>
      <c r="DC81" s="55">
        <v>288</v>
      </c>
      <c r="DD81" s="56">
        <v>300</v>
      </c>
      <c r="DE81" s="55">
        <v>307</v>
      </c>
      <c r="DF81" s="56">
        <v>300</v>
      </c>
      <c r="DG81" s="55">
        <v>282</v>
      </c>
      <c r="DH81" s="56">
        <v>303</v>
      </c>
      <c r="DI81" s="55">
        <v>284</v>
      </c>
      <c r="DJ81" s="56">
        <v>300</v>
      </c>
      <c r="DK81" s="55">
        <v>255</v>
      </c>
      <c r="DL81" s="56">
        <v>300</v>
      </c>
      <c r="DM81" s="55">
        <v>277</v>
      </c>
      <c r="DN81" s="56">
        <v>310</v>
      </c>
      <c r="DO81" s="55">
        <v>268</v>
      </c>
      <c r="DP81" s="56">
        <v>315</v>
      </c>
      <c r="DQ81" s="55">
        <v>286</v>
      </c>
      <c r="DR81" s="56">
        <v>310</v>
      </c>
      <c r="DS81" s="55">
        <v>258</v>
      </c>
      <c r="DT81" s="56">
        <v>310</v>
      </c>
      <c r="DU81" s="55">
        <v>283</v>
      </c>
      <c r="DV81" s="56">
        <v>315</v>
      </c>
      <c r="DW81" s="55">
        <v>269</v>
      </c>
      <c r="DX81" s="56">
        <v>320</v>
      </c>
      <c r="DY81" s="55">
        <v>283</v>
      </c>
      <c r="DZ81" s="56">
        <v>320</v>
      </c>
      <c r="EA81" s="55">
        <v>297</v>
      </c>
      <c r="EB81" s="56">
        <v>320</v>
      </c>
      <c r="EC81" s="55">
        <v>327</v>
      </c>
      <c r="ED81" s="56">
        <v>325</v>
      </c>
      <c r="EE81" s="55">
        <v>257</v>
      </c>
      <c r="EF81" s="56">
        <v>330</v>
      </c>
      <c r="EG81" s="55">
        <v>262</v>
      </c>
      <c r="EH81" s="56">
        <v>330</v>
      </c>
      <c r="EI81" s="55">
        <v>278</v>
      </c>
      <c r="EJ81" s="56">
        <v>330</v>
      </c>
      <c r="EK81" s="55">
        <v>309</v>
      </c>
      <c r="EL81" s="56">
        <v>340</v>
      </c>
      <c r="EM81" s="55">
        <v>262</v>
      </c>
      <c r="EN81" s="56">
        <v>340</v>
      </c>
      <c r="EO81" s="55">
        <v>280</v>
      </c>
      <c r="EP81" s="56">
        <v>340</v>
      </c>
      <c r="EQ81" s="55">
        <v>303</v>
      </c>
      <c r="ER81" s="56">
        <v>350</v>
      </c>
      <c r="ES81" s="55">
        <v>334</v>
      </c>
      <c r="ET81" s="56">
        <v>350</v>
      </c>
      <c r="EU81" s="55">
        <v>296</v>
      </c>
      <c r="EV81" s="56">
        <v>350</v>
      </c>
      <c r="EW81" s="55">
        <v>307</v>
      </c>
      <c r="EX81" s="56">
        <v>350</v>
      </c>
      <c r="EY81" s="55">
        <v>294</v>
      </c>
      <c r="EZ81" s="56">
        <v>350</v>
      </c>
      <c r="FA81" s="55">
        <v>351</v>
      </c>
      <c r="FB81" s="56">
        <v>360</v>
      </c>
      <c r="FC81" s="55">
        <v>305</v>
      </c>
      <c r="FD81" s="56">
        <v>355</v>
      </c>
      <c r="FE81" s="55">
        <v>341</v>
      </c>
      <c r="FF81" s="56">
        <v>350</v>
      </c>
      <c r="FG81" s="55">
        <v>318</v>
      </c>
      <c r="FH81" s="56">
        <v>358</v>
      </c>
      <c r="FI81" s="55">
        <v>335</v>
      </c>
      <c r="FJ81" s="56">
        <v>350</v>
      </c>
      <c r="FK81" s="55">
        <v>347</v>
      </c>
      <c r="FL81" s="56">
        <v>355</v>
      </c>
      <c r="FM81" s="55">
        <v>343</v>
      </c>
      <c r="FN81" s="56">
        <v>360</v>
      </c>
      <c r="FO81" s="55">
        <v>286</v>
      </c>
      <c r="FP81" s="56">
        <v>360</v>
      </c>
      <c r="FQ81" s="55">
        <v>230</v>
      </c>
      <c r="FR81" s="56">
        <v>360</v>
      </c>
      <c r="FS81" s="55">
        <v>276</v>
      </c>
      <c r="FT81" s="56">
        <v>360</v>
      </c>
      <c r="FU81" s="55">
        <v>285</v>
      </c>
      <c r="FV81" s="56">
        <v>370</v>
      </c>
      <c r="FW81" s="55">
        <v>223</v>
      </c>
      <c r="FX81" s="56">
        <v>380</v>
      </c>
      <c r="FY81" s="55">
        <v>290</v>
      </c>
      <c r="FZ81" s="56">
        <v>380</v>
      </c>
      <c r="GA81" s="55">
        <v>264</v>
      </c>
      <c r="GB81" s="56">
        <v>390</v>
      </c>
      <c r="GC81" s="55">
        <v>263</v>
      </c>
      <c r="GD81" s="56">
        <v>395</v>
      </c>
      <c r="GE81" s="55">
        <v>264</v>
      </c>
      <c r="GF81" s="56">
        <v>400</v>
      </c>
      <c r="GG81" s="55">
        <v>241</v>
      </c>
      <c r="GH81" s="56">
        <v>420</v>
      </c>
      <c r="GI81" s="55">
        <v>246</v>
      </c>
      <c r="GJ81" s="56">
        <v>420</v>
      </c>
      <c r="GK81" s="55">
        <v>228</v>
      </c>
      <c r="GL81" s="56">
        <v>430</v>
      </c>
      <c r="GM81" s="55">
        <v>237</v>
      </c>
      <c r="GN81" s="56">
        <v>450</v>
      </c>
      <c r="GO81" s="55">
        <v>244</v>
      </c>
      <c r="GP81" s="56">
        <v>470</v>
      </c>
      <c r="GQ81" s="55">
        <v>222</v>
      </c>
      <c r="GR81" s="56">
        <v>485</v>
      </c>
      <c r="GS81" s="55">
        <v>174</v>
      </c>
      <c r="GT81" s="56">
        <v>500</v>
      </c>
      <c r="GU81" s="55">
        <v>223</v>
      </c>
      <c r="GV81" s="56">
        <v>520</v>
      </c>
      <c r="GW81" s="55">
        <v>216</v>
      </c>
      <c r="GX81" s="56">
        <v>520</v>
      </c>
      <c r="GY81" s="55">
        <v>246</v>
      </c>
      <c r="GZ81" s="56">
        <v>530</v>
      </c>
      <c r="HA81">
        <v>237</v>
      </c>
      <c r="HB81" s="56">
        <v>535</v>
      </c>
      <c r="HC81">
        <v>229</v>
      </c>
      <c r="HD81" s="56">
        <v>540</v>
      </c>
      <c r="HE81">
        <v>283</v>
      </c>
      <c r="HF81" s="56">
        <v>540</v>
      </c>
    </row>
    <row r="82" spans="1:214" x14ac:dyDescent="0.25">
      <c r="A82" s="53"/>
      <c r="B82" s="54" t="s">
        <v>819</v>
      </c>
      <c r="C82" s="55">
        <v>429</v>
      </c>
      <c r="D82" s="56">
        <v>165</v>
      </c>
      <c r="E82" s="55">
        <v>500</v>
      </c>
      <c r="F82" s="56">
        <v>166</v>
      </c>
      <c r="G82" s="55">
        <v>460</v>
      </c>
      <c r="H82" s="56">
        <v>170</v>
      </c>
      <c r="I82" s="55">
        <v>467</v>
      </c>
      <c r="J82" s="56">
        <v>175</v>
      </c>
      <c r="K82" s="55">
        <v>466</v>
      </c>
      <c r="L82" s="56">
        <v>170</v>
      </c>
      <c r="M82" s="55">
        <v>513</v>
      </c>
      <c r="N82" s="56">
        <v>175</v>
      </c>
      <c r="O82" s="55">
        <v>467</v>
      </c>
      <c r="P82" s="56">
        <v>175</v>
      </c>
      <c r="Q82" s="55">
        <v>464</v>
      </c>
      <c r="R82" s="56">
        <v>175</v>
      </c>
      <c r="S82" s="55">
        <v>466</v>
      </c>
      <c r="T82" s="56">
        <v>175</v>
      </c>
      <c r="U82" s="55">
        <v>503</v>
      </c>
      <c r="V82" s="56">
        <v>180</v>
      </c>
      <c r="W82" s="55">
        <v>496</v>
      </c>
      <c r="X82" s="56">
        <v>180</v>
      </c>
      <c r="Y82" s="55">
        <v>527</v>
      </c>
      <c r="Z82" s="56">
        <v>180</v>
      </c>
      <c r="AA82" s="55">
        <v>491</v>
      </c>
      <c r="AB82" s="56">
        <v>185</v>
      </c>
      <c r="AC82" s="55">
        <v>516</v>
      </c>
      <c r="AD82" s="56">
        <v>185</v>
      </c>
      <c r="AE82" s="55">
        <v>547</v>
      </c>
      <c r="AF82" s="56">
        <v>185</v>
      </c>
      <c r="AG82" s="55">
        <v>546</v>
      </c>
      <c r="AH82" s="56">
        <v>185</v>
      </c>
      <c r="AI82" s="55">
        <v>578</v>
      </c>
      <c r="AJ82" s="56">
        <v>185</v>
      </c>
      <c r="AK82" s="55">
        <v>640</v>
      </c>
      <c r="AL82" s="56">
        <v>190</v>
      </c>
      <c r="AM82" s="55">
        <v>662</v>
      </c>
      <c r="AN82" s="56">
        <v>190</v>
      </c>
      <c r="AO82" s="55">
        <v>632</v>
      </c>
      <c r="AP82" s="56">
        <v>190</v>
      </c>
      <c r="AQ82" s="55">
        <v>500</v>
      </c>
      <c r="AR82" s="56">
        <v>200</v>
      </c>
      <c r="AS82" s="55">
        <v>591</v>
      </c>
      <c r="AT82" s="56">
        <v>195</v>
      </c>
      <c r="AU82" s="55">
        <v>593</v>
      </c>
      <c r="AV82" s="56">
        <v>200</v>
      </c>
      <c r="AW82" s="55">
        <v>613</v>
      </c>
      <c r="AX82" s="56">
        <v>200</v>
      </c>
      <c r="AY82" s="55">
        <v>573</v>
      </c>
      <c r="AZ82" s="56">
        <v>200</v>
      </c>
      <c r="BA82" s="55">
        <v>568</v>
      </c>
      <c r="BB82" s="56">
        <v>205</v>
      </c>
      <c r="BC82" s="55">
        <v>547</v>
      </c>
      <c r="BD82" s="56">
        <v>210</v>
      </c>
      <c r="BE82" s="55">
        <v>605</v>
      </c>
      <c r="BF82" s="56">
        <v>210</v>
      </c>
      <c r="BG82" s="55">
        <v>503</v>
      </c>
      <c r="BH82" s="56">
        <v>210</v>
      </c>
      <c r="BI82" s="55">
        <v>533</v>
      </c>
      <c r="BJ82" s="56">
        <v>215</v>
      </c>
      <c r="BK82" s="55">
        <v>501</v>
      </c>
      <c r="BL82" s="56">
        <v>221</v>
      </c>
      <c r="BM82" s="55">
        <v>616</v>
      </c>
      <c r="BN82" s="56">
        <v>225</v>
      </c>
      <c r="BO82" s="55">
        <v>525</v>
      </c>
      <c r="BP82" s="56">
        <v>230</v>
      </c>
      <c r="BQ82" s="55">
        <v>534</v>
      </c>
      <c r="BR82" s="56">
        <v>240</v>
      </c>
      <c r="BS82" s="55">
        <v>544</v>
      </c>
      <c r="BT82" s="56">
        <v>245</v>
      </c>
      <c r="BU82" s="55">
        <v>596</v>
      </c>
      <c r="BV82" s="56">
        <v>254</v>
      </c>
      <c r="BW82" s="55">
        <v>580</v>
      </c>
      <c r="BX82" s="56">
        <v>260</v>
      </c>
      <c r="BY82" s="55">
        <v>532</v>
      </c>
      <c r="BZ82" s="56">
        <v>270</v>
      </c>
      <c r="CA82" s="55">
        <v>530</v>
      </c>
      <c r="CB82" s="56">
        <v>270</v>
      </c>
      <c r="CC82" s="55">
        <v>553</v>
      </c>
      <c r="CD82" s="56">
        <v>280</v>
      </c>
      <c r="CE82" s="55">
        <v>548</v>
      </c>
      <c r="CF82" s="56">
        <v>280</v>
      </c>
      <c r="CG82" s="55">
        <v>640</v>
      </c>
      <c r="CH82" s="56">
        <v>280</v>
      </c>
      <c r="CI82" s="55">
        <v>569</v>
      </c>
      <c r="CJ82" s="56">
        <v>290</v>
      </c>
      <c r="CK82" s="55">
        <v>599</v>
      </c>
      <c r="CL82" s="56">
        <v>300</v>
      </c>
      <c r="CM82" s="55">
        <v>610</v>
      </c>
      <c r="CN82" s="56">
        <v>300</v>
      </c>
      <c r="CO82" s="55">
        <v>652</v>
      </c>
      <c r="CP82" s="56">
        <v>310</v>
      </c>
      <c r="CQ82" s="55">
        <v>674</v>
      </c>
      <c r="CR82" s="56">
        <v>310</v>
      </c>
      <c r="CS82" s="55">
        <v>616</v>
      </c>
      <c r="CT82" s="56">
        <v>315</v>
      </c>
      <c r="CU82" s="55">
        <v>598</v>
      </c>
      <c r="CV82" s="56">
        <v>315</v>
      </c>
      <c r="CW82" s="55">
        <v>687</v>
      </c>
      <c r="CX82" s="56">
        <v>320</v>
      </c>
      <c r="CY82" s="55">
        <v>620</v>
      </c>
      <c r="CZ82" s="56">
        <v>319</v>
      </c>
      <c r="DA82" s="55">
        <v>674</v>
      </c>
      <c r="DB82" s="56">
        <v>320</v>
      </c>
      <c r="DC82" s="55">
        <v>646</v>
      </c>
      <c r="DD82" s="56">
        <v>320</v>
      </c>
      <c r="DE82" s="55">
        <v>749</v>
      </c>
      <c r="DF82" s="56">
        <v>320</v>
      </c>
      <c r="DG82" s="55">
        <v>691</v>
      </c>
      <c r="DH82" s="56">
        <v>320</v>
      </c>
      <c r="DI82" s="55">
        <v>678</v>
      </c>
      <c r="DJ82" s="56">
        <v>320</v>
      </c>
      <c r="DK82" s="55">
        <v>645</v>
      </c>
      <c r="DL82" s="56">
        <v>320</v>
      </c>
      <c r="DM82" s="55">
        <v>674</v>
      </c>
      <c r="DN82" s="56">
        <v>320</v>
      </c>
      <c r="DO82" s="55">
        <v>647</v>
      </c>
      <c r="DP82" s="56">
        <v>325</v>
      </c>
      <c r="DQ82" s="55">
        <v>658</v>
      </c>
      <c r="DR82" s="56">
        <v>330</v>
      </c>
      <c r="DS82" s="55">
        <v>738</v>
      </c>
      <c r="DT82" s="56">
        <v>330</v>
      </c>
      <c r="DU82" s="55">
        <v>780</v>
      </c>
      <c r="DV82" s="56">
        <v>330</v>
      </c>
      <c r="DW82" s="55">
        <v>734</v>
      </c>
      <c r="DX82" s="56">
        <v>340</v>
      </c>
      <c r="DY82" s="55">
        <v>757</v>
      </c>
      <c r="DZ82" s="56">
        <v>340</v>
      </c>
      <c r="EA82" s="55">
        <v>780</v>
      </c>
      <c r="EB82" s="56">
        <v>340</v>
      </c>
      <c r="EC82" s="55">
        <v>838</v>
      </c>
      <c r="ED82" s="56">
        <v>340</v>
      </c>
      <c r="EE82" s="55">
        <v>767</v>
      </c>
      <c r="EF82" s="56">
        <v>350</v>
      </c>
      <c r="EG82" s="55">
        <v>765</v>
      </c>
      <c r="EH82" s="56">
        <v>350</v>
      </c>
      <c r="EI82" s="55">
        <v>824</v>
      </c>
      <c r="EJ82" s="56">
        <v>350</v>
      </c>
      <c r="EK82" s="55">
        <v>897</v>
      </c>
      <c r="EL82" s="56">
        <v>350</v>
      </c>
      <c r="EM82" s="55">
        <v>825</v>
      </c>
      <c r="EN82" s="56">
        <v>350</v>
      </c>
      <c r="EO82" s="55">
        <v>904</v>
      </c>
      <c r="EP82" s="56">
        <v>355</v>
      </c>
      <c r="EQ82" s="55">
        <v>869</v>
      </c>
      <c r="ER82" s="56">
        <v>360</v>
      </c>
      <c r="ES82" s="55">
        <v>909</v>
      </c>
      <c r="ET82" s="56">
        <v>360</v>
      </c>
      <c r="EU82" s="55">
        <v>831</v>
      </c>
      <c r="EV82" s="56">
        <v>360</v>
      </c>
      <c r="EW82" s="55">
        <v>933</v>
      </c>
      <c r="EX82" s="56">
        <v>360</v>
      </c>
      <c r="EY82" s="55">
        <v>856</v>
      </c>
      <c r="EZ82" s="56">
        <v>365</v>
      </c>
      <c r="FA82" s="55">
        <v>921</v>
      </c>
      <c r="FB82" s="56">
        <v>370</v>
      </c>
      <c r="FC82" s="55">
        <v>875</v>
      </c>
      <c r="FD82" s="56">
        <v>365</v>
      </c>
      <c r="FE82" s="55">
        <v>893</v>
      </c>
      <c r="FF82" s="56">
        <v>370</v>
      </c>
      <c r="FG82" s="55">
        <v>866</v>
      </c>
      <c r="FH82" s="56">
        <v>370</v>
      </c>
      <c r="FI82" s="55">
        <v>970</v>
      </c>
      <c r="FJ82" s="56">
        <v>370</v>
      </c>
      <c r="FK82" s="55">
        <v>855</v>
      </c>
      <c r="FL82" s="56">
        <v>370</v>
      </c>
      <c r="FM82" s="55">
        <v>857</v>
      </c>
      <c r="FN82" s="56">
        <v>375</v>
      </c>
      <c r="FO82" s="55">
        <v>783</v>
      </c>
      <c r="FP82" s="56">
        <v>370</v>
      </c>
      <c r="FQ82" s="55">
        <v>660</v>
      </c>
      <c r="FR82" s="56">
        <v>375</v>
      </c>
      <c r="FS82" s="55">
        <v>733</v>
      </c>
      <c r="FT82" s="56">
        <v>380</v>
      </c>
      <c r="FU82" s="55">
        <v>758</v>
      </c>
      <c r="FV82" s="56">
        <v>380</v>
      </c>
      <c r="FW82" s="55">
        <v>674</v>
      </c>
      <c r="FX82" s="56">
        <v>390</v>
      </c>
      <c r="FY82" s="55">
        <v>773</v>
      </c>
      <c r="FZ82" s="56">
        <v>390</v>
      </c>
      <c r="GA82" s="55">
        <v>783</v>
      </c>
      <c r="GB82" s="56">
        <v>400</v>
      </c>
      <c r="GC82" s="55">
        <v>787</v>
      </c>
      <c r="GD82" s="56">
        <v>400</v>
      </c>
      <c r="GE82" s="55">
        <v>758</v>
      </c>
      <c r="GF82" s="56">
        <v>410</v>
      </c>
      <c r="GG82" s="55">
        <v>779</v>
      </c>
      <c r="GH82" s="56">
        <v>425</v>
      </c>
      <c r="GI82" s="55">
        <v>795</v>
      </c>
      <c r="GJ82" s="56">
        <v>430</v>
      </c>
      <c r="GK82" s="55">
        <v>788</v>
      </c>
      <c r="GL82" s="56">
        <v>450</v>
      </c>
      <c r="GM82" s="55">
        <v>800</v>
      </c>
      <c r="GN82" s="56">
        <v>460</v>
      </c>
      <c r="GO82" s="55">
        <v>692</v>
      </c>
      <c r="GP82" s="56">
        <v>480</v>
      </c>
      <c r="GQ82" s="55">
        <v>717</v>
      </c>
      <c r="GR82" s="56">
        <v>500</v>
      </c>
      <c r="GS82" s="55">
        <v>734</v>
      </c>
      <c r="GT82" s="56">
        <v>520</v>
      </c>
      <c r="GU82" s="55">
        <v>784</v>
      </c>
      <c r="GV82" s="56">
        <v>530</v>
      </c>
      <c r="GW82" s="55">
        <v>757</v>
      </c>
      <c r="GX82" s="56">
        <v>550</v>
      </c>
      <c r="GY82" s="55">
        <v>761</v>
      </c>
      <c r="GZ82" s="56">
        <v>550</v>
      </c>
      <c r="HA82">
        <v>798</v>
      </c>
      <c r="HB82" s="56">
        <v>550</v>
      </c>
      <c r="HC82">
        <v>833</v>
      </c>
      <c r="HD82" s="56">
        <v>550</v>
      </c>
      <c r="HE82">
        <v>832</v>
      </c>
      <c r="HF82" s="56">
        <v>550</v>
      </c>
    </row>
    <row r="83" spans="1:214" x14ac:dyDescent="0.25">
      <c r="A83" s="53"/>
      <c r="B83" s="54" t="s">
        <v>820</v>
      </c>
      <c r="C83" s="55">
        <v>311</v>
      </c>
      <c r="D83" s="56">
        <v>160</v>
      </c>
      <c r="E83" s="55">
        <v>327</v>
      </c>
      <c r="F83" s="56">
        <v>165</v>
      </c>
      <c r="G83" s="55">
        <v>313</v>
      </c>
      <c r="H83" s="56">
        <v>160</v>
      </c>
      <c r="I83" s="55">
        <v>339</v>
      </c>
      <c r="J83" s="56">
        <v>165</v>
      </c>
      <c r="K83" s="55">
        <v>322</v>
      </c>
      <c r="L83" s="56">
        <v>165</v>
      </c>
      <c r="M83" s="55">
        <v>352</v>
      </c>
      <c r="N83" s="56">
        <v>170</v>
      </c>
      <c r="O83" s="55">
        <v>298</v>
      </c>
      <c r="P83" s="56">
        <v>170</v>
      </c>
      <c r="Q83" s="55">
        <v>307</v>
      </c>
      <c r="R83" s="56">
        <v>170</v>
      </c>
      <c r="S83" s="55">
        <v>311</v>
      </c>
      <c r="T83" s="56">
        <v>175</v>
      </c>
      <c r="U83" s="55">
        <v>346</v>
      </c>
      <c r="V83" s="56">
        <v>175</v>
      </c>
      <c r="W83" s="55">
        <v>340</v>
      </c>
      <c r="X83" s="56">
        <v>175</v>
      </c>
      <c r="Y83" s="55">
        <v>317</v>
      </c>
      <c r="Z83" s="56">
        <v>180</v>
      </c>
      <c r="AA83" s="55">
        <v>355</v>
      </c>
      <c r="AB83" s="56">
        <v>180</v>
      </c>
      <c r="AC83" s="55">
        <v>357</v>
      </c>
      <c r="AD83" s="56">
        <v>185</v>
      </c>
      <c r="AE83" s="55">
        <v>378</v>
      </c>
      <c r="AF83" s="56">
        <v>185</v>
      </c>
      <c r="AG83" s="55">
        <v>382</v>
      </c>
      <c r="AH83" s="56">
        <v>190</v>
      </c>
      <c r="AI83" s="55">
        <v>411</v>
      </c>
      <c r="AJ83" s="56">
        <v>190</v>
      </c>
      <c r="AK83" s="55">
        <v>421</v>
      </c>
      <c r="AL83" s="56">
        <v>190</v>
      </c>
      <c r="AM83" s="55">
        <v>417</v>
      </c>
      <c r="AN83" s="56">
        <v>190</v>
      </c>
      <c r="AO83" s="55">
        <v>392</v>
      </c>
      <c r="AP83" s="56">
        <v>190</v>
      </c>
      <c r="AQ83" s="55">
        <v>341</v>
      </c>
      <c r="AR83" s="56">
        <v>200</v>
      </c>
      <c r="AS83" s="55">
        <v>379</v>
      </c>
      <c r="AT83" s="56">
        <v>195</v>
      </c>
      <c r="AU83" s="55">
        <v>348</v>
      </c>
      <c r="AV83" s="56">
        <v>200</v>
      </c>
      <c r="AW83" s="55">
        <v>402</v>
      </c>
      <c r="AX83" s="56">
        <v>200</v>
      </c>
      <c r="AY83" s="55">
        <v>387</v>
      </c>
      <c r="AZ83" s="56">
        <v>200</v>
      </c>
      <c r="BA83" s="55">
        <v>383</v>
      </c>
      <c r="BB83" s="56">
        <v>200</v>
      </c>
      <c r="BC83" s="55">
        <v>332</v>
      </c>
      <c r="BD83" s="56">
        <v>205</v>
      </c>
      <c r="BE83" s="55">
        <v>360</v>
      </c>
      <c r="BF83" s="56">
        <v>210</v>
      </c>
      <c r="BG83" s="55">
        <v>365</v>
      </c>
      <c r="BH83" s="56">
        <v>210</v>
      </c>
      <c r="BI83" s="55">
        <v>410</v>
      </c>
      <c r="BJ83" s="56">
        <v>218</v>
      </c>
      <c r="BK83" s="55">
        <v>355</v>
      </c>
      <c r="BL83" s="56">
        <v>220</v>
      </c>
      <c r="BM83" s="55">
        <v>391</v>
      </c>
      <c r="BN83" s="56">
        <v>220</v>
      </c>
      <c r="BO83" s="55">
        <v>392</v>
      </c>
      <c r="BP83" s="56">
        <v>230</v>
      </c>
      <c r="BQ83" s="55">
        <v>453</v>
      </c>
      <c r="BR83" s="56">
        <v>235</v>
      </c>
      <c r="BS83" s="55">
        <v>385</v>
      </c>
      <c r="BT83" s="56">
        <v>240</v>
      </c>
      <c r="BU83" s="55">
        <v>458</v>
      </c>
      <c r="BV83" s="56">
        <v>250</v>
      </c>
      <c r="BW83" s="55">
        <v>430</v>
      </c>
      <c r="BX83" s="56">
        <v>253</v>
      </c>
      <c r="BY83" s="55">
        <v>463</v>
      </c>
      <c r="BZ83" s="56">
        <v>260</v>
      </c>
      <c r="CA83" s="55">
        <v>392</v>
      </c>
      <c r="CB83" s="56">
        <v>270</v>
      </c>
      <c r="CC83" s="55">
        <v>367</v>
      </c>
      <c r="CD83" s="56">
        <v>275</v>
      </c>
      <c r="CE83" s="55">
        <v>398</v>
      </c>
      <c r="CF83" s="56">
        <v>273</v>
      </c>
      <c r="CG83" s="55">
        <v>425</v>
      </c>
      <c r="CH83" s="56">
        <v>280</v>
      </c>
      <c r="CI83" s="55">
        <v>411</v>
      </c>
      <c r="CJ83" s="56">
        <v>280</v>
      </c>
      <c r="CK83" s="55">
        <v>427</v>
      </c>
      <c r="CL83" s="56">
        <v>290</v>
      </c>
      <c r="CM83" s="55">
        <v>415</v>
      </c>
      <c r="CN83" s="56">
        <v>300</v>
      </c>
      <c r="CO83" s="55">
        <v>482</v>
      </c>
      <c r="CP83" s="56">
        <v>300</v>
      </c>
      <c r="CQ83" s="55">
        <v>400</v>
      </c>
      <c r="CR83" s="56">
        <v>310</v>
      </c>
      <c r="CS83" s="55">
        <v>402</v>
      </c>
      <c r="CT83" s="56">
        <v>310</v>
      </c>
      <c r="CU83" s="55">
        <v>430</v>
      </c>
      <c r="CV83" s="56">
        <v>320</v>
      </c>
      <c r="CW83" s="55">
        <v>509</v>
      </c>
      <c r="CX83" s="56">
        <v>310</v>
      </c>
      <c r="CY83" s="55">
        <v>450</v>
      </c>
      <c r="CZ83" s="56">
        <v>310</v>
      </c>
      <c r="DA83" s="55">
        <v>469</v>
      </c>
      <c r="DB83" s="56">
        <v>310</v>
      </c>
      <c r="DC83" s="55">
        <v>474</v>
      </c>
      <c r="DD83" s="56">
        <v>315</v>
      </c>
      <c r="DE83" s="55">
        <v>481</v>
      </c>
      <c r="DF83" s="56">
        <v>310</v>
      </c>
      <c r="DG83" s="55">
        <v>442</v>
      </c>
      <c r="DH83" s="56">
        <v>320</v>
      </c>
      <c r="DI83" s="55">
        <v>477</v>
      </c>
      <c r="DJ83" s="56">
        <v>310</v>
      </c>
      <c r="DK83" s="55">
        <v>474</v>
      </c>
      <c r="DL83" s="56">
        <v>315</v>
      </c>
      <c r="DM83" s="55">
        <v>460</v>
      </c>
      <c r="DN83" s="56">
        <v>320</v>
      </c>
      <c r="DO83" s="55">
        <v>445</v>
      </c>
      <c r="DP83" s="56">
        <v>320</v>
      </c>
      <c r="DQ83" s="55">
        <v>437</v>
      </c>
      <c r="DR83" s="56">
        <v>320</v>
      </c>
      <c r="DS83" s="55">
        <v>420</v>
      </c>
      <c r="DT83" s="56">
        <v>330</v>
      </c>
      <c r="DU83" s="55">
        <v>452</v>
      </c>
      <c r="DV83" s="56">
        <v>325</v>
      </c>
      <c r="DW83" s="55">
        <v>483</v>
      </c>
      <c r="DX83" s="56">
        <v>330</v>
      </c>
      <c r="DY83" s="55">
        <v>397</v>
      </c>
      <c r="DZ83" s="56">
        <v>330</v>
      </c>
      <c r="EA83" s="55">
        <v>405</v>
      </c>
      <c r="EB83" s="56">
        <v>340</v>
      </c>
      <c r="EC83" s="55">
        <v>433</v>
      </c>
      <c r="ED83" s="56">
        <v>340</v>
      </c>
      <c r="EE83" s="55">
        <v>414</v>
      </c>
      <c r="EF83" s="56">
        <v>350</v>
      </c>
      <c r="EG83" s="55">
        <v>451</v>
      </c>
      <c r="EH83" s="56">
        <v>350</v>
      </c>
      <c r="EI83" s="55">
        <v>422</v>
      </c>
      <c r="EJ83" s="56">
        <v>350</v>
      </c>
      <c r="EK83" s="55">
        <v>450</v>
      </c>
      <c r="EL83" s="56">
        <v>357</v>
      </c>
      <c r="EM83" s="55">
        <v>411</v>
      </c>
      <c r="EN83" s="56">
        <v>360</v>
      </c>
      <c r="EO83" s="55">
        <v>432</v>
      </c>
      <c r="EP83" s="56">
        <v>360</v>
      </c>
      <c r="EQ83" s="55">
        <v>410</v>
      </c>
      <c r="ER83" s="56">
        <v>368</v>
      </c>
      <c r="ES83" s="55">
        <v>468</v>
      </c>
      <c r="ET83" s="56">
        <v>370</v>
      </c>
      <c r="EU83" s="55">
        <v>433</v>
      </c>
      <c r="EV83" s="56">
        <v>375</v>
      </c>
      <c r="EW83" s="55">
        <v>423</v>
      </c>
      <c r="EX83" s="56">
        <v>380</v>
      </c>
      <c r="EY83" s="55">
        <v>398</v>
      </c>
      <c r="EZ83" s="56">
        <v>380</v>
      </c>
      <c r="FA83" s="55">
        <v>445</v>
      </c>
      <c r="FB83" s="56">
        <v>380</v>
      </c>
      <c r="FC83" s="55">
        <v>447</v>
      </c>
      <c r="FD83" s="56">
        <v>390</v>
      </c>
      <c r="FE83" s="55">
        <v>419</v>
      </c>
      <c r="FF83" s="56">
        <v>380</v>
      </c>
      <c r="FG83" s="55">
        <v>420</v>
      </c>
      <c r="FH83" s="56">
        <v>380</v>
      </c>
      <c r="FI83" s="55">
        <v>456</v>
      </c>
      <c r="FJ83" s="56">
        <v>380</v>
      </c>
      <c r="FK83" s="55">
        <v>425</v>
      </c>
      <c r="FL83" s="56">
        <v>390</v>
      </c>
      <c r="FM83" s="55">
        <v>410</v>
      </c>
      <c r="FN83" s="56">
        <v>390</v>
      </c>
      <c r="FO83" s="55">
        <v>378</v>
      </c>
      <c r="FP83" s="56">
        <v>390</v>
      </c>
      <c r="FQ83" s="55">
        <v>322</v>
      </c>
      <c r="FR83" s="56">
        <v>390</v>
      </c>
      <c r="FS83" s="55">
        <v>346</v>
      </c>
      <c r="FT83" s="56">
        <v>400</v>
      </c>
      <c r="FU83" s="55">
        <v>324</v>
      </c>
      <c r="FV83" s="56">
        <v>410</v>
      </c>
      <c r="FW83" s="55">
        <v>329</v>
      </c>
      <c r="FX83" s="56">
        <v>430</v>
      </c>
      <c r="FY83" s="55">
        <v>350</v>
      </c>
      <c r="FZ83" s="56">
        <v>422</v>
      </c>
      <c r="GA83" s="55">
        <v>332</v>
      </c>
      <c r="GB83" s="56">
        <v>440</v>
      </c>
      <c r="GC83" s="55">
        <v>321</v>
      </c>
      <c r="GD83" s="56">
        <v>450</v>
      </c>
      <c r="GE83" s="55">
        <v>331</v>
      </c>
      <c r="GF83" s="56">
        <v>450</v>
      </c>
      <c r="GG83" s="55">
        <v>328</v>
      </c>
      <c r="GH83" s="56">
        <v>460</v>
      </c>
      <c r="GI83" s="55">
        <v>290</v>
      </c>
      <c r="GJ83" s="56">
        <v>473</v>
      </c>
      <c r="GK83" s="55">
        <v>342</v>
      </c>
      <c r="GL83" s="56">
        <v>475</v>
      </c>
      <c r="GM83" s="55">
        <v>295</v>
      </c>
      <c r="GN83" s="56">
        <v>495</v>
      </c>
      <c r="GO83" s="55">
        <v>345</v>
      </c>
      <c r="GP83" s="56">
        <v>499</v>
      </c>
      <c r="GQ83" s="55">
        <v>286</v>
      </c>
      <c r="GR83" s="56">
        <v>520</v>
      </c>
      <c r="GS83" s="55">
        <v>245</v>
      </c>
      <c r="GT83" s="56">
        <v>540</v>
      </c>
      <c r="GU83" s="55">
        <v>312</v>
      </c>
      <c r="GV83" s="56">
        <v>540</v>
      </c>
      <c r="GW83" s="55">
        <v>311</v>
      </c>
      <c r="GX83" s="56">
        <v>550</v>
      </c>
      <c r="GY83" s="55">
        <v>300</v>
      </c>
      <c r="GZ83" s="56">
        <v>550</v>
      </c>
      <c r="HA83">
        <v>328</v>
      </c>
      <c r="HB83" s="56">
        <v>560</v>
      </c>
      <c r="HC83">
        <v>364</v>
      </c>
      <c r="HD83" s="56">
        <v>560</v>
      </c>
      <c r="HE83">
        <v>375</v>
      </c>
      <c r="HF83" s="56">
        <v>575</v>
      </c>
    </row>
    <row r="84" spans="1:214" x14ac:dyDescent="0.25">
      <c r="A84" s="53"/>
      <c r="B84" s="54" t="s">
        <v>821</v>
      </c>
      <c r="C84" s="55">
        <v>176</v>
      </c>
      <c r="D84" s="56">
        <v>250</v>
      </c>
      <c r="E84" s="55">
        <v>219</v>
      </c>
      <c r="F84" s="56">
        <v>250</v>
      </c>
      <c r="G84" s="55">
        <v>196</v>
      </c>
      <c r="H84" s="56">
        <v>248</v>
      </c>
      <c r="I84" s="55">
        <v>205</v>
      </c>
      <c r="J84" s="56">
        <v>255</v>
      </c>
      <c r="K84" s="55">
        <v>171</v>
      </c>
      <c r="L84" s="56">
        <v>250</v>
      </c>
      <c r="M84" s="55">
        <v>227</v>
      </c>
      <c r="N84" s="56">
        <v>255</v>
      </c>
      <c r="O84" s="55">
        <v>189</v>
      </c>
      <c r="P84" s="56">
        <v>260</v>
      </c>
      <c r="Q84" s="55">
        <v>256</v>
      </c>
      <c r="R84" s="56">
        <v>265</v>
      </c>
      <c r="S84" s="55">
        <v>165</v>
      </c>
      <c r="T84" s="56">
        <v>275</v>
      </c>
      <c r="U84" s="55">
        <v>204</v>
      </c>
      <c r="V84" s="56">
        <v>280</v>
      </c>
      <c r="W84" s="55">
        <v>199</v>
      </c>
      <c r="X84" s="56">
        <v>270</v>
      </c>
      <c r="Y84" s="55">
        <v>225</v>
      </c>
      <c r="Z84" s="56">
        <v>270</v>
      </c>
      <c r="AA84" s="55">
        <v>181</v>
      </c>
      <c r="AB84" s="56">
        <v>295</v>
      </c>
      <c r="AC84" s="55">
        <v>190</v>
      </c>
      <c r="AD84" s="56">
        <v>280</v>
      </c>
      <c r="AE84" s="55">
        <v>176</v>
      </c>
      <c r="AF84" s="56">
        <v>280</v>
      </c>
      <c r="AG84" s="55">
        <v>202</v>
      </c>
      <c r="AH84" s="56">
        <v>288</v>
      </c>
      <c r="AI84" s="55">
        <v>188</v>
      </c>
      <c r="AJ84" s="56">
        <v>280</v>
      </c>
      <c r="AK84" s="55">
        <v>197</v>
      </c>
      <c r="AL84" s="56">
        <v>295</v>
      </c>
      <c r="AM84" s="55">
        <v>185</v>
      </c>
      <c r="AN84" s="56">
        <v>290</v>
      </c>
      <c r="AO84" s="55">
        <v>224</v>
      </c>
      <c r="AP84" s="56">
        <v>290</v>
      </c>
      <c r="AQ84" s="55">
        <v>142</v>
      </c>
      <c r="AR84" s="56">
        <v>300</v>
      </c>
      <c r="AS84" s="55">
        <v>208</v>
      </c>
      <c r="AT84" s="56">
        <v>300</v>
      </c>
      <c r="AU84" s="55">
        <v>176</v>
      </c>
      <c r="AV84" s="56">
        <v>290</v>
      </c>
      <c r="AW84" s="55">
        <v>211</v>
      </c>
      <c r="AX84" s="56">
        <v>310</v>
      </c>
      <c r="AY84" s="55">
        <v>189</v>
      </c>
      <c r="AZ84" s="56">
        <v>320</v>
      </c>
      <c r="BA84" s="55">
        <v>186</v>
      </c>
      <c r="BB84" s="56">
        <v>313</v>
      </c>
      <c r="BC84" s="55">
        <v>151</v>
      </c>
      <c r="BD84" s="56">
        <v>320</v>
      </c>
      <c r="BE84" s="55">
        <v>152</v>
      </c>
      <c r="BF84" s="56">
        <v>325</v>
      </c>
      <c r="BG84" s="55">
        <v>145</v>
      </c>
      <c r="BH84" s="56">
        <v>320</v>
      </c>
      <c r="BI84" s="55">
        <v>148</v>
      </c>
      <c r="BJ84" s="56">
        <v>340</v>
      </c>
      <c r="BK84" s="55">
        <v>146</v>
      </c>
      <c r="BL84" s="56">
        <v>353</v>
      </c>
      <c r="BM84" s="55">
        <v>182</v>
      </c>
      <c r="BN84" s="56">
        <v>375</v>
      </c>
      <c r="BO84" s="55">
        <v>139</v>
      </c>
      <c r="BP84" s="56">
        <v>365</v>
      </c>
      <c r="BQ84" s="55">
        <v>155</v>
      </c>
      <c r="BR84" s="56">
        <v>380</v>
      </c>
      <c r="BS84" s="55">
        <v>148</v>
      </c>
      <c r="BT84" s="56">
        <v>410</v>
      </c>
      <c r="BU84" s="55">
        <v>190</v>
      </c>
      <c r="BV84" s="56">
        <v>395</v>
      </c>
      <c r="BW84" s="55">
        <v>157</v>
      </c>
      <c r="BX84" s="56">
        <v>420</v>
      </c>
      <c r="BY84" s="55">
        <v>167</v>
      </c>
      <c r="BZ84" s="56">
        <v>410</v>
      </c>
      <c r="CA84" s="55">
        <v>152</v>
      </c>
      <c r="CB84" s="56">
        <v>410</v>
      </c>
      <c r="CC84" s="55">
        <v>196</v>
      </c>
      <c r="CD84" s="56">
        <v>430</v>
      </c>
      <c r="CE84" s="55">
        <v>171</v>
      </c>
      <c r="CF84" s="56">
        <v>450</v>
      </c>
      <c r="CG84" s="55">
        <v>178</v>
      </c>
      <c r="CH84" s="56">
        <v>450</v>
      </c>
      <c r="CI84" s="55">
        <v>202</v>
      </c>
      <c r="CJ84" s="56">
        <v>445</v>
      </c>
      <c r="CK84" s="55">
        <v>226</v>
      </c>
      <c r="CL84" s="56">
        <v>450</v>
      </c>
      <c r="CM84" s="55">
        <v>184</v>
      </c>
      <c r="CN84" s="56">
        <v>478</v>
      </c>
      <c r="CO84" s="55">
        <v>214</v>
      </c>
      <c r="CP84" s="56">
        <v>470</v>
      </c>
      <c r="CQ84" s="55">
        <v>184</v>
      </c>
      <c r="CR84" s="56">
        <v>450</v>
      </c>
      <c r="CS84" s="55">
        <v>238</v>
      </c>
      <c r="CT84" s="56">
        <v>485</v>
      </c>
      <c r="CU84" s="55">
        <v>169</v>
      </c>
      <c r="CV84" s="56">
        <v>490</v>
      </c>
      <c r="CW84" s="55">
        <v>209</v>
      </c>
      <c r="CX84" s="56">
        <v>480</v>
      </c>
      <c r="CY84" s="55">
        <v>222</v>
      </c>
      <c r="CZ84" s="56">
        <v>470</v>
      </c>
      <c r="DA84" s="55">
        <v>215</v>
      </c>
      <c r="DB84" s="56">
        <v>495</v>
      </c>
      <c r="DC84" s="55">
        <v>177</v>
      </c>
      <c r="DD84" s="56">
        <v>500</v>
      </c>
      <c r="DE84" s="55">
        <v>209</v>
      </c>
      <c r="DF84" s="56">
        <v>510</v>
      </c>
      <c r="DG84" s="55">
        <v>209</v>
      </c>
      <c r="DH84" s="56">
        <v>499</v>
      </c>
      <c r="DI84" s="55">
        <v>256</v>
      </c>
      <c r="DJ84" s="56">
        <v>500</v>
      </c>
      <c r="DK84" s="55">
        <v>199</v>
      </c>
      <c r="DL84" s="56">
        <v>500</v>
      </c>
      <c r="DM84" s="55">
        <v>211</v>
      </c>
      <c r="DN84" s="56">
        <v>490</v>
      </c>
      <c r="DO84" s="55">
        <v>177</v>
      </c>
      <c r="DP84" s="56">
        <v>520</v>
      </c>
      <c r="DQ84" s="55">
        <v>243</v>
      </c>
      <c r="DR84" s="56">
        <v>520</v>
      </c>
      <c r="DS84" s="55">
        <v>204</v>
      </c>
      <c r="DT84" s="56">
        <v>500</v>
      </c>
      <c r="DU84" s="55">
        <v>244</v>
      </c>
      <c r="DV84" s="56">
        <v>500</v>
      </c>
      <c r="DW84" s="55">
        <v>210</v>
      </c>
      <c r="DX84" s="56">
        <v>530</v>
      </c>
      <c r="DY84" s="55">
        <v>254</v>
      </c>
      <c r="DZ84" s="56">
        <v>500</v>
      </c>
      <c r="EA84" s="55">
        <v>228</v>
      </c>
      <c r="EB84" s="56">
        <v>520</v>
      </c>
      <c r="EC84" s="55">
        <v>226</v>
      </c>
      <c r="ED84" s="56">
        <v>520</v>
      </c>
      <c r="EE84" s="55">
        <v>256</v>
      </c>
      <c r="EF84" s="56">
        <v>545</v>
      </c>
      <c r="EG84" s="55">
        <v>268</v>
      </c>
      <c r="EH84" s="56">
        <v>550</v>
      </c>
      <c r="EI84" s="55">
        <v>205</v>
      </c>
      <c r="EJ84" s="56">
        <v>560</v>
      </c>
      <c r="EK84" s="55">
        <v>280</v>
      </c>
      <c r="EL84" s="56">
        <v>575</v>
      </c>
      <c r="EM84" s="55">
        <v>213</v>
      </c>
      <c r="EN84" s="56">
        <v>560</v>
      </c>
      <c r="EO84" s="55">
        <v>280</v>
      </c>
      <c r="EP84" s="56">
        <v>558</v>
      </c>
      <c r="EQ84" s="55">
        <v>184</v>
      </c>
      <c r="ER84" s="56">
        <v>585</v>
      </c>
      <c r="ES84" s="55">
        <v>198</v>
      </c>
      <c r="ET84" s="56">
        <v>560</v>
      </c>
      <c r="EU84" s="55">
        <v>222</v>
      </c>
      <c r="EV84" s="56">
        <v>600</v>
      </c>
      <c r="EW84" s="55">
        <v>280</v>
      </c>
      <c r="EX84" s="56">
        <v>600</v>
      </c>
      <c r="EY84" s="55">
        <v>195</v>
      </c>
      <c r="EZ84" s="56">
        <v>560</v>
      </c>
      <c r="FA84" s="55">
        <v>199</v>
      </c>
      <c r="FB84" s="56">
        <v>590</v>
      </c>
      <c r="FC84" s="55">
        <v>235</v>
      </c>
      <c r="FD84" s="56">
        <v>600</v>
      </c>
      <c r="FE84" s="55">
        <v>233</v>
      </c>
      <c r="FF84" s="56">
        <v>595</v>
      </c>
      <c r="FG84" s="55">
        <v>188</v>
      </c>
      <c r="FH84" s="56">
        <v>588</v>
      </c>
      <c r="FI84" s="55">
        <v>198</v>
      </c>
      <c r="FJ84" s="56">
        <v>600</v>
      </c>
      <c r="FK84" s="55">
        <v>204</v>
      </c>
      <c r="FL84" s="56">
        <v>600</v>
      </c>
      <c r="FM84" s="55">
        <v>244</v>
      </c>
      <c r="FN84" s="56">
        <v>600</v>
      </c>
      <c r="FO84" s="55">
        <v>179</v>
      </c>
      <c r="FP84" s="56">
        <v>595</v>
      </c>
      <c r="FQ84" s="55">
        <v>174</v>
      </c>
      <c r="FR84" s="56">
        <v>580</v>
      </c>
      <c r="FS84" s="55">
        <v>162</v>
      </c>
      <c r="FT84" s="56">
        <v>595</v>
      </c>
      <c r="FU84" s="55">
        <v>225</v>
      </c>
      <c r="FV84" s="56">
        <v>600</v>
      </c>
      <c r="FW84" s="55">
        <v>187</v>
      </c>
      <c r="FX84" s="56">
        <v>600</v>
      </c>
      <c r="FY84" s="55">
        <v>175</v>
      </c>
      <c r="FZ84" s="56">
        <v>630</v>
      </c>
      <c r="GA84" s="55">
        <v>240</v>
      </c>
      <c r="GB84" s="56">
        <v>620</v>
      </c>
      <c r="GC84" s="55">
        <v>226</v>
      </c>
      <c r="GD84" s="56">
        <v>620</v>
      </c>
      <c r="GE84" s="55">
        <v>226</v>
      </c>
      <c r="GF84" s="56">
        <v>650</v>
      </c>
      <c r="GG84" s="55">
        <v>185</v>
      </c>
      <c r="GH84" s="56">
        <v>630</v>
      </c>
      <c r="GI84" s="55">
        <v>187</v>
      </c>
      <c r="GJ84" s="56">
        <v>675</v>
      </c>
      <c r="GK84" s="55">
        <v>182</v>
      </c>
      <c r="GL84" s="56">
        <v>688</v>
      </c>
      <c r="GM84" s="55">
        <v>152</v>
      </c>
      <c r="GN84" s="56">
        <v>723</v>
      </c>
      <c r="GO84" s="55">
        <v>194</v>
      </c>
      <c r="GP84" s="56">
        <v>725</v>
      </c>
      <c r="GQ84" s="55">
        <v>173</v>
      </c>
      <c r="GR84" s="56">
        <v>740</v>
      </c>
      <c r="GS84" s="55">
        <v>134</v>
      </c>
      <c r="GT84" s="56">
        <v>750</v>
      </c>
      <c r="GU84" s="55">
        <v>158</v>
      </c>
      <c r="GV84" s="56">
        <v>773</v>
      </c>
      <c r="GW84" s="55">
        <v>144</v>
      </c>
      <c r="GX84" s="56">
        <v>780</v>
      </c>
      <c r="GY84" s="55">
        <v>180</v>
      </c>
      <c r="GZ84" s="56">
        <v>800</v>
      </c>
      <c r="HA84">
        <v>182</v>
      </c>
      <c r="HB84" s="56">
        <v>765</v>
      </c>
      <c r="HC84">
        <v>150</v>
      </c>
      <c r="HD84" s="56">
        <v>780</v>
      </c>
      <c r="HE84">
        <v>164</v>
      </c>
      <c r="HF84" s="56">
        <v>800</v>
      </c>
    </row>
    <row r="85" spans="1:214" x14ac:dyDescent="0.25">
      <c r="A85" s="53"/>
      <c r="B85" s="54" t="s">
        <v>822</v>
      </c>
      <c r="C85" s="55">
        <v>244</v>
      </c>
      <c r="D85" s="56">
        <v>160</v>
      </c>
      <c r="E85" s="55">
        <v>270</v>
      </c>
      <c r="F85" s="56">
        <v>160</v>
      </c>
      <c r="G85" s="55">
        <v>249</v>
      </c>
      <c r="H85" s="56">
        <v>160</v>
      </c>
      <c r="I85" s="55">
        <v>265</v>
      </c>
      <c r="J85" s="56">
        <v>160</v>
      </c>
      <c r="K85" s="55">
        <v>267</v>
      </c>
      <c r="L85" s="56">
        <v>160</v>
      </c>
      <c r="M85" s="55">
        <v>264</v>
      </c>
      <c r="N85" s="56">
        <v>165</v>
      </c>
      <c r="O85" s="55">
        <v>245</v>
      </c>
      <c r="P85" s="56">
        <v>165</v>
      </c>
      <c r="Q85" s="55">
        <v>265</v>
      </c>
      <c r="R85" s="56">
        <v>165</v>
      </c>
      <c r="S85" s="55">
        <v>236</v>
      </c>
      <c r="T85" s="56">
        <v>165</v>
      </c>
      <c r="U85" s="55">
        <v>257</v>
      </c>
      <c r="V85" s="56">
        <v>165</v>
      </c>
      <c r="W85" s="55">
        <v>236</v>
      </c>
      <c r="X85" s="56">
        <v>170</v>
      </c>
      <c r="Y85" s="55">
        <v>271</v>
      </c>
      <c r="Z85" s="56">
        <v>170</v>
      </c>
      <c r="AA85" s="55">
        <v>236</v>
      </c>
      <c r="AB85" s="56">
        <v>175</v>
      </c>
      <c r="AC85" s="55">
        <v>275</v>
      </c>
      <c r="AD85" s="56">
        <v>175</v>
      </c>
      <c r="AE85" s="55">
        <v>227</v>
      </c>
      <c r="AF85" s="56">
        <v>175</v>
      </c>
      <c r="AG85" s="55">
        <v>273</v>
      </c>
      <c r="AH85" s="56">
        <v>175</v>
      </c>
      <c r="AI85" s="55">
        <v>259</v>
      </c>
      <c r="AJ85" s="56">
        <v>180</v>
      </c>
      <c r="AK85" s="55">
        <v>302</v>
      </c>
      <c r="AL85" s="56">
        <v>180</v>
      </c>
      <c r="AM85" s="55">
        <v>240</v>
      </c>
      <c r="AN85" s="56">
        <v>180</v>
      </c>
      <c r="AO85" s="55">
        <v>282</v>
      </c>
      <c r="AP85" s="56">
        <v>184</v>
      </c>
      <c r="AQ85" s="55">
        <v>215</v>
      </c>
      <c r="AR85" s="56">
        <v>180</v>
      </c>
      <c r="AS85" s="55">
        <v>238</v>
      </c>
      <c r="AT85" s="56">
        <v>188</v>
      </c>
      <c r="AU85" s="55">
        <v>218</v>
      </c>
      <c r="AV85" s="56">
        <v>185</v>
      </c>
      <c r="AW85" s="55">
        <v>248</v>
      </c>
      <c r="AX85" s="56">
        <v>185</v>
      </c>
      <c r="AY85" s="55">
        <v>245</v>
      </c>
      <c r="AZ85" s="56">
        <v>190</v>
      </c>
      <c r="BA85" s="55">
        <v>256</v>
      </c>
      <c r="BB85" s="56">
        <v>193</v>
      </c>
      <c r="BC85" s="55">
        <v>213</v>
      </c>
      <c r="BD85" s="56">
        <v>200</v>
      </c>
      <c r="BE85" s="55">
        <v>229</v>
      </c>
      <c r="BF85" s="56">
        <v>200</v>
      </c>
      <c r="BG85" s="55">
        <v>220</v>
      </c>
      <c r="BH85" s="56">
        <v>205</v>
      </c>
      <c r="BI85" s="55">
        <v>229</v>
      </c>
      <c r="BJ85" s="56">
        <v>210</v>
      </c>
      <c r="BK85" s="55">
        <v>229</v>
      </c>
      <c r="BL85" s="56">
        <v>215</v>
      </c>
      <c r="BM85" s="55">
        <v>228</v>
      </c>
      <c r="BN85" s="56">
        <v>220</v>
      </c>
      <c r="BO85" s="55">
        <v>200</v>
      </c>
      <c r="BP85" s="56">
        <v>240</v>
      </c>
      <c r="BQ85" s="55">
        <v>270</v>
      </c>
      <c r="BR85" s="56">
        <v>240</v>
      </c>
      <c r="BS85" s="55">
        <v>243</v>
      </c>
      <c r="BT85" s="56">
        <v>250</v>
      </c>
      <c r="BU85" s="55">
        <v>312</v>
      </c>
      <c r="BV85" s="56">
        <v>250</v>
      </c>
      <c r="BW85" s="55">
        <v>290</v>
      </c>
      <c r="BX85" s="56">
        <v>270</v>
      </c>
      <c r="BY85" s="55">
        <v>259</v>
      </c>
      <c r="BZ85" s="56">
        <v>280</v>
      </c>
      <c r="CA85" s="55">
        <v>264</v>
      </c>
      <c r="CB85" s="56">
        <v>290</v>
      </c>
      <c r="CC85" s="55">
        <v>267</v>
      </c>
      <c r="CD85" s="56">
        <v>290</v>
      </c>
      <c r="CE85" s="55">
        <v>288</v>
      </c>
      <c r="CF85" s="56">
        <v>290</v>
      </c>
      <c r="CG85" s="55">
        <v>275</v>
      </c>
      <c r="CH85" s="56">
        <v>290</v>
      </c>
      <c r="CI85" s="55">
        <v>269</v>
      </c>
      <c r="CJ85" s="56">
        <v>300</v>
      </c>
      <c r="CK85" s="55">
        <v>285</v>
      </c>
      <c r="CL85" s="56">
        <v>300</v>
      </c>
      <c r="CM85" s="55">
        <v>322</v>
      </c>
      <c r="CN85" s="56">
        <v>310</v>
      </c>
      <c r="CO85" s="55">
        <v>339</v>
      </c>
      <c r="CP85" s="56">
        <v>320</v>
      </c>
      <c r="CQ85" s="55">
        <v>341</v>
      </c>
      <c r="CR85" s="56">
        <v>310</v>
      </c>
      <c r="CS85" s="55">
        <v>354</v>
      </c>
      <c r="CT85" s="56">
        <v>310</v>
      </c>
      <c r="CU85" s="55">
        <v>318</v>
      </c>
      <c r="CV85" s="56">
        <v>320</v>
      </c>
      <c r="CW85" s="55">
        <v>331</v>
      </c>
      <c r="CX85" s="56">
        <v>320</v>
      </c>
      <c r="CY85" s="55">
        <v>371</v>
      </c>
      <c r="CZ85" s="56">
        <v>320</v>
      </c>
      <c r="DA85" s="55">
        <v>311</v>
      </c>
      <c r="DB85" s="56">
        <v>320</v>
      </c>
      <c r="DC85" s="55">
        <v>322</v>
      </c>
      <c r="DD85" s="56">
        <v>320</v>
      </c>
      <c r="DE85" s="55">
        <v>335</v>
      </c>
      <c r="DF85" s="56">
        <v>320</v>
      </c>
      <c r="DG85" s="55">
        <v>337</v>
      </c>
      <c r="DH85" s="56">
        <v>320</v>
      </c>
      <c r="DI85" s="55">
        <v>365</v>
      </c>
      <c r="DJ85" s="56">
        <v>320</v>
      </c>
      <c r="DK85" s="55">
        <v>351</v>
      </c>
      <c r="DL85" s="56">
        <v>323</v>
      </c>
      <c r="DM85" s="55">
        <v>361</v>
      </c>
      <c r="DN85" s="56">
        <v>330</v>
      </c>
      <c r="DO85" s="55">
        <v>311</v>
      </c>
      <c r="DP85" s="56">
        <v>330</v>
      </c>
      <c r="DQ85" s="55">
        <v>323</v>
      </c>
      <c r="DR85" s="56">
        <v>330</v>
      </c>
      <c r="DS85" s="55">
        <v>337</v>
      </c>
      <c r="DT85" s="56">
        <v>340</v>
      </c>
      <c r="DU85" s="55">
        <v>354</v>
      </c>
      <c r="DV85" s="56">
        <v>333</v>
      </c>
      <c r="DW85" s="55">
        <v>334</v>
      </c>
      <c r="DX85" s="56">
        <v>335</v>
      </c>
      <c r="DY85" s="55">
        <v>359</v>
      </c>
      <c r="DZ85" s="56">
        <v>340</v>
      </c>
      <c r="EA85" s="55">
        <v>334</v>
      </c>
      <c r="EB85" s="56">
        <v>350</v>
      </c>
      <c r="EC85" s="55">
        <v>369</v>
      </c>
      <c r="ED85" s="56">
        <v>350</v>
      </c>
      <c r="EE85" s="55">
        <v>362</v>
      </c>
      <c r="EF85" s="56">
        <v>350</v>
      </c>
      <c r="EG85" s="55">
        <v>337</v>
      </c>
      <c r="EH85" s="56">
        <v>350</v>
      </c>
      <c r="EI85" s="55">
        <v>347</v>
      </c>
      <c r="EJ85" s="56">
        <v>360</v>
      </c>
      <c r="EK85" s="55">
        <v>387</v>
      </c>
      <c r="EL85" s="56">
        <v>360</v>
      </c>
      <c r="EM85" s="55">
        <v>373</v>
      </c>
      <c r="EN85" s="56">
        <v>355</v>
      </c>
      <c r="EO85" s="55">
        <v>383</v>
      </c>
      <c r="EP85" s="56">
        <v>365</v>
      </c>
      <c r="EQ85" s="55">
        <v>330</v>
      </c>
      <c r="ER85" s="56">
        <v>370</v>
      </c>
      <c r="ES85" s="55">
        <v>399</v>
      </c>
      <c r="ET85" s="56">
        <v>375</v>
      </c>
      <c r="EU85" s="55">
        <v>356</v>
      </c>
      <c r="EV85" s="56">
        <v>370</v>
      </c>
      <c r="EW85" s="55">
        <v>375</v>
      </c>
      <c r="EX85" s="56">
        <v>380</v>
      </c>
      <c r="EY85" s="55">
        <v>348</v>
      </c>
      <c r="EZ85" s="56">
        <v>380</v>
      </c>
      <c r="FA85" s="55">
        <v>358</v>
      </c>
      <c r="FB85" s="56">
        <v>380</v>
      </c>
      <c r="FC85" s="55">
        <v>348</v>
      </c>
      <c r="FD85" s="56">
        <v>380</v>
      </c>
      <c r="FE85" s="55">
        <v>337</v>
      </c>
      <c r="FF85" s="56">
        <v>380</v>
      </c>
      <c r="FG85" s="55">
        <v>330</v>
      </c>
      <c r="FH85" s="56">
        <v>385</v>
      </c>
      <c r="FI85" s="55">
        <v>369</v>
      </c>
      <c r="FJ85" s="56">
        <v>380</v>
      </c>
      <c r="FK85" s="55">
        <v>346</v>
      </c>
      <c r="FL85" s="56">
        <v>390</v>
      </c>
      <c r="FM85" s="55">
        <v>362</v>
      </c>
      <c r="FN85" s="56">
        <v>400</v>
      </c>
      <c r="FO85" s="55">
        <v>288</v>
      </c>
      <c r="FP85" s="56">
        <v>390</v>
      </c>
      <c r="FQ85" s="55">
        <v>231</v>
      </c>
      <c r="FR85" s="56">
        <v>390</v>
      </c>
      <c r="FS85" s="55">
        <v>284</v>
      </c>
      <c r="FT85" s="56">
        <v>385</v>
      </c>
      <c r="FU85" s="55">
        <v>360</v>
      </c>
      <c r="FV85" s="56">
        <v>390</v>
      </c>
      <c r="FW85" s="55">
        <v>289</v>
      </c>
      <c r="FX85" s="56">
        <v>390</v>
      </c>
      <c r="FY85" s="55">
        <v>336</v>
      </c>
      <c r="FZ85" s="56">
        <v>391</v>
      </c>
      <c r="GA85" s="55">
        <v>337</v>
      </c>
      <c r="GB85" s="56">
        <v>400</v>
      </c>
      <c r="GC85" s="55">
        <v>327</v>
      </c>
      <c r="GD85" s="56">
        <v>400</v>
      </c>
      <c r="GE85" s="55">
        <v>298</v>
      </c>
      <c r="GF85" s="56">
        <v>400</v>
      </c>
      <c r="GG85" s="55">
        <v>283</v>
      </c>
      <c r="GH85" s="56">
        <v>420</v>
      </c>
      <c r="GI85" s="55">
        <v>285</v>
      </c>
      <c r="GJ85" s="56">
        <v>430</v>
      </c>
      <c r="GK85" s="55">
        <v>285</v>
      </c>
      <c r="GL85" s="56">
        <v>450</v>
      </c>
      <c r="GM85" s="55">
        <v>237</v>
      </c>
      <c r="GN85" s="56">
        <v>470</v>
      </c>
      <c r="GO85" s="55">
        <v>246</v>
      </c>
      <c r="GP85" s="56">
        <v>495</v>
      </c>
      <c r="GQ85" s="55">
        <v>229</v>
      </c>
      <c r="GR85" s="56">
        <v>500</v>
      </c>
      <c r="GS85" s="55">
        <v>209</v>
      </c>
      <c r="GT85" s="56">
        <v>550</v>
      </c>
      <c r="GU85" s="55">
        <v>259</v>
      </c>
      <c r="GV85" s="56">
        <v>550</v>
      </c>
      <c r="GW85" s="55">
        <v>238</v>
      </c>
      <c r="GX85" s="56">
        <v>550</v>
      </c>
      <c r="GY85" s="55">
        <v>272</v>
      </c>
      <c r="GZ85" s="56">
        <v>550</v>
      </c>
      <c r="HA85">
        <v>277</v>
      </c>
      <c r="HB85" s="56">
        <v>550</v>
      </c>
      <c r="HC85">
        <v>246</v>
      </c>
      <c r="HD85" s="56">
        <v>550</v>
      </c>
      <c r="HE85">
        <v>249</v>
      </c>
      <c r="HF85" s="56">
        <v>570</v>
      </c>
    </row>
    <row r="86" spans="1:214" x14ac:dyDescent="0.25">
      <c r="A86" s="53"/>
      <c r="B86" s="54" t="s">
        <v>823</v>
      </c>
      <c r="C86" s="55">
        <v>198</v>
      </c>
      <c r="D86" s="56">
        <v>195</v>
      </c>
      <c r="E86" s="55">
        <v>202</v>
      </c>
      <c r="F86" s="56">
        <v>195</v>
      </c>
      <c r="G86" s="55">
        <v>222</v>
      </c>
      <c r="H86" s="56">
        <v>210</v>
      </c>
      <c r="I86" s="55">
        <v>231</v>
      </c>
      <c r="J86" s="56">
        <v>205</v>
      </c>
      <c r="K86" s="55">
        <v>216</v>
      </c>
      <c r="L86" s="56">
        <v>210</v>
      </c>
      <c r="M86" s="55">
        <v>220</v>
      </c>
      <c r="N86" s="56">
        <v>220</v>
      </c>
      <c r="O86" s="55">
        <v>201</v>
      </c>
      <c r="P86" s="56">
        <v>200</v>
      </c>
      <c r="Q86" s="55">
        <v>219</v>
      </c>
      <c r="R86" s="56">
        <v>220</v>
      </c>
      <c r="S86" s="55">
        <v>191</v>
      </c>
      <c r="T86" s="56">
        <v>225</v>
      </c>
      <c r="U86" s="55">
        <v>249</v>
      </c>
      <c r="V86" s="56">
        <v>230</v>
      </c>
      <c r="W86" s="55">
        <v>229</v>
      </c>
      <c r="X86" s="56">
        <v>220</v>
      </c>
      <c r="Y86" s="55">
        <v>250</v>
      </c>
      <c r="Z86" s="56">
        <v>230</v>
      </c>
      <c r="AA86" s="55">
        <v>214</v>
      </c>
      <c r="AB86" s="56">
        <v>225</v>
      </c>
      <c r="AC86" s="55">
        <v>250</v>
      </c>
      <c r="AD86" s="56">
        <v>240</v>
      </c>
      <c r="AE86" s="55">
        <v>241</v>
      </c>
      <c r="AF86" s="56">
        <v>230</v>
      </c>
      <c r="AG86" s="55">
        <v>250</v>
      </c>
      <c r="AH86" s="56">
        <v>240</v>
      </c>
      <c r="AI86" s="55">
        <v>215</v>
      </c>
      <c r="AJ86" s="56">
        <v>240</v>
      </c>
      <c r="AK86" s="55">
        <v>222</v>
      </c>
      <c r="AL86" s="56">
        <v>240</v>
      </c>
      <c r="AM86" s="55">
        <v>273</v>
      </c>
      <c r="AN86" s="56">
        <v>240</v>
      </c>
      <c r="AO86" s="55">
        <v>265</v>
      </c>
      <c r="AP86" s="56">
        <v>250</v>
      </c>
      <c r="AQ86" s="55">
        <v>192</v>
      </c>
      <c r="AR86" s="56">
        <v>240</v>
      </c>
      <c r="AS86" s="55">
        <v>229</v>
      </c>
      <c r="AT86" s="56">
        <v>240</v>
      </c>
      <c r="AU86" s="55">
        <v>216</v>
      </c>
      <c r="AV86" s="56">
        <v>250</v>
      </c>
      <c r="AW86" s="55">
        <v>209</v>
      </c>
      <c r="AX86" s="56">
        <v>260</v>
      </c>
      <c r="AY86" s="55">
        <v>215</v>
      </c>
      <c r="AZ86" s="56">
        <v>255</v>
      </c>
      <c r="BA86" s="55">
        <v>211</v>
      </c>
      <c r="BB86" s="56">
        <v>260</v>
      </c>
      <c r="BC86" s="55">
        <v>196</v>
      </c>
      <c r="BD86" s="56">
        <v>263</v>
      </c>
      <c r="BE86" s="55">
        <v>229</v>
      </c>
      <c r="BF86" s="56">
        <v>270</v>
      </c>
      <c r="BG86" s="55">
        <v>201</v>
      </c>
      <c r="BH86" s="56">
        <v>270</v>
      </c>
      <c r="BI86" s="55">
        <v>210</v>
      </c>
      <c r="BJ86" s="56">
        <v>270</v>
      </c>
      <c r="BK86" s="55">
        <v>185</v>
      </c>
      <c r="BL86" s="56">
        <v>280</v>
      </c>
      <c r="BM86" s="55">
        <v>221</v>
      </c>
      <c r="BN86" s="56">
        <v>300</v>
      </c>
      <c r="BO86" s="55">
        <v>176</v>
      </c>
      <c r="BP86" s="56">
        <v>313</v>
      </c>
      <c r="BQ86" s="55">
        <v>207</v>
      </c>
      <c r="BR86" s="56">
        <v>311</v>
      </c>
      <c r="BS86" s="55">
        <v>217</v>
      </c>
      <c r="BT86" s="56">
        <v>320</v>
      </c>
      <c r="BU86" s="55">
        <v>240</v>
      </c>
      <c r="BV86" s="56">
        <v>348</v>
      </c>
      <c r="BW86" s="55">
        <v>192</v>
      </c>
      <c r="BX86" s="56">
        <v>350</v>
      </c>
      <c r="BY86" s="55">
        <v>207</v>
      </c>
      <c r="BZ86" s="56">
        <v>350</v>
      </c>
      <c r="CA86" s="55">
        <v>190</v>
      </c>
      <c r="CB86" s="56">
        <v>360</v>
      </c>
      <c r="CC86" s="55">
        <v>209</v>
      </c>
      <c r="CD86" s="56">
        <v>360</v>
      </c>
      <c r="CE86" s="55">
        <v>209</v>
      </c>
      <c r="CF86" s="56">
        <v>360</v>
      </c>
      <c r="CG86" s="55">
        <v>216</v>
      </c>
      <c r="CH86" s="56">
        <v>360</v>
      </c>
      <c r="CI86" s="55">
        <v>221</v>
      </c>
      <c r="CJ86" s="56">
        <v>360</v>
      </c>
      <c r="CK86" s="55">
        <v>225</v>
      </c>
      <c r="CL86" s="56">
        <v>375</v>
      </c>
      <c r="CM86" s="55">
        <v>227</v>
      </c>
      <c r="CN86" s="56">
        <v>380</v>
      </c>
      <c r="CO86" s="55">
        <v>236</v>
      </c>
      <c r="CP86" s="56">
        <v>395</v>
      </c>
      <c r="CQ86" s="55">
        <v>243</v>
      </c>
      <c r="CR86" s="56">
        <v>395</v>
      </c>
      <c r="CS86" s="55">
        <v>251</v>
      </c>
      <c r="CT86" s="56">
        <v>381</v>
      </c>
      <c r="CU86" s="55">
        <v>234</v>
      </c>
      <c r="CV86" s="56">
        <v>395</v>
      </c>
      <c r="CW86" s="55">
        <v>277</v>
      </c>
      <c r="CX86" s="56">
        <v>400</v>
      </c>
      <c r="CY86" s="55">
        <v>266</v>
      </c>
      <c r="CZ86" s="56">
        <v>400</v>
      </c>
      <c r="DA86" s="55">
        <v>238</v>
      </c>
      <c r="DB86" s="56">
        <v>400</v>
      </c>
      <c r="DC86" s="55">
        <v>240</v>
      </c>
      <c r="DD86" s="56">
        <v>410</v>
      </c>
      <c r="DE86" s="55">
        <v>235</v>
      </c>
      <c r="DF86" s="56">
        <v>400</v>
      </c>
      <c r="DG86" s="55">
        <v>300</v>
      </c>
      <c r="DH86" s="56">
        <v>400</v>
      </c>
      <c r="DI86" s="55">
        <v>237</v>
      </c>
      <c r="DJ86" s="56">
        <v>400</v>
      </c>
      <c r="DK86" s="55">
        <v>234</v>
      </c>
      <c r="DL86" s="56">
        <v>410</v>
      </c>
      <c r="DM86" s="55">
        <v>272</v>
      </c>
      <c r="DN86" s="56">
        <v>420</v>
      </c>
      <c r="DO86" s="55">
        <v>262</v>
      </c>
      <c r="DP86" s="56">
        <v>420</v>
      </c>
      <c r="DQ86" s="55">
        <v>240</v>
      </c>
      <c r="DR86" s="56">
        <v>425</v>
      </c>
      <c r="DS86" s="55">
        <v>239</v>
      </c>
      <c r="DT86" s="56">
        <v>430</v>
      </c>
      <c r="DU86" s="55">
        <v>245</v>
      </c>
      <c r="DV86" s="56">
        <v>425</v>
      </c>
      <c r="DW86" s="55">
        <v>273</v>
      </c>
      <c r="DX86" s="56">
        <v>430</v>
      </c>
      <c r="DY86" s="55">
        <v>301</v>
      </c>
      <c r="DZ86" s="56">
        <v>445</v>
      </c>
      <c r="EA86" s="55">
        <v>237</v>
      </c>
      <c r="EB86" s="56">
        <v>440</v>
      </c>
      <c r="EC86" s="55">
        <v>276</v>
      </c>
      <c r="ED86" s="56">
        <v>433</v>
      </c>
      <c r="EE86" s="55">
        <v>293</v>
      </c>
      <c r="EF86" s="56">
        <v>445</v>
      </c>
      <c r="EG86" s="55">
        <v>313</v>
      </c>
      <c r="EH86" s="56">
        <v>450</v>
      </c>
      <c r="EI86" s="55">
        <v>270</v>
      </c>
      <c r="EJ86" s="56">
        <v>450</v>
      </c>
      <c r="EK86" s="55">
        <v>308</v>
      </c>
      <c r="EL86" s="56">
        <v>450</v>
      </c>
      <c r="EM86" s="55">
        <v>256</v>
      </c>
      <c r="EN86" s="56">
        <v>465</v>
      </c>
      <c r="EO86" s="55">
        <v>345</v>
      </c>
      <c r="EP86" s="56">
        <v>475</v>
      </c>
      <c r="EQ86" s="55">
        <v>283</v>
      </c>
      <c r="ER86" s="56">
        <v>470</v>
      </c>
      <c r="ES86" s="55">
        <v>320</v>
      </c>
      <c r="ET86" s="56">
        <v>470</v>
      </c>
      <c r="EU86" s="55">
        <v>288</v>
      </c>
      <c r="EV86" s="56">
        <v>480</v>
      </c>
      <c r="EW86" s="55">
        <v>315</v>
      </c>
      <c r="EX86" s="56">
        <v>480</v>
      </c>
      <c r="EY86" s="55">
        <v>247</v>
      </c>
      <c r="EZ86" s="56">
        <v>485</v>
      </c>
      <c r="FA86" s="55">
        <v>250</v>
      </c>
      <c r="FB86" s="56">
        <v>485</v>
      </c>
      <c r="FC86" s="55">
        <v>298</v>
      </c>
      <c r="FD86" s="56">
        <v>495</v>
      </c>
      <c r="FE86" s="55">
        <v>310</v>
      </c>
      <c r="FF86" s="56">
        <v>500</v>
      </c>
      <c r="FG86" s="55">
        <v>266</v>
      </c>
      <c r="FH86" s="56">
        <v>495</v>
      </c>
      <c r="FI86" s="55">
        <v>266</v>
      </c>
      <c r="FJ86" s="56">
        <v>495</v>
      </c>
      <c r="FK86" s="55">
        <v>265</v>
      </c>
      <c r="FL86" s="56">
        <v>510</v>
      </c>
      <c r="FM86" s="55">
        <v>284</v>
      </c>
      <c r="FN86" s="56">
        <v>500</v>
      </c>
      <c r="FO86" s="55">
        <v>235</v>
      </c>
      <c r="FP86" s="56">
        <v>495</v>
      </c>
      <c r="FQ86" s="55">
        <v>223</v>
      </c>
      <c r="FR86" s="56">
        <v>500</v>
      </c>
      <c r="FS86" s="55">
        <v>216</v>
      </c>
      <c r="FT86" s="56">
        <v>500</v>
      </c>
      <c r="FU86" s="55">
        <v>257</v>
      </c>
      <c r="FV86" s="56">
        <v>500</v>
      </c>
      <c r="FW86" s="55">
        <v>233</v>
      </c>
      <c r="FX86" s="56">
        <v>500</v>
      </c>
      <c r="FY86" s="55">
        <v>238</v>
      </c>
      <c r="FZ86" s="56">
        <v>520</v>
      </c>
      <c r="GA86" s="55">
        <v>298</v>
      </c>
      <c r="GB86" s="56">
        <v>525</v>
      </c>
      <c r="GC86" s="55">
        <v>276</v>
      </c>
      <c r="GD86" s="56">
        <v>530</v>
      </c>
      <c r="GE86" s="55">
        <v>259</v>
      </c>
      <c r="GF86" s="56">
        <v>530</v>
      </c>
      <c r="GG86" s="55">
        <v>246</v>
      </c>
      <c r="GH86" s="56">
        <v>565</v>
      </c>
      <c r="GI86" s="55">
        <v>213</v>
      </c>
      <c r="GJ86" s="56">
        <v>580</v>
      </c>
      <c r="GK86" s="55">
        <v>217</v>
      </c>
      <c r="GL86" s="56">
        <v>575</v>
      </c>
      <c r="GM86" s="55">
        <v>214</v>
      </c>
      <c r="GN86" s="56">
        <v>600</v>
      </c>
      <c r="GO86" s="55">
        <v>236</v>
      </c>
      <c r="GP86" s="56">
        <v>630</v>
      </c>
      <c r="GQ86" s="55">
        <v>217</v>
      </c>
      <c r="GR86" s="56">
        <v>625</v>
      </c>
      <c r="GS86" s="55">
        <v>194</v>
      </c>
      <c r="GT86" s="56">
        <v>650</v>
      </c>
      <c r="GU86" s="55">
        <v>171</v>
      </c>
      <c r="GV86" s="56">
        <v>675</v>
      </c>
      <c r="GW86" s="55">
        <v>201</v>
      </c>
      <c r="GX86" s="56">
        <v>675</v>
      </c>
      <c r="GY86" s="55">
        <v>206</v>
      </c>
      <c r="GZ86" s="56">
        <v>688</v>
      </c>
      <c r="HA86">
        <v>230</v>
      </c>
      <c r="HB86" s="56">
        <v>675</v>
      </c>
      <c r="HC86">
        <v>205</v>
      </c>
      <c r="HD86" s="56">
        <v>690</v>
      </c>
      <c r="HE86">
        <v>196</v>
      </c>
      <c r="HF86" s="56">
        <v>690</v>
      </c>
    </row>
    <row r="87" spans="1:214" x14ac:dyDescent="0.25">
      <c r="A87" s="53"/>
      <c r="B87" s="54" t="s">
        <v>824</v>
      </c>
      <c r="C87" s="55">
        <v>387</v>
      </c>
      <c r="D87" s="56">
        <v>150</v>
      </c>
      <c r="E87" s="55">
        <v>394</v>
      </c>
      <c r="F87" s="56">
        <v>155</v>
      </c>
      <c r="G87" s="55">
        <v>354</v>
      </c>
      <c r="H87" s="56">
        <v>160</v>
      </c>
      <c r="I87" s="55">
        <v>391</v>
      </c>
      <c r="J87" s="56">
        <v>165</v>
      </c>
      <c r="K87" s="55">
        <v>386</v>
      </c>
      <c r="L87" s="56">
        <v>160</v>
      </c>
      <c r="M87" s="55">
        <v>418</v>
      </c>
      <c r="N87" s="56">
        <v>160</v>
      </c>
      <c r="O87" s="55">
        <v>337</v>
      </c>
      <c r="P87" s="56">
        <v>165</v>
      </c>
      <c r="Q87" s="55">
        <v>418</v>
      </c>
      <c r="R87" s="56">
        <v>170</v>
      </c>
      <c r="S87" s="55">
        <v>408</v>
      </c>
      <c r="T87" s="56">
        <v>170</v>
      </c>
      <c r="U87" s="55">
        <v>419</v>
      </c>
      <c r="V87" s="56">
        <v>170</v>
      </c>
      <c r="W87" s="55">
        <v>373</v>
      </c>
      <c r="X87" s="56">
        <v>175</v>
      </c>
      <c r="Y87" s="55">
        <v>382</v>
      </c>
      <c r="Z87" s="56">
        <v>183</v>
      </c>
      <c r="AA87" s="55">
        <v>435</v>
      </c>
      <c r="AB87" s="56">
        <v>180</v>
      </c>
      <c r="AC87" s="55">
        <v>442</v>
      </c>
      <c r="AD87" s="56">
        <v>183</v>
      </c>
      <c r="AE87" s="55">
        <v>397</v>
      </c>
      <c r="AF87" s="56">
        <v>185</v>
      </c>
      <c r="AG87" s="55">
        <v>415</v>
      </c>
      <c r="AH87" s="56">
        <v>190</v>
      </c>
      <c r="AI87" s="55">
        <v>434</v>
      </c>
      <c r="AJ87" s="56">
        <v>185</v>
      </c>
      <c r="AK87" s="55">
        <v>475</v>
      </c>
      <c r="AL87" s="56">
        <v>185</v>
      </c>
      <c r="AM87" s="55">
        <v>456</v>
      </c>
      <c r="AN87" s="56">
        <v>185</v>
      </c>
      <c r="AO87" s="55">
        <v>437</v>
      </c>
      <c r="AP87" s="56">
        <v>200</v>
      </c>
      <c r="AQ87" s="55">
        <v>366</v>
      </c>
      <c r="AR87" s="56">
        <v>200</v>
      </c>
      <c r="AS87" s="55">
        <v>456</v>
      </c>
      <c r="AT87" s="56">
        <v>200</v>
      </c>
      <c r="AU87" s="55">
        <v>419</v>
      </c>
      <c r="AV87" s="56">
        <v>195</v>
      </c>
      <c r="AW87" s="55">
        <v>408</v>
      </c>
      <c r="AX87" s="56">
        <v>200</v>
      </c>
      <c r="AY87" s="55">
        <v>410</v>
      </c>
      <c r="AZ87" s="56">
        <v>200</v>
      </c>
      <c r="BA87" s="55">
        <v>459</v>
      </c>
      <c r="BB87" s="56">
        <v>200</v>
      </c>
      <c r="BC87" s="55">
        <v>412</v>
      </c>
      <c r="BD87" s="56">
        <v>200</v>
      </c>
      <c r="BE87" s="55">
        <v>391</v>
      </c>
      <c r="BF87" s="56">
        <v>205</v>
      </c>
      <c r="BG87" s="55">
        <v>417</v>
      </c>
      <c r="BH87" s="56">
        <v>210</v>
      </c>
      <c r="BI87" s="55">
        <v>371</v>
      </c>
      <c r="BJ87" s="56">
        <v>210</v>
      </c>
      <c r="BK87" s="55">
        <v>329</v>
      </c>
      <c r="BL87" s="56">
        <v>215</v>
      </c>
      <c r="BM87" s="55">
        <v>373</v>
      </c>
      <c r="BN87" s="56">
        <v>225</v>
      </c>
      <c r="BO87" s="55">
        <v>399</v>
      </c>
      <c r="BP87" s="56">
        <v>225</v>
      </c>
      <c r="BQ87" s="55">
        <v>418</v>
      </c>
      <c r="BR87" s="56">
        <v>230</v>
      </c>
      <c r="BS87" s="55">
        <v>363</v>
      </c>
      <c r="BT87" s="56">
        <v>250</v>
      </c>
      <c r="BU87" s="55">
        <v>405</v>
      </c>
      <c r="BV87" s="56">
        <v>250</v>
      </c>
      <c r="BW87" s="55">
        <v>445</v>
      </c>
      <c r="BX87" s="56">
        <v>250</v>
      </c>
      <c r="BY87" s="55">
        <v>434</v>
      </c>
      <c r="BZ87" s="56">
        <v>260</v>
      </c>
      <c r="CA87" s="55">
        <v>417</v>
      </c>
      <c r="CB87" s="56">
        <v>265</v>
      </c>
      <c r="CC87" s="55">
        <v>402</v>
      </c>
      <c r="CD87" s="56">
        <v>270</v>
      </c>
      <c r="CE87" s="55">
        <v>416</v>
      </c>
      <c r="CF87" s="56">
        <v>270</v>
      </c>
      <c r="CG87" s="55">
        <v>460</v>
      </c>
      <c r="CH87" s="56">
        <v>275</v>
      </c>
      <c r="CI87" s="55">
        <v>404</v>
      </c>
      <c r="CJ87" s="56">
        <v>280</v>
      </c>
      <c r="CK87" s="55">
        <v>410</v>
      </c>
      <c r="CL87" s="56">
        <v>300</v>
      </c>
      <c r="CM87" s="55">
        <v>430</v>
      </c>
      <c r="CN87" s="56">
        <v>295</v>
      </c>
      <c r="CO87" s="55">
        <v>452</v>
      </c>
      <c r="CP87" s="56">
        <v>295</v>
      </c>
      <c r="CQ87" s="55">
        <v>378</v>
      </c>
      <c r="CR87" s="56">
        <v>320</v>
      </c>
      <c r="CS87" s="55">
        <v>374</v>
      </c>
      <c r="CT87" s="56">
        <v>320</v>
      </c>
      <c r="CU87" s="55">
        <v>431</v>
      </c>
      <c r="CV87" s="56">
        <v>315</v>
      </c>
      <c r="CW87" s="55">
        <v>500</v>
      </c>
      <c r="CX87" s="56">
        <v>300</v>
      </c>
      <c r="CY87" s="55">
        <v>428</v>
      </c>
      <c r="CZ87" s="56">
        <v>310</v>
      </c>
      <c r="DA87" s="55">
        <v>448</v>
      </c>
      <c r="DB87" s="56">
        <v>321</v>
      </c>
      <c r="DC87" s="55">
        <v>455</v>
      </c>
      <c r="DD87" s="56">
        <v>320</v>
      </c>
      <c r="DE87" s="55">
        <v>503</v>
      </c>
      <c r="DF87" s="56">
        <v>320</v>
      </c>
      <c r="DG87" s="55">
        <v>510</v>
      </c>
      <c r="DH87" s="56">
        <v>320</v>
      </c>
      <c r="DI87" s="55">
        <v>457</v>
      </c>
      <c r="DJ87" s="56">
        <v>325</v>
      </c>
      <c r="DK87" s="55">
        <v>479</v>
      </c>
      <c r="DL87" s="56">
        <v>320</v>
      </c>
      <c r="DM87" s="55">
        <v>494</v>
      </c>
      <c r="DN87" s="56">
        <v>330</v>
      </c>
      <c r="DO87" s="55">
        <v>477</v>
      </c>
      <c r="DP87" s="56">
        <v>320</v>
      </c>
      <c r="DQ87" s="55">
        <v>432</v>
      </c>
      <c r="DR87" s="56">
        <v>330</v>
      </c>
      <c r="DS87" s="55">
        <v>449</v>
      </c>
      <c r="DT87" s="56">
        <v>340</v>
      </c>
      <c r="DU87" s="55">
        <v>508</v>
      </c>
      <c r="DV87" s="56">
        <v>340</v>
      </c>
      <c r="DW87" s="55">
        <v>483</v>
      </c>
      <c r="DX87" s="56">
        <v>330</v>
      </c>
      <c r="DY87" s="55">
        <v>443</v>
      </c>
      <c r="DZ87" s="56">
        <v>350</v>
      </c>
      <c r="EA87" s="55">
        <v>485</v>
      </c>
      <c r="EB87" s="56">
        <v>340</v>
      </c>
      <c r="EC87" s="55">
        <v>487</v>
      </c>
      <c r="ED87" s="56">
        <v>350</v>
      </c>
      <c r="EE87" s="55">
        <v>445</v>
      </c>
      <c r="EF87" s="56">
        <v>355</v>
      </c>
      <c r="EG87" s="55">
        <v>428</v>
      </c>
      <c r="EH87" s="56">
        <v>360</v>
      </c>
      <c r="EI87" s="55">
        <v>472</v>
      </c>
      <c r="EJ87" s="56">
        <v>360</v>
      </c>
      <c r="EK87" s="55">
        <v>462</v>
      </c>
      <c r="EL87" s="56">
        <v>363</v>
      </c>
      <c r="EM87" s="55">
        <v>439</v>
      </c>
      <c r="EN87" s="56">
        <v>380</v>
      </c>
      <c r="EO87" s="55">
        <v>408</v>
      </c>
      <c r="EP87" s="56">
        <v>380</v>
      </c>
      <c r="EQ87" s="55">
        <v>457</v>
      </c>
      <c r="ER87" s="56">
        <v>380</v>
      </c>
      <c r="ES87" s="55">
        <v>461</v>
      </c>
      <c r="ET87" s="56">
        <v>380</v>
      </c>
      <c r="EU87" s="55">
        <v>449</v>
      </c>
      <c r="EV87" s="56">
        <v>395</v>
      </c>
      <c r="EW87" s="55">
        <v>396</v>
      </c>
      <c r="EX87" s="56">
        <v>395</v>
      </c>
      <c r="EY87" s="55">
        <v>470</v>
      </c>
      <c r="EZ87" s="56">
        <v>390</v>
      </c>
      <c r="FA87" s="55">
        <v>459</v>
      </c>
      <c r="FB87" s="56">
        <v>390</v>
      </c>
      <c r="FC87" s="55">
        <v>357</v>
      </c>
      <c r="FD87" s="56">
        <v>400</v>
      </c>
      <c r="FE87" s="55">
        <v>378</v>
      </c>
      <c r="FF87" s="56">
        <v>410</v>
      </c>
      <c r="FG87" s="55">
        <v>415</v>
      </c>
      <c r="FH87" s="56">
        <v>410</v>
      </c>
      <c r="FI87" s="55">
        <v>447</v>
      </c>
      <c r="FJ87" s="56">
        <v>400</v>
      </c>
      <c r="FK87" s="55">
        <v>412</v>
      </c>
      <c r="FL87" s="56">
        <v>400</v>
      </c>
      <c r="FM87" s="55">
        <v>397</v>
      </c>
      <c r="FN87" s="56">
        <v>425</v>
      </c>
      <c r="FO87" s="55">
        <v>386</v>
      </c>
      <c r="FP87" s="56">
        <v>400</v>
      </c>
      <c r="FQ87" s="55">
        <v>340</v>
      </c>
      <c r="FR87" s="56">
        <v>430</v>
      </c>
      <c r="FS87" s="55">
        <v>277</v>
      </c>
      <c r="FT87" s="56">
        <v>460</v>
      </c>
      <c r="FU87" s="55">
        <v>278</v>
      </c>
      <c r="FV87" s="56">
        <v>470</v>
      </c>
      <c r="FW87" s="55">
        <v>301</v>
      </c>
      <c r="FX87" s="56">
        <v>470</v>
      </c>
      <c r="FY87" s="55">
        <v>290</v>
      </c>
      <c r="FZ87" s="56">
        <v>510</v>
      </c>
      <c r="GA87" s="55">
        <v>265</v>
      </c>
      <c r="GB87" s="56">
        <v>500</v>
      </c>
      <c r="GC87" s="55">
        <v>268</v>
      </c>
      <c r="GD87" s="56">
        <v>520</v>
      </c>
      <c r="GE87" s="55">
        <v>371</v>
      </c>
      <c r="GF87" s="56">
        <v>522</v>
      </c>
      <c r="GG87" s="55">
        <v>347</v>
      </c>
      <c r="GH87" s="56">
        <v>530</v>
      </c>
      <c r="GI87" s="55">
        <v>261</v>
      </c>
      <c r="GJ87" s="56">
        <v>550</v>
      </c>
      <c r="GK87" s="55">
        <v>324</v>
      </c>
      <c r="GL87" s="56">
        <v>550</v>
      </c>
      <c r="GM87" s="55">
        <v>371</v>
      </c>
      <c r="GN87" s="56">
        <v>540</v>
      </c>
      <c r="GO87" s="55">
        <v>401</v>
      </c>
      <c r="GP87" s="56">
        <v>530</v>
      </c>
      <c r="GQ87" s="55">
        <v>278</v>
      </c>
      <c r="GR87" s="56">
        <v>550</v>
      </c>
      <c r="GS87" s="55">
        <v>313</v>
      </c>
      <c r="GT87" s="56">
        <v>580</v>
      </c>
      <c r="GU87" s="55">
        <v>332</v>
      </c>
      <c r="GV87" s="56">
        <v>573</v>
      </c>
      <c r="GW87" s="55">
        <v>333</v>
      </c>
      <c r="GX87" s="56">
        <v>570</v>
      </c>
      <c r="GY87" s="55">
        <v>304</v>
      </c>
      <c r="GZ87" s="56">
        <v>588</v>
      </c>
      <c r="HA87">
        <v>281</v>
      </c>
      <c r="HB87" s="56">
        <v>600</v>
      </c>
      <c r="HC87">
        <v>303</v>
      </c>
      <c r="HD87" s="56">
        <v>600</v>
      </c>
      <c r="HE87">
        <v>315</v>
      </c>
      <c r="HF87" s="56">
        <v>595</v>
      </c>
    </row>
    <row r="88" spans="1:214" x14ac:dyDescent="0.25">
      <c r="A88" s="53"/>
      <c r="B88" s="54" t="s">
        <v>825</v>
      </c>
      <c r="C88" s="55">
        <v>101</v>
      </c>
      <c r="D88" s="56">
        <v>365</v>
      </c>
      <c r="E88" s="55">
        <v>119</v>
      </c>
      <c r="F88" s="56">
        <v>340</v>
      </c>
      <c r="G88" s="55">
        <v>116</v>
      </c>
      <c r="H88" s="56">
        <v>370</v>
      </c>
      <c r="I88" s="55">
        <v>124</v>
      </c>
      <c r="J88" s="56">
        <v>360</v>
      </c>
      <c r="K88" s="55">
        <v>114</v>
      </c>
      <c r="L88" s="56">
        <v>380</v>
      </c>
      <c r="M88" s="55">
        <v>109</v>
      </c>
      <c r="N88" s="56">
        <v>375</v>
      </c>
      <c r="O88" s="55">
        <v>112</v>
      </c>
      <c r="P88" s="56">
        <v>350</v>
      </c>
      <c r="Q88" s="55">
        <v>134</v>
      </c>
      <c r="R88" s="56">
        <v>388</v>
      </c>
      <c r="S88" s="55">
        <v>118</v>
      </c>
      <c r="T88" s="56">
        <v>395</v>
      </c>
      <c r="U88" s="55">
        <v>126</v>
      </c>
      <c r="V88" s="56">
        <v>380</v>
      </c>
      <c r="W88" s="55">
        <v>129</v>
      </c>
      <c r="X88" s="56">
        <v>390</v>
      </c>
      <c r="Y88" s="55">
        <v>122</v>
      </c>
      <c r="Z88" s="56">
        <v>400</v>
      </c>
      <c r="AA88" s="55">
        <v>100</v>
      </c>
      <c r="AB88" s="56">
        <v>410</v>
      </c>
      <c r="AC88" s="55">
        <v>111</v>
      </c>
      <c r="AD88" s="56">
        <v>430</v>
      </c>
      <c r="AE88" s="55">
        <v>106</v>
      </c>
      <c r="AF88" s="56">
        <v>420</v>
      </c>
      <c r="AG88" s="55">
        <v>138</v>
      </c>
      <c r="AH88" s="56">
        <v>420</v>
      </c>
      <c r="AI88" s="55">
        <v>93</v>
      </c>
      <c r="AJ88" s="56">
        <v>400</v>
      </c>
      <c r="AK88" s="55">
        <v>127</v>
      </c>
      <c r="AL88" s="56">
        <v>400</v>
      </c>
      <c r="AM88" s="55">
        <v>99</v>
      </c>
      <c r="AN88" s="56">
        <v>400</v>
      </c>
      <c r="AO88" s="55">
        <v>120</v>
      </c>
      <c r="AP88" s="56">
        <v>400</v>
      </c>
      <c r="AQ88" s="55">
        <v>85</v>
      </c>
      <c r="AR88" s="56">
        <v>450</v>
      </c>
      <c r="AS88" s="55">
        <v>113</v>
      </c>
      <c r="AT88" s="56">
        <v>415</v>
      </c>
      <c r="AU88" s="55">
        <v>101</v>
      </c>
      <c r="AV88" s="56">
        <v>430</v>
      </c>
      <c r="AW88" s="55">
        <v>101</v>
      </c>
      <c r="AX88" s="56">
        <v>450</v>
      </c>
      <c r="AY88" s="55">
        <v>76</v>
      </c>
      <c r="AZ88" s="56">
        <v>450</v>
      </c>
      <c r="BA88" s="55">
        <v>104</v>
      </c>
      <c r="BB88" s="56">
        <v>451</v>
      </c>
      <c r="BC88" s="55">
        <v>70</v>
      </c>
      <c r="BD88" s="56">
        <v>450</v>
      </c>
      <c r="BE88" s="55">
        <v>95</v>
      </c>
      <c r="BF88" s="56">
        <v>465</v>
      </c>
      <c r="BG88" s="55">
        <v>88</v>
      </c>
      <c r="BH88" s="56">
        <v>500</v>
      </c>
      <c r="BI88" s="55">
        <v>78</v>
      </c>
      <c r="BJ88" s="56">
        <v>478</v>
      </c>
      <c r="BK88" s="55">
        <v>68</v>
      </c>
      <c r="BL88" s="56">
        <v>498</v>
      </c>
      <c r="BM88" s="55">
        <v>85</v>
      </c>
      <c r="BN88" s="56">
        <v>520</v>
      </c>
      <c r="BO88" s="55">
        <v>79</v>
      </c>
      <c r="BP88" s="56">
        <v>530</v>
      </c>
      <c r="BQ88" s="55">
        <v>74</v>
      </c>
      <c r="BR88" s="56">
        <v>528</v>
      </c>
      <c r="BS88" s="55">
        <v>63</v>
      </c>
      <c r="BT88" s="56">
        <v>570</v>
      </c>
      <c r="BU88" s="55">
        <v>98</v>
      </c>
      <c r="BV88" s="56">
        <v>610</v>
      </c>
      <c r="BW88" s="55">
        <v>79</v>
      </c>
      <c r="BX88" s="56">
        <v>600</v>
      </c>
      <c r="BY88" s="55">
        <v>88</v>
      </c>
      <c r="BZ88" s="56">
        <v>600</v>
      </c>
      <c r="CA88" s="55">
        <v>86</v>
      </c>
      <c r="CB88" s="56">
        <v>620</v>
      </c>
      <c r="CC88" s="55">
        <v>87</v>
      </c>
      <c r="CD88" s="56">
        <v>650</v>
      </c>
      <c r="CE88" s="55">
        <v>95</v>
      </c>
      <c r="CF88" s="56">
        <v>620</v>
      </c>
      <c r="CG88" s="55">
        <v>98</v>
      </c>
      <c r="CH88" s="56">
        <v>650</v>
      </c>
      <c r="CI88" s="55">
        <v>97</v>
      </c>
      <c r="CJ88" s="56">
        <v>645</v>
      </c>
      <c r="CK88" s="55">
        <v>97</v>
      </c>
      <c r="CL88" s="56">
        <v>680</v>
      </c>
      <c r="CM88" s="55">
        <v>70</v>
      </c>
      <c r="CN88" s="56">
        <v>678</v>
      </c>
      <c r="CO88" s="55">
        <v>103</v>
      </c>
      <c r="CP88" s="56">
        <v>702</v>
      </c>
      <c r="CQ88" s="55">
        <v>100</v>
      </c>
      <c r="CR88" s="56">
        <v>655</v>
      </c>
      <c r="CS88" s="55">
        <v>105</v>
      </c>
      <c r="CT88" s="56">
        <v>700</v>
      </c>
      <c r="CU88" s="55">
        <v>77</v>
      </c>
      <c r="CV88" s="56">
        <v>700</v>
      </c>
      <c r="CW88" s="55">
        <v>106</v>
      </c>
      <c r="CX88" s="56">
        <v>738</v>
      </c>
      <c r="CY88" s="55">
        <v>121</v>
      </c>
      <c r="CZ88" s="56">
        <v>750</v>
      </c>
      <c r="DA88" s="55">
        <v>104</v>
      </c>
      <c r="DB88" s="56">
        <v>750</v>
      </c>
      <c r="DC88" s="55">
        <v>89</v>
      </c>
      <c r="DD88" s="56">
        <v>750</v>
      </c>
      <c r="DE88" s="55">
        <v>123</v>
      </c>
      <c r="DF88" s="56">
        <v>775</v>
      </c>
      <c r="DG88" s="55">
        <v>107</v>
      </c>
      <c r="DH88" s="56">
        <v>750</v>
      </c>
      <c r="DI88" s="55">
        <v>118</v>
      </c>
      <c r="DJ88" s="56">
        <v>750</v>
      </c>
      <c r="DK88" s="55">
        <v>107</v>
      </c>
      <c r="DL88" s="56">
        <v>750</v>
      </c>
      <c r="DM88" s="55">
        <v>116</v>
      </c>
      <c r="DN88" s="56">
        <v>750</v>
      </c>
      <c r="DO88" s="55">
        <v>116</v>
      </c>
      <c r="DP88" s="56">
        <v>760</v>
      </c>
      <c r="DQ88" s="55">
        <v>132</v>
      </c>
      <c r="DR88" s="56">
        <v>763</v>
      </c>
      <c r="DS88" s="55">
        <v>91</v>
      </c>
      <c r="DT88" s="56">
        <v>720</v>
      </c>
      <c r="DU88" s="55">
        <v>111</v>
      </c>
      <c r="DV88" s="56">
        <v>790</v>
      </c>
      <c r="DW88" s="55">
        <v>105</v>
      </c>
      <c r="DX88" s="56">
        <v>775</v>
      </c>
      <c r="DY88" s="55">
        <v>85</v>
      </c>
      <c r="DZ88" s="56">
        <v>800</v>
      </c>
      <c r="EA88" s="55">
        <v>121</v>
      </c>
      <c r="EB88" s="56">
        <v>825</v>
      </c>
      <c r="EC88" s="55">
        <v>141</v>
      </c>
      <c r="ED88" s="56">
        <v>775</v>
      </c>
      <c r="EE88" s="55">
        <v>129</v>
      </c>
      <c r="EF88" s="56">
        <v>750</v>
      </c>
      <c r="EG88" s="55">
        <v>130</v>
      </c>
      <c r="EH88" s="56">
        <v>833</v>
      </c>
      <c r="EI88" s="55">
        <v>111</v>
      </c>
      <c r="EJ88" s="56">
        <v>820</v>
      </c>
      <c r="EK88" s="55">
        <v>135</v>
      </c>
      <c r="EL88" s="56">
        <v>795</v>
      </c>
      <c r="EM88" s="55">
        <v>116</v>
      </c>
      <c r="EN88" s="56">
        <v>850</v>
      </c>
      <c r="EO88" s="55">
        <v>122</v>
      </c>
      <c r="EP88" s="56">
        <v>840</v>
      </c>
      <c r="EQ88" s="55">
        <v>102</v>
      </c>
      <c r="ER88" s="56">
        <v>795</v>
      </c>
      <c r="ES88" s="55">
        <v>116</v>
      </c>
      <c r="ET88" s="56">
        <v>800</v>
      </c>
      <c r="EU88" s="55">
        <v>134</v>
      </c>
      <c r="EV88" s="56">
        <v>800</v>
      </c>
      <c r="EW88" s="55">
        <v>131</v>
      </c>
      <c r="EX88" s="56">
        <v>850</v>
      </c>
      <c r="EY88" s="55">
        <v>126</v>
      </c>
      <c r="EZ88" s="56">
        <v>850</v>
      </c>
      <c r="FA88" s="55">
        <v>115</v>
      </c>
      <c r="FB88" s="56">
        <v>850</v>
      </c>
      <c r="FC88" s="55">
        <v>117</v>
      </c>
      <c r="FD88" s="56">
        <v>820</v>
      </c>
      <c r="FE88" s="55">
        <v>140</v>
      </c>
      <c r="FF88" s="56">
        <v>865</v>
      </c>
      <c r="FG88" s="55">
        <v>96</v>
      </c>
      <c r="FH88" s="56">
        <v>865</v>
      </c>
      <c r="FI88" s="55">
        <v>113</v>
      </c>
      <c r="FJ88" s="56">
        <v>895</v>
      </c>
      <c r="FK88" s="55">
        <v>105</v>
      </c>
      <c r="FL88" s="56">
        <v>850</v>
      </c>
      <c r="FM88" s="55">
        <v>111</v>
      </c>
      <c r="FN88" s="56">
        <v>860</v>
      </c>
      <c r="FO88" s="55">
        <v>109</v>
      </c>
      <c r="FP88" s="56">
        <v>770</v>
      </c>
      <c r="FQ88" s="55">
        <v>100</v>
      </c>
      <c r="FR88" s="56">
        <v>770</v>
      </c>
      <c r="FS88" s="55">
        <v>145</v>
      </c>
      <c r="FT88" s="56">
        <v>820</v>
      </c>
      <c r="FU88" s="55">
        <v>135</v>
      </c>
      <c r="FV88" s="56">
        <v>795</v>
      </c>
      <c r="FW88" s="55">
        <v>103</v>
      </c>
      <c r="FX88" s="56">
        <v>760</v>
      </c>
      <c r="FY88" s="55">
        <v>94</v>
      </c>
      <c r="FZ88" s="56">
        <v>840</v>
      </c>
      <c r="GA88" s="55">
        <v>124</v>
      </c>
      <c r="GB88" s="56">
        <v>800</v>
      </c>
      <c r="GC88" s="55">
        <v>128</v>
      </c>
      <c r="GD88" s="56">
        <v>825</v>
      </c>
      <c r="GE88" s="55">
        <v>115</v>
      </c>
      <c r="GF88" s="56">
        <v>850</v>
      </c>
      <c r="GG88" s="55">
        <v>104</v>
      </c>
      <c r="GH88" s="56">
        <v>850</v>
      </c>
      <c r="GI88" s="55">
        <v>108</v>
      </c>
      <c r="GJ88" s="56">
        <v>875</v>
      </c>
      <c r="GK88" s="55">
        <v>115</v>
      </c>
      <c r="GL88" s="56">
        <v>900</v>
      </c>
      <c r="GM88" s="55">
        <v>96</v>
      </c>
      <c r="GN88" s="56">
        <v>950</v>
      </c>
      <c r="GO88" s="55">
        <v>117</v>
      </c>
      <c r="GP88" s="56">
        <v>990</v>
      </c>
      <c r="GQ88" s="55">
        <v>76</v>
      </c>
      <c r="GR88" s="56">
        <v>1000</v>
      </c>
      <c r="GS88" s="55">
        <v>59</v>
      </c>
      <c r="GT88" s="56">
        <v>1050</v>
      </c>
      <c r="GU88" s="55">
        <v>81</v>
      </c>
      <c r="GV88" s="56">
        <v>1039</v>
      </c>
      <c r="GW88" s="55">
        <v>122</v>
      </c>
      <c r="GX88" s="56">
        <v>998</v>
      </c>
      <c r="GY88" s="55">
        <v>116</v>
      </c>
      <c r="GZ88" s="56">
        <v>950</v>
      </c>
      <c r="HA88">
        <v>110</v>
      </c>
      <c r="HB88" s="56">
        <v>1000</v>
      </c>
      <c r="HC88">
        <v>84</v>
      </c>
      <c r="HD88" s="56">
        <v>1000</v>
      </c>
      <c r="HE88">
        <v>122</v>
      </c>
      <c r="HF88" s="56">
        <v>1040</v>
      </c>
    </row>
    <row r="89" spans="1:214" x14ac:dyDescent="0.25">
      <c r="A89" s="53"/>
      <c r="B89" s="54" t="s">
        <v>826</v>
      </c>
      <c r="C89" s="55">
        <v>124</v>
      </c>
      <c r="D89" s="56">
        <v>315</v>
      </c>
      <c r="E89" s="55">
        <v>132</v>
      </c>
      <c r="F89" s="56">
        <v>320</v>
      </c>
      <c r="G89" s="55">
        <v>131</v>
      </c>
      <c r="H89" s="56">
        <v>335</v>
      </c>
      <c r="I89" s="55">
        <v>158</v>
      </c>
      <c r="J89" s="56">
        <v>350</v>
      </c>
      <c r="K89" s="55">
        <v>122</v>
      </c>
      <c r="L89" s="56">
        <v>350</v>
      </c>
      <c r="M89" s="55">
        <v>143</v>
      </c>
      <c r="N89" s="56">
        <v>320</v>
      </c>
      <c r="O89" s="55">
        <v>146</v>
      </c>
      <c r="P89" s="56">
        <v>350</v>
      </c>
      <c r="Q89" s="55">
        <v>148</v>
      </c>
      <c r="R89" s="56">
        <v>360</v>
      </c>
      <c r="S89" s="55">
        <v>92</v>
      </c>
      <c r="T89" s="56">
        <v>375</v>
      </c>
      <c r="U89" s="55">
        <v>147</v>
      </c>
      <c r="V89" s="56">
        <v>365</v>
      </c>
      <c r="W89" s="55">
        <v>129</v>
      </c>
      <c r="X89" s="56">
        <v>380</v>
      </c>
      <c r="Y89" s="55">
        <v>145</v>
      </c>
      <c r="Z89" s="56">
        <v>380</v>
      </c>
      <c r="AA89" s="55">
        <v>119</v>
      </c>
      <c r="AB89" s="56">
        <v>360</v>
      </c>
      <c r="AC89" s="55">
        <v>127</v>
      </c>
      <c r="AD89" s="56">
        <v>390</v>
      </c>
      <c r="AE89" s="55">
        <v>134</v>
      </c>
      <c r="AF89" s="56">
        <v>360</v>
      </c>
      <c r="AG89" s="55">
        <v>160</v>
      </c>
      <c r="AH89" s="56">
        <v>380</v>
      </c>
      <c r="AI89" s="55">
        <v>115</v>
      </c>
      <c r="AJ89" s="56">
        <v>410</v>
      </c>
      <c r="AK89" s="55">
        <v>131</v>
      </c>
      <c r="AL89" s="56">
        <v>380</v>
      </c>
      <c r="AM89" s="55">
        <v>114</v>
      </c>
      <c r="AN89" s="56">
        <v>350</v>
      </c>
      <c r="AO89" s="55">
        <v>148</v>
      </c>
      <c r="AP89" s="56">
        <v>380</v>
      </c>
      <c r="AQ89" s="55">
        <v>88</v>
      </c>
      <c r="AR89" s="56">
        <v>400</v>
      </c>
      <c r="AS89" s="55">
        <v>131</v>
      </c>
      <c r="AT89" s="56">
        <v>395</v>
      </c>
      <c r="AU89" s="55">
        <v>129</v>
      </c>
      <c r="AV89" s="56">
        <v>380</v>
      </c>
      <c r="AW89" s="55">
        <v>137</v>
      </c>
      <c r="AX89" s="56">
        <v>400</v>
      </c>
      <c r="AY89" s="55">
        <v>91</v>
      </c>
      <c r="AZ89" s="56">
        <v>420</v>
      </c>
      <c r="BA89" s="55">
        <v>99</v>
      </c>
      <c r="BB89" s="56">
        <v>395</v>
      </c>
      <c r="BC89" s="55">
        <v>101</v>
      </c>
      <c r="BD89" s="56">
        <v>425</v>
      </c>
      <c r="BE89" s="55">
        <v>112</v>
      </c>
      <c r="BF89" s="56">
        <v>413</v>
      </c>
      <c r="BG89" s="55">
        <v>76</v>
      </c>
      <c r="BH89" s="56">
        <v>425</v>
      </c>
      <c r="BI89" s="55">
        <v>91</v>
      </c>
      <c r="BJ89" s="56">
        <v>421</v>
      </c>
      <c r="BK89" s="55">
        <v>97</v>
      </c>
      <c r="BL89" s="56">
        <v>495</v>
      </c>
      <c r="BM89" s="55">
        <v>113</v>
      </c>
      <c r="BN89" s="56">
        <v>470</v>
      </c>
      <c r="BO89" s="55">
        <v>91</v>
      </c>
      <c r="BP89" s="56">
        <v>495</v>
      </c>
      <c r="BQ89" s="55">
        <v>84</v>
      </c>
      <c r="BR89" s="56">
        <v>500</v>
      </c>
      <c r="BS89" s="55">
        <v>112</v>
      </c>
      <c r="BT89" s="56">
        <v>500</v>
      </c>
      <c r="BU89" s="55">
        <v>114</v>
      </c>
      <c r="BV89" s="56">
        <v>568</v>
      </c>
      <c r="BW89" s="55">
        <v>115</v>
      </c>
      <c r="BX89" s="56">
        <v>570</v>
      </c>
      <c r="BY89" s="55">
        <v>94</v>
      </c>
      <c r="BZ89" s="56">
        <v>530</v>
      </c>
      <c r="CA89" s="55">
        <v>90</v>
      </c>
      <c r="CB89" s="56">
        <v>583</v>
      </c>
      <c r="CC89" s="55">
        <v>93</v>
      </c>
      <c r="CD89" s="56">
        <v>610</v>
      </c>
      <c r="CE89" s="55">
        <v>92</v>
      </c>
      <c r="CF89" s="56">
        <v>573</v>
      </c>
      <c r="CG89" s="55">
        <v>93</v>
      </c>
      <c r="CH89" s="56">
        <v>600</v>
      </c>
      <c r="CI89" s="55">
        <v>108</v>
      </c>
      <c r="CJ89" s="56">
        <v>630</v>
      </c>
      <c r="CK89" s="55">
        <v>107</v>
      </c>
      <c r="CL89" s="56">
        <v>600</v>
      </c>
      <c r="CM89" s="55">
        <v>93</v>
      </c>
      <c r="CN89" s="56">
        <v>630</v>
      </c>
      <c r="CO89" s="55">
        <v>114</v>
      </c>
      <c r="CP89" s="56">
        <v>600</v>
      </c>
      <c r="CQ89" s="55">
        <v>104</v>
      </c>
      <c r="CR89" s="56">
        <v>605</v>
      </c>
      <c r="CS89" s="55">
        <v>120</v>
      </c>
      <c r="CT89" s="56">
        <v>650</v>
      </c>
      <c r="CU89" s="55">
        <v>99</v>
      </c>
      <c r="CV89" s="56">
        <v>695</v>
      </c>
      <c r="CW89" s="55">
        <v>117</v>
      </c>
      <c r="CX89" s="56">
        <v>640</v>
      </c>
      <c r="CY89" s="55">
        <v>115</v>
      </c>
      <c r="CZ89" s="56">
        <v>650</v>
      </c>
      <c r="DA89" s="55">
        <v>120</v>
      </c>
      <c r="DB89" s="56">
        <v>640</v>
      </c>
      <c r="DC89" s="55">
        <v>96</v>
      </c>
      <c r="DD89" s="56">
        <v>700</v>
      </c>
      <c r="DE89" s="55">
        <v>102</v>
      </c>
      <c r="DF89" s="56">
        <v>758</v>
      </c>
      <c r="DG89" s="55">
        <v>139</v>
      </c>
      <c r="DH89" s="56">
        <v>650</v>
      </c>
      <c r="DI89" s="55">
        <v>141</v>
      </c>
      <c r="DJ89" s="56">
        <v>680</v>
      </c>
      <c r="DK89" s="55">
        <v>99</v>
      </c>
      <c r="DL89" s="56">
        <v>650</v>
      </c>
      <c r="DM89" s="55">
        <v>124</v>
      </c>
      <c r="DN89" s="56">
        <v>690</v>
      </c>
      <c r="DO89" s="55">
        <v>128</v>
      </c>
      <c r="DP89" s="56">
        <v>650</v>
      </c>
      <c r="DQ89" s="55">
        <v>157</v>
      </c>
      <c r="DR89" s="56">
        <v>730</v>
      </c>
      <c r="DS89" s="55">
        <v>102</v>
      </c>
      <c r="DT89" s="56">
        <v>689</v>
      </c>
      <c r="DU89" s="55">
        <v>152</v>
      </c>
      <c r="DV89" s="56">
        <v>750</v>
      </c>
      <c r="DW89" s="55">
        <v>140</v>
      </c>
      <c r="DX89" s="56">
        <v>715</v>
      </c>
      <c r="DY89" s="55">
        <v>165</v>
      </c>
      <c r="DZ89" s="56">
        <v>700</v>
      </c>
      <c r="EA89" s="55">
        <v>129</v>
      </c>
      <c r="EB89" s="56">
        <v>785</v>
      </c>
      <c r="EC89" s="55">
        <v>114</v>
      </c>
      <c r="ED89" s="56">
        <v>680</v>
      </c>
      <c r="EE89" s="55">
        <v>158</v>
      </c>
      <c r="EF89" s="56">
        <v>748</v>
      </c>
      <c r="EG89" s="55">
        <v>167</v>
      </c>
      <c r="EH89" s="56">
        <v>760</v>
      </c>
      <c r="EI89" s="55">
        <v>111</v>
      </c>
      <c r="EJ89" s="56">
        <v>780</v>
      </c>
      <c r="EK89" s="55">
        <v>162</v>
      </c>
      <c r="EL89" s="56">
        <v>750</v>
      </c>
      <c r="EM89" s="55">
        <v>111</v>
      </c>
      <c r="EN89" s="56">
        <v>750</v>
      </c>
      <c r="EO89" s="55">
        <v>135</v>
      </c>
      <c r="EP89" s="56">
        <v>795</v>
      </c>
      <c r="EQ89" s="55">
        <v>120</v>
      </c>
      <c r="ER89" s="56">
        <v>773</v>
      </c>
      <c r="ES89" s="55">
        <v>127</v>
      </c>
      <c r="ET89" s="56">
        <v>800</v>
      </c>
      <c r="EU89" s="55">
        <v>150</v>
      </c>
      <c r="EV89" s="56">
        <v>780</v>
      </c>
      <c r="EW89" s="55">
        <v>164</v>
      </c>
      <c r="EX89" s="56">
        <v>825</v>
      </c>
      <c r="EY89" s="55">
        <v>106</v>
      </c>
      <c r="EZ89" s="56">
        <v>823</v>
      </c>
      <c r="FA89" s="55">
        <v>153</v>
      </c>
      <c r="FB89" s="56">
        <v>810</v>
      </c>
      <c r="FC89" s="55">
        <v>128</v>
      </c>
      <c r="FD89" s="56">
        <v>750</v>
      </c>
      <c r="FE89" s="55">
        <v>151</v>
      </c>
      <c r="FF89" s="56">
        <v>830</v>
      </c>
      <c r="FG89" s="55">
        <v>119</v>
      </c>
      <c r="FH89" s="56">
        <v>780</v>
      </c>
      <c r="FI89" s="55">
        <v>143</v>
      </c>
      <c r="FJ89" s="56">
        <v>795</v>
      </c>
      <c r="FK89" s="55">
        <v>132</v>
      </c>
      <c r="FL89" s="56">
        <v>795</v>
      </c>
      <c r="FM89" s="55">
        <v>119</v>
      </c>
      <c r="FN89" s="56">
        <v>875</v>
      </c>
      <c r="FO89" s="55">
        <v>127</v>
      </c>
      <c r="FP89" s="56">
        <v>800</v>
      </c>
      <c r="FQ89" s="55">
        <v>134</v>
      </c>
      <c r="FR89" s="56">
        <v>790</v>
      </c>
      <c r="FS89" s="55">
        <v>165</v>
      </c>
      <c r="FT89" s="56">
        <v>750</v>
      </c>
      <c r="FU89" s="55">
        <v>174</v>
      </c>
      <c r="FV89" s="56">
        <v>800</v>
      </c>
      <c r="FW89" s="55">
        <v>119</v>
      </c>
      <c r="FX89" s="56">
        <v>800</v>
      </c>
      <c r="FY89" s="55">
        <v>136</v>
      </c>
      <c r="FZ89" s="56">
        <v>750</v>
      </c>
      <c r="GA89" s="55">
        <v>155</v>
      </c>
      <c r="GB89" s="56">
        <v>790</v>
      </c>
      <c r="GC89" s="55">
        <v>156</v>
      </c>
      <c r="GD89" s="56">
        <v>850</v>
      </c>
      <c r="GE89" s="55">
        <v>130</v>
      </c>
      <c r="GF89" s="56">
        <v>793</v>
      </c>
      <c r="GG89" s="55">
        <v>155</v>
      </c>
      <c r="GH89" s="56">
        <v>850</v>
      </c>
      <c r="GI89" s="55">
        <v>142</v>
      </c>
      <c r="GJ89" s="56">
        <v>850</v>
      </c>
      <c r="GK89" s="55">
        <v>176</v>
      </c>
      <c r="GL89" s="56">
        <v>899</v>
      </c>
      <c r="GM89" s="55">
        <v>124</v>
      </c>
      <c r="GN89" s="56">
        <v>898</v>
      </c>
      <c r="GO89" s="55">
        <v>130</v>
      </c>
      <c r="GP89" s="56">
        <v>906</v>
      </c>
      <c r="GQ89" s="55">
        <v>113</v>
      </c>
      <c r="GR89" s="56">
        <v>975</v>
      </c>
      <c r="GS89" s="55">
        <v>117</v>
      </c>
      <c r="GT89" s="56">
        <v>1000</v>
      </c>
      <c r="GU89" s="55">
        <v>124</v>
      </c>
      <c r="GV89" s="56">
        <v>1000</v>
      </c>
      <c r="GW89" s="55">
        <v>110</v>
      </c>
      <c r="GX89" s="56">
        <v>950</v>
      </c>
      <c r="GY89" s="55">
        <v>150</v>
      </c>
      <c r="GZ89" s="56">
        <v>950</v>
      </c>
      <c r="HA89">
        <v>138</v>
      </c>
      <c r="HB89" s="56">
        <v>951</v>
      </c>
      <c r="HC89">
        <v>103</v>
      </c>
      <c r="HD89" s="56">
        <v>995</v>
      </c>
      <c r="HE89">
        <v>115</v>
      </c>
      <c r="HF89" s="56">
        <v>1010</v>
      </c>
    </row>
    <row r="90" spans="1:214" s="10" customFormat="1" x14ac:dyDescent="0.25">
      <c r="A90" s="57"/>
      <c r="B90" s="57" t="s">
        <v>752</v>
      </c>
      <c r="C90" s="58">
        <v>2221</v>
      </c>
      <c r="D90" s="59">
        <v>170</v>
      </c>
      <c r="E90" s="58">
        <v>2420</v>
      </c>
      <c r="F90" s="59">
        <v>170</v>
      </c>
      <c r="G90" s="58">
        <v>2295</v>
      </c>
      <c r="H90" s="59">
        <v>175</v>
      </c>
      <c r="I90" s="58">
        <v>2459</v>
      </c>
      <c r="J90" s="59">
        <v>180</v>
      </c>
      <c r="K90" s="58">
        <v>2314</v>
      </c>
      <c r="L90" s="59">
        <v>175</v>
      </c>
      <c r="M90" s="58">
        <v>2536</v>
      </c>
      <c r="N90" s="59">
        <v>180</v>
      </c>
      <c r="O90" s="58">
        <v>2237</v>
      </c>
      <c r="P90" s="59">
        <v>180</v>
      </c>
      <c r="Q90" s="58">
        <v>2486</v>
      </c>
      <c r="R90" s="59">
        <v>185</v>
      </c>
      <c r="S90" s="58">
        <v>2233</v>
      </c>
      <c r="T90" s="59">
        <v>180</v>
      </c>
      <c r="U90" s="58">
        <v>2556</v>
      </c>
      <c r="V90" s="59">
        <v>185</v>
      </c>
      <c r="W90" s="58">
        <v>2428</v>
      </c>
      <c r="X90" s="59">
        <v>190</v>
      </c>
      <c r="Y90" s="58">
        <v>2532</v>
      </c>
      <c r="Z90" s="59">
        <v>191</v>
      </c>
      <c r="AA90" s="58">
        <v>2392</v>
      </c>
      <c r="AB90" s="59">
        <v>190</v>
      </c>
      <c r="AC90" s="58">
        <v>2571</v>
      </c>
      <c r="AD90" s="59">
        <v>195</v>
      </c>
      <c r="AE90" s="58">
        <v>2471</v>
      </c>
      <c r="AF90" s="59">
        <v>195</v>
      </c>
      <c r="AG90" s="58">
        <v>2695</v>
      </c>
      <c r="AH90" s="59">
        <v>200</v>
      </c>
      <c r="AI90" s="58">
        <v>2582</v>
      </c>
      <c r="AJ90" s="59">
        <v>200</v>
      </c>
      <c r="AK90" s="58">
        <v>2829</v>
      </c>
      <c r="AL90" s="59">
        <v>200</v>
      </c>
      <c r="AM90" s="58">
        <v>2734</v>
      </c>
      <c r="AN90" s="59">
        <v>200</v>
      </c>
      <c r="AO90" s="58">
        <v>2831</v>
      </c>
      <c r="AP90" s="59">
        <v>210</v>
      </c>
      <c r="AQ90" s="58">
        <v>2178</v>
      </c>
      <c r="AR90" s="59">
        <v>210</v>
      </c>
      <c r="AS90" s="58">
        <v>2668</v>
      </c>
      <c r="AT90" s="59">
        <v>210</v>
      </c>
      <c r="AU90" s="58">
        <v>2488</v>
      </c>
      <c r="AV90" s="59">
        <v>210</v>
      </c>
      <c r="AW90" s="58">
        <v>2647</v>
      </c>
      <c r="AX90" s="59">
        <v>215</v>
      </c>
      <c r="AY90" s="58">
        <v>2450</v>
      </c>
      <c r="AZ90" s="59">
        <v>215</v>
      </c>
      <c r="BA90" s="58">
        <v>2587</v>
      </c>
      <c r="BB90" s="59">
        <v>220</v>
      </c>
      <c r="BC90" s="58">
        <v>2287</v>
      </c>
      <c r="BD90" s="59">
        <v>220</v>
      </c>
      <c r="BE90" s="58">
        <v>2458</v>
      </c>
      <c r="BF90" s="59">
        <v>220</v>
      </c>
      <c r="BG90" s="58">
        <v>2281</v>
      </c>
      <c r="BH90" s="59">
        <v>220</v>
      </c>
      <c r="BI90" s="58">
        <v>2365</v>
      </c>
      <c r="BJ90" s="59">
        <v>230</v>
      </c>
      <c r="BK90" s="58">
        <v>2175</v>
      </c>
      <c r="BL90" s="59">
        <v>230</v>
      </c>
      <c r="BM90" s="58">
        <v>2520</v>
      </c>
      <c r="BN90" s="59">
        <v>240</v>
      </c>
      <c r="BO90" s="58">
        <v>2283</v>
      </c>
      <c r="BP90" s="59">
        <v>245</v>
      </c>
      <c r="BQ90" s="58">
        <v>2468</v>
      </c>
      <c r="BR90" s="59">
        <v>250</v>
      </c>
      <c r="BS90" s="58">
        <v>2378</v>
      </c>
      <c r="BT90" s="59">
        <v>260</v>
      </c>
      <c r="BU90" s="58">
        <v>2775</v>
      </c>
      <c r="BV90" s="59">
        <v>270</v>
      </c>
      <c r="BW90" s="58">
        <v>2628</v>
      </c>
      <c r="BX90" s="59">
        <v>280</v>
      </c>
      <c r="BY90" s="58">
        <v>2575</v>
      </c>
      <c r="BZ90" s="59">
        <v>280</v>
      </c>
      <c r="CA90" s="58">
        <v>2472</v>
      </c>
      <c r="CB90" s="59">
        <v>290</v>
      </c>
      <c r="CC90" s="58">
        <v>2532</v>
      </c>
      <c r="CD90" s="59">
        <v>300</v>
      </c>
      <c r="CE90" s="58">
        <v>2583</v>
      </c>
      <c r="CF90" s="59">
        <v>295</v>
      </c>
      <c r="CG90" s="58">
        <v>2782</v>
      </c>
      <c r="CH90" s="59">
        <v>300</v>
      </c>
      <c r="CI90" s="58">
        <v>2665</v>
      </c>
      <c r="CJ90" s="59">
        <v>300</v>
      </c>
      <c r="CK90" s="58">
        <v>2760</v>
      </c>
      <c r="CL90" s="59">
        <v>320</v>
      </c>
      <c r="CM90" s="58">
        <v>2730</v>
      </c>
      <c r="CN90" s="59">
        <v>320</v>
      </c>
      <c r="CO90" s="58">
        <v>2967</v>
      </c>
      <c r="CP90" s="59">
        <v>320</v>
      </c>
      <c r="CQ90" s="58">
        <v>2795</v>
      </c>
      <c r="CR90" s="59">
        <v>325</v>
      </c>
      <c r="CS90" s="58">
        <v>2893</v>
      </c>
      <c r="CT90" s="59">
        <v>330</v>
      </c>
      <c r="CU90" s="58">
        <v>2765</v>
      </c>
      <c r="CV90" s="59">
        <v>330</v>
      </c>
      <c r="CW90" s="58">
        <v>3157</v>
      </c>
      <c r="CX90" s="59">
        <v>330</v>
      </c>
      <c r="CY90" s="58">
        <v>2987</v>
      </c>
      <c r="CZ90" s="59">
        <v>330</v>
      </c>
      <c r="DA90" s="58">
        <v>3013</v>
      </c>
      <c r="DB90" s="59">
        <v>335</v>
      </c>
      <c r="DC90" s="58">
        <v>2920</v>
      </c>
      <c r="DD90" s="59">
        <v>330</v>
      </c>
      <c r="DE90" s="58">
        <v>3204</v>
      </c>
      <c r="DF90" s="59">
        <v>330</v>
      </c>
      <c r="DG90" s="58">
        <v>3169</v>
      </c>
      <c r="DH90" s="59">
        <v>335</v>
      </c>
      <c r="DI90" s="58">
        <v>3170</v>
      </c>
      <c r="DJ90" s="59">
        <v>340</v>
      </c>
      <c r="DK90" s="58">
        <v>2995</v>
      </c>
      <c r="DL90" s="59">
        <v>335</v>
      </c>
      <c r="DM90" s="58">
        <v>3128</v>
      </c>
      <c r="DN90" s="59">
        <v>340</v>
      </c>
      <c r="DO90" s="58">
        <v>2992</v>
      </c>
      <c r="DP90" s="59">
        <v>343</v>
      </c>
      <c r="DQ90" s="58">
        <v>3087</v>
      </c>
      <c r="DR90" s="59">
        <v>350</v>
      </c>
      <c r="DS90" s="58">
        <v>2976</v>
      </c>
      <c r="DT90" s="59">
        <v>350</v>
      </c>
      <c r="DU90" s="58">
        <v>3284</v>
      </c>
      <c r="DV90" s="59">
        <v>350</v>
      </c>
      <c r="DW90" s="58">
        <v>3179</v>
      </c>
      <c r="DX90" s="59">
        <v>350</v>
      </c>
      <c r="DY90" s="58">
        <v>3189</v>
      </c>
      <c r="DZ90" s="59">
        <v>350</v>
      </c>
      <c r="EA90" s="58">
        <v>3133</v>
      </c>
      <c r="EB90" s="59">
        <v>350</v>
      </c>
      <c r="EC90" s="58">
        <v>3353</v>
      </c>
      <c r="ED90" s="59">
        <v>350</v>
      </c>
      <c r="EE90" s="58">
        <v>3233</v>
      </c>
      <c r="EF90" s="59">
        <v>370</v>
      </c>
      <c r="EG90" s="58">
        <v>3295</v>
      </c>
      <c r="EH90" s="59">
        <v>375</v>
      </c>
      <c r="EI90" s="58">
        <v>3195</v>
      </c>
      <c r="EJ90" s="59">
        <v>365</v>
      </c>
      <c r="EK90" s="58">
        <v>3568</v>
      </c>
      <c r="EL90" s="59">
        <v>370</v>
      </c>
      <c r="EM90" s="58">
        <v>3132</v>
      </c>
      <c r="EN90" s="59">
        <v>370</v>
      </c>
      <c r="EO90" s="58">
        <v>3438</v>
      </c>
      <c r="EP90" s="59">
        <v>380</v>
      </c>
      <c r="EQ90" s="58">
        <v>3208</v>
      </c>
      <c r="ER90" s="59">
        <v>380</v>
      </c>
      <c r="ES90" s="58">
        <v>3503</v>
      </c>
      <c r="ET90" s="59">
        <v>380</v>
      </c>
      <c r="EU90" s="58">
        <v>3313</v>
      </c>
      <c r="EV90" s="59">
        <v>390</v>
      </c>
      <c r="EW90" s="58">
        <v>3481</v>
      </c>
      <c r="EX90" s="59">
        <v>390</v>
      </c>
      <c r="EY90" s="58">
        <v>3166</v>
      </c>
      <c r="EZ90" s="59">
        <v>390</v>
      </c>
      <c r="FA90" s="58">
        <v>3392</v>
      </c>
      <c r="FB90" s="59">
        <v>385</v>
      </c>
      <c r="FC90" s="58">
        <v>3262</v>
      </c>
      <c r="FD90" s="59">
        <v>391</v>
      </c>
      <c r="FE90" s="58">
        <v>3359</v>
      </c>
      <c r="FF90" s="59">
        <v>392</v>
      </c>
      <c r="FG90" s="58">
        <v>3156</v>
      </c>
      <c r="FH90" s="59">
        <v>390</v>
      </c>
      <c r="FI90" s="58">
        <v>3450</v>
      </c>
      <c r="FJ90" s="59">
        <v>390</v>
      </c>
      <c r="FK90" s="58">
        <v>3219</v>
      </c>
      <c r="FL90" s="59">
        <v>390</v>
      </c>
      <c r="FM90" s="58">
        <v>3292</v>
      </c>
      <c r="FN90" s="59">
        <v>400</v>
      </c>
      <c r="FO90" s="58">
        <v>2906</v>
      </c>
      <c r="FP90" s="59">
        <v>395</v>
      </c>
      <c r="FQ90" s="58">
        <v>2558</v>
      </c>
      <c r="FR90" s="59">
        <v>400</v>
      </c>
      <c r="FS90" s="58">
        <v>2749</v>
      </c>
      <c r="FT90" s="59">
        <v>405</v>
      </c>
      <c r="FU90" s="58">
        <v>2932</v>
      </c>
      <c r="FV90" s="59">
        <v>415</v>
      </c>
      <c r="FW90" s="58">
        <v>2565</v>
      </c>
      <c r="FX90" s="59">
        <v>420</v>
      </c>
      <c r="FY90" s="58">
        <v>2802</v>
      </c>
      <c r="FZ90" s="59">
        <v>420</v>
      </c>
      <c r="GA90" s="58">
        <v>2946</v>
      </c>
      <c r="GB90" s="59">
        <v>440</v>
      </c>
      <c r="GC90" s="58">
        <v>2907</v>
      </c>
      <c r="GD90" s="59">
        <v>450</v>
      </c>
      <c r="GE90" s="58">
        <v>2882</v>
      </c>
      <c r="GF90" s="59">
        <v>450</v>
      </c>
      <c r="GG90" s="58">
        <v>2786</v>
      </c>
      <c r="GH90" s="59">
        <v>460</v>
      </c>
      <c r="GI90" s="58">
        <v>2638</v>
      </c>
      <c r="GJ90" s="59">
        <v>470</v>
      </c>
      <c r="GK90" s="58">
        <v>2761</v>
      </c>
      <c r="GL90" s="59">
        <v>490</v>
      </c>
      <c r="GM90" s="58">
        <v>2634</v>
      </c>
      <c r="GN90" s="59">
        <v>500</v>
      </c>
      <c r="GO90" s="58">
        <v>2719</v>
      </c>
      <c r="GP90" s="59">
        <v>520</v>
      </c>
      <c r="GQ90" s="58">
        <v>2408</v>
      </c>
      <c r="GR90" s="59">
        <v>530</v>
      </c>
      <c r="GS90" s="58">
        <v>2298</v>
      </c>
      <c r="GT90" s="59">
        <v>550</v>
      </c>
      <c r="GU90" s="58">
        <v>2535</v>
      </c>
      <c r="GV90" s="59">
        <v>550</v>
      </c>
      <c r="GW90" s="58">
        <v>2533</v>
      </c>
      <c r="GX90" s="59">
        <v>570</v>
      </c>
      <c r="GY90" s="58">
        <v>2646</v>
      </c>
      <c r="GZ90" s="59">
        <v>570</v>
      </c>
      <c r="HA90" s="10">
        <v>2672</v>
      </c>
      <c r="HB90" s="59">
        <v>575</v>
      </c>
      <c r="HC90" s="10">
        <v>2619</v>
      </c>
      <c r="HD90" s="59">
        <v>570</v>
      </c>
      <c r="HE90" s="10">
        <v>2750</v>
      </c>
      <c r="HF90" s="59">
        <v>580</v>
      </c>
    </row>
    <row r="91" spans="1:214" s="10" customFormat="1" x14ac:dyDescent="0.25">
      <c r="A91" s="57" t="s">
        <v>827</v>
      </c>
      <c r="B91" s="53" t="s">
        <v>828</v>
      </c>
      <c r="C91" s="60">
        <v>10033</v>
      </c>
      <c r="D91" s="61">
        <v>165</v>
      </c>
      <c r="E91" s="60">
        <v>10379</v>
      </c>
      <c r="F91" s="61">
        <v>165</v>
      </c>
      <c r="G91" s="60">
        <v>10227</v>
      </c>
      <c r="H91" s="61">
        <v>170</v>
      </c>
      <c r="I91" s="60">
        <v>11829</v>
      </c>
      <c r="J91" s="61">
        <v>170</v>
      </c>
      <c r="K91" s="60">
        <v>10262</v>
      </c>
      <c r="L91" s="61">
        <v>170</v>
      </c>
      <c r="M91" s="60">
        <v>11047</v>
      </c>
      <c r="N91" s="61">
        <v>175</v>
      </c>
      <c r="O91" s="60">
        <v>9935</v>
      </c>
      <c r="P91" s="61">
        <v>180</v>
      </c>
      <c r="Q91" s="60">
        <v>11234</v>
      </c>
      <c r="R91" s="61">
        <v>180</v>
      </c>
      <c r="S91" s="60">
        <v>9677</v>
      </c>
      <c r="T91" s="61">
        <v>180</v>
      </c>
      <c r="U91" s="60">
        <v>10373</v>
      </c>
      <c r="V91" s="61">
        <v>180</v>
      </c>
      <c r="W91" s="60">
        <v>10285</v>
      </c>
      <c r="X91" s="61">
        <v>185</v>
      </c>
      <c r="Y91" s="60">
        <v>11412</v>
      </c>
      <c r="Z91" s="61">
        <v>190</v>
      </c>
      <c r="AA91" s="60">
        <v>10262</v>
      </c>
      <c r="AB91" s="61">
        <v>190</v>
      </c>
      <c r="AC91" s="60">
        <v>10945</v>
      </c>
      <c r="AD91" s="61">
        <v>190</v>
      </c>
      <c r="AE91" s="60">
        <v>10603</v>
      </c>
      <c r="AF91" s="61">
        <v>195</v>
      </c>
      <c r="AG91" s="60">
        <v>12401</v>
      </c>
      <c r="AH91" s="61">
        <v>200</v>
      </c>
      <c r="AI91" s="60">
        <v>10972</v>
      </c>
      <c r="AJ91" s="61">
        <v>195</v>
      </c>
      <c r="AK91" s="60">
        <v>11800</v>
      </c>
      <c r="AL91" s="61">
        <v>200</v>
      </c>
      <c r="AM91" s="60">
        <v>11680</v>
      </c>
      <c r="AN91" s="61">
        <v>200</v>
      </c>
      <c r="AO91" s="60">
        <v>12955</v>
      </c>
      <c r="AP91" s="61">
        <v>205</v>
      </c>
      <c r="AQ91" s="60">
        <v>9675</v>
      </c>
      <c r="AR91" s="61">
        <v>200</v>
      </c>
      <c r="AS91" s="60">
        <v>11528</v>
      </c>
      <c r="AT91" s="61">
        <v>200</v>
      </c>
      <c r="AU91" s="60">
        <v>11107</v>
      </c>
      <c r="AV91" s="61">
        <v>205</v>
      </c>
      <c r="AW91" s="60">
        <v>12118</v>
      </c>
      <c r="AX91" s="61">
        <v>210</v>
      </c>
      <c r="AY91" s="60">
        <v>11100</v>
      </c>
      <c r="AZ91" s="61">
        <v>210</v>
      </c>
      <c r="BA91" s="60">
        <v>11583</v>
      </c>
      <c r="BB91" s="61">
        <v>210</v>
      </c>
      <c r="BC91" s="60">
        <v>10418</v>
      </c>
      <c r="BD91" s="61">
        <v>215</v>
      </c>
      <c r="BE91" s="60">
        <v>11618</v>
      </c>
      <c r="BF91" s="61">
        <v>220</v>
      </c>
      <c r="BG91" s="60">
        <v>10224</v>
      </c>
      <c r="BH91" s="61">
        <v>220</v>
      </c>
      <c r="BI91" s="60">
        <v>10815</v>
      </c>
      <c r="BJ91" s="61">
        <v>220</v>
      </c>
      <c r="BK91" s="60">
        <v>10075</v>
      </c>
      <c r="BL91" s="61">
        <v>230</v>
      </c>
      <c r="BM91" s="60">
        <v>11999</v>
      </c>
      <c r="BN91" s="61">
        <v>230</v>
      </c>
      <c r="BO91" s="60">
        <v>10305</v>
      </c>
      <c r="BP91" s="61">
        <v>235</v>
      </c>
      <c r="BQ91" s="60">
        <v>11193</v>
      </c>
      <c r="BR91" s="61">
        <v>240</v>
      </c>
      <c r="BS91" s="60">
        <v>10708</v>
      </c>
      <c r="BT91" s="61">
        <v>250</v>
      </c>
      <c r="BU91" s="60">
        <v>12449</v>
      </c>
      <c r="BV91" s="61">
        <v>260</v>
      </c>
      <c r="BW91" s="60">
        <v>11658</v>
      </c>
      <c r="BX91" s="61">
        <v>260</v>
      </c>
      <c r="BY91" s="60">
        <v>11572</v>
      </c>
      <c r="BZ91" s="61">
        <v>270</v>
      </c>
      <c r="CA91" s="60">
        <v>11386</v>
      </c>
      <c r="CB91" s="61">
        <v>280</v>
      </c>
      <c r="CC91" s="60">
        <v>12194</v>
      </c>
      <c r="CD91" s="61">
        <v>280</v>
      </c>
      <c r="CE91" s="60">
        <v>11347</v>
      </c>
      <c r="CF91" s="61">
        <v>280</v>
      </c>
      <c r="CG91" s="60">
        <v>12095</v>
      </c>
      <c r="CH91" s="61">
        <v>285</v>
      </c>
      <c r="CI91" s="60">
        <v>12028</v>
      </c>
      <c r="CJ91" s="61">
        <v>290</v>
      </c>
      <c r="CK91" s="60">
        <v>12975</v>
      </c>
      <c r="CL91" s="61">
        <v>300</v>
      </c>
      <c r="CM91" s="60">
        <v>12514</v>
      </c>
      <c r="CN91" s="61">
        <v>300</v>
      </c>
      <c r="CO91" s="60">
        <v>13274</v>
      </c>
      <c r="CP91" s="61">
        <v>300</v>
      </c>
      <c r="CQ91" s="60">
        <v>12918</v>
      </c>
      <c r="CR91" s="61">
        <v>310</v>
      </c>
      <c r="CS91" s="60">
        <v>13915</v>
      </c>
      <c r="CT91" s="61">
        <v>320</v>
      </c>
      <c r="CU91" s="60">
        <v>12794</v>
      </c>
      <c r="CV91" s="61">
        <v>320</v>
      </c>
      <c r="CW91" s="60">
        <v>14150</v>
      </c>
      <c r="CX91" s="61">
        <v>315</v>
      </c>
      <c r="CY91" s="60">
        <v>13259</v>
      </c>
      <c r="CZ91" s="61">
        <v>320</v>
      </c>
      <c r="DA91" s="60">
        <v>14763</v>
      </c>
      <c r="DB91" s="61">
        <v>320</v>
      </c>
      <c r="DC91" s="60">
        <v>13265</v>
      </c>
      <c r="DD91" s="61">
        <v>315</v>
      </c>
      <c r="DE91" s="60">
        <v>14397</v>
      </c>
      <c r="DF91" s="61">
        <v>320</v>
      </c>
      <c r="DG91" s="60">
        <v>13977</v>
      </c>
      <c r="DH91" s="61">
        <v>320</v>
      </c>
      <c r="DI91" s="60">
        <v>14702</v>
      </c>
      <c r="DJ91" s="61">
        <v>320</v>
      </c>
      <c r="DK91" s="60">
        <v>13884</v>
      </c>
      <c r="DL91" s="61">
        <v>320</v>
      </c>
      <c r="DM91" s="60">
        <v>14401</v>
      </c>
      <c r="DN91" s="61">
        <v>320</v>
      </c>
      <c r="DO91" s="60">
        <v>13643</v>
      </c>
      <c r="DP91" s="61">
        <v>325</v>
      </c>
      <c r="DQ91" s="60">
        <v>14410</v>
      </c>
      <c r="DR91" s="61">
        <v>330</v>
      </c>
      <c r="DS91" s="60">
        <v>13116</v>
      </c>
      <c r="DT91" s="61">
        <v>330</v>
      </c>
      <c r="DU91" s="60">
        <v>14274</v>
      </c>
      <c r="DV91" s="61">
        <v>330</v>
      </c>
      <c r="DW91" s="60">
        <v>14465</v>
      </c>
      <c r="DX91" s="61">
        <v>330</v>
      </c>
      <c r="DY91" s="60">
        <v>14949</v>
      </c>
      <c r="DZ91" s="61">
        <v>340</v>
      </c>
      <c r="EA91" s="60">
        <v>14269</v>
      </c>
      <c r="EB91" s="61">
        <v>340</v>
      </c>
      <c r="EC91" s="60">
        <v>14605</v>
      </c>
      <c r="ED91" s="61">
        <v>340</v>
      </c>
      <c r="EE91" s="60">
        <v>15012</v>
      </c>
      <c r="EF91" s="61">
        <v>350</v>
      </c>
      <c r="EG91" s="60">
        <v>15787</v>
      </c>
      <c r="EH91" s="61">
        <v>350</v>
      </c>
      <c r="EI91" s="60">
        <v>14751</v>
      </c>
      <c r="EJ91" s="61">
        <v>350</v>
      </c>
      <c r="EK91" s="60">
        <v>15805</v>
      </c>
      <c r="EL91" s="61">
        <v>350</v>
      </c>
      <c r="EM91" s="60">
        <v>14421</v>
      </c>
      <c r="EN91" s="61">
        <v>350</v>
      </c>
      <c r="EO91" s="60">
        <v>16021</v>
      </c>
      <c r="EP91" s="61">
        <v>360</v>
      </c>
      <c r="EQ91" s="60">
        <v>14318</v>
      </c>
      <c r="ER91" s="61">
        <v>360</v>
      </c>
      <c r="ES91" s="60">
        <v>15152</v>
      </c>
      <c r="ET91" s="61">
        <v>360</v>
      </c>
      <c r="EU91" s="60">
        <v>14606</v>
      </c>
      <c r="EV91" s="61">
        <v>370</v>
      </c>
      <c r="EW91" s="60">
        <v>15673</v>
      </c>
      <c r="EX91" s="61">
        <v>370</v>
      </c>
      <c r="EY91" s="60">
        <v>13921</v>
      </c>
      <c r="EZ91" s="61">
        <v>370</v>
      </c>
      <c r="FA91" s="60">
        <v>14629</v>
      </c>
      <c r="FB91" s="61">
        <v>375</v>
      </c>
      <c r="FC91" s="60">
        <v>13910</v>
      </c>
      <c r="FD91" s="61">
        <v>380</v>
      </c>
      <c r="FE91" s="60">
        <v>14744</v>
      </c>
      <c r="FF91" s="61">
        <v>380</v>
      </c>
      <c r="FG91" s="60">
        <v>13685</v>
      </c>
      <c r="FH91" s="61">
        <v>380</v>
      </c>
      <c r="FI91" s="60">
        <v>14619</v>
      </c>
      <c r="FJ91" s="61">
        <v>380</v>
      </c>
      <c r="FK91" s="60">
        <v>14002</v>
      </c>
      <c r="FL91" s="61">
        <v>380</v>
      </c>
      <c r="FM91" s="60">
        <v>14771</v>
      </c>
      <c r="FN91" s="61">
        <v>385</v>
      </c>
      <c r="FO91" s="60">
        <v>13098</v>
      </c>
      <c r="FP91" s="61">
        <v>380</v>
      </c>
      <c r="FQ91" s="60">
        <v>12092</v>
      </c>
      <c r="FR91" s="61">
        <v>380</v>
      </c>
      <c r="FS91" s="60">
        <v>12644</v>
      </c>
      <c r="FT91" s="61">
        <v>390</v>
      </c>
      <c r="FU91" s="60">
        <v>13761</v>
      </c>
      <c r="FV91" s="61">
        <v>395</v>
      </c>
      <c r="FW91" s="60">
        <v>12456</v>
      </c>
      <c r="FX91" s="61">
        <v>395</v>
      </c>
      <c r="FY91" s="60">
        <v>12769</v>
      </c>
      <c r="FZ91" s="61">
        <v>400</v>
      </c>
      <c r="GA91" s="60">
        <v>13909</v>
      </c>
      <c r="GB91" s="61">
        <v>400</v>
      </c>
      <c r="GC91" s="60">
        <v>13884</v>
      </c>
      <c r="GD91" s="61">
        <v>420</v>
      </c>
      <c r="GE91" s="60">
        <v>13363</v>
      </c>
      <c r="GF91" s="61">
        <v>420</v>
      </c>
      <c r="GG91" s="60">
        <v>13363</v>
      </c>
      <c r="GH91" s="61">
        <v>430</v>
      </c>
      <c r="GI91" s="60">
        <v>12475</v>
      </c>
      <c r="GJ91" s="61">
        <v>430</v>
      </c>
      <c r="GK91" s="60">
        <v>13059</v>
      </c>
      <c r="GL91" s="61">
        <v>450</v>
      </c>
      <c r="GM91" s="60">
        <v>12173</v>
      </c>
      <c r="GN91" s="61">
        <v>450</v>
      </c>
      <c r="GO91" s="60">
        <v>12467</v>
      </c>
      <c r="GP91" s="61">
        <v>475</v>
      </c>
      <c r="GQ91" s="60">
        <v>11252</v>
      </c>
      <c r="GR91" s="61">
        <v>485</v>
      </c>
      <c r="GS91" s="60">
        <v>11202</v>
      </c>
      <c r="GT91" s="61">
        <v>500</v>
      </c>
      <c r="GU91" s="60">
        <v>11867</v>
      </c>
      <c r="GV91" s="61">
        <v>500</v>
      </c>
      <c r="GW91" s="60">
        <v>11918</v>
      </c>
      <c r="GX91" s="61">
        <v>510</v>
      </c>
      <c r="GY91" s="60">
        <v>12413</v>
      </c>
      <c r="GZ91" s="61">
        <v>520</v>
      </c>
      <c r="HA91" s="10">
        <v>12713</v>
      </c>
      <c r="HB91" s="61">
        <v>525</v>
      </c>
      <c r="HC91" s="10">
        <v>12368</v>
      </c>
      <c r="HD91" s="61">
        <v>520</v>
      </c>
      <c r="HE91" s="10">
        <v>12542</v>
      </c>
      <c r="HF91" s="61">
        <v>530</v>
      </c>
    </row>
    <row r="92" spans="1:214" x14ac:dyDescent="0.25">
      <c r="A92" s="53"/>
      <c r="B92" s="54"/>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3"/>
      <c r="DP92" s="63"/>
      <c r="DQ92" s="63"/>
      <c r="DR92" s="63"/>
      <c r="DS92" s="63"/>
      <c r="DT92" s="63"/>
      <c r="DU92" s="63"/>
      <c r="DV92" s="63"/>
      <c r="DW92" s="63"/>
      <c r="DX92" s="63"/>
      <c r="DY92" s="63"/>
      <c r="DZ92" s="63"/>
      <c r="EA92" s="63"/>
      <c r="EB92" s="63"/>
      <c r="EC92" s="63"/>
      <c r="ED92" s="63"/>
      <c r="EE92" s="63"/>
      <c r="EF92" s="63"/>
      <c r="EG92" s="63"/>
      <c r="EH92" s="63"/>
      <c r="EI92" s="63"/>
      <c r="EJ92" s="63"/>
      <c r="EK92" s="63"/>
      <c r="EL92" s="63"/>
      <c r="EM92" s="63"/>
      <c r="EN92" s="63"/>
      <c r="EO92" s="63"/>
      <c r="EP92" s="63"/>
      <c r="EQ92" s="63"/>
      <c r="ER92" s="63"/>
      <c r="ES92" s="63"/>
      <c r="ET92" s="63"/>
      <c r="EU92" s="63"/>
      <c r="EV92" s="63"/>
      <c r="EW92" s="63"/>
      <c r="EX92" s="63"/>
      <c r="EY92" s="63"/>
      <c r="EZ92" s="63"/>
      <c r="FA92" s="62"/>
      <c r="FB92" s="62"/>
      <c r="FC92" s="62"/>
      <c r="FD92" s="62"/>
      <c r="FE92" s="62"/>
      <c r="FF92" s="62"/>
      <c r="FG92" s="62"/>
      <c r="FH92" s="62"/>
      <c r="FI92" s="62"/>
      <c r="FJ92" s="62"/>
      <c r="FK92" s="62"/>
      <c r="FL92" s="62"/>
      <c r="FM92" s="62"/>
      <c r="FN92" s="62"/>
      <c r="FO92" s="62"/>
      <c r="FP92" s="62"/>
      <c r="FQ92" s="62"/>
      <c r="FR92" s="62"/>
      <c r="FS92" s="62"/>
      <c r="FT92" s="62"/>
      <c r="FU92" s="62"/>
      <c r="FV92" s="62"/>
      <c r="FW92" s="62"/>
      <c r="FX92" s="62"/>
      <c r="FY92" s="62"/>
      <c r="FZ92" s="62"/>
      <c r="GA92" s="62"/>
      <c r="GB92" s="62"/>
      <c r="GC92" s="62"/>
      <c r="GD92" s="62"/>
      <c r="GE92" s="62"/>
      <c r="GF92" s="62"/>
      <c r="GG92" s="62"/>
      <c r="GH92" s="62"/>
      <c r="GI92" s="62"/>
      <c r="GJ92" s="62"/>
      <c r="GK92" s="62"/>
      <c r="GL92" s="62"/>
      <c r="GM92" s="62"/>
      <c r="GN92" s="62"/>
      <c r="GO92" s="62"/>
      <c r="GP92" s="62"/>
      <c r="GQ92" s="62"/>
      <c r="GR92" s="62"/>
      <c r="GS92" s="62"/>
      <c r="GT92" s="62"/>
      <c r="GU92" s="62"/>
      <c r="GV92" s="62"/>
      <c r="GW92" s="62"/>
      <c r="GX92" s="62"/>
      <c r="GY92" s="62"/>
      <c r="GZ92" s="62"/>
      <c r="HB92" s="62"/>
      <c r="HD92" s="62"/>
      <c r="HF92" s="62"/>
    </row>
    <row r="93" spans="1:214" x14ac:dyDescent="0.25">
      <c r="A93" s="57" t="s">
        <v>829</v>
      </c>
      <c r="B93" s="57" t="s">
        <v>830</v>
      </c>
      <c r="C93" s="58">
        <v>6419</v>
      </c>
      <c r="D93" s="59">
        <v>180</v>
      </c>
      <c r="E93" s="58">
        <v>6787</v>
      </c>
      <c r="F93" s="59">
        <v>180</v>
      </c>
      <c r="G93" s="58">
        <v>6688</v>
      </c>
      <c r="H93" s="59">
        <v>185</v>
      </c>
      <c r="I93" s="58">
        <v>7657</v>
      </c>
      <c r="J93" s="59">
        <v>190</v>
      </c>
      <c r="K93" s="58">
        <v>6795</v>
      </c>
      <c r="L93" s="59">
        <v>185</v>
      </c>
      <c r="M93" s="58">
        <v>7274</v>
      </c>
      <c r="N93" s="59">
        <v>190</v>
      </c>
      <c r="O93" s="58">
        <v>6715</v>
      </c>
      <c r="P93" s="59">
        <v>190</v>
      </c>
      <c r="Q93" s="58">
        <v>7424</v>
      </c>
      <c r="R93" s="59">
        <v>200</v>
      </c>
      <c r="S93" s="58">
        <v>6573</v>
      </c>
      <c r="T93" s="59">
        <v>195</v>
      </c>
      <c r="U93" s="58">
        <v>7091</v>
      </c>
      <c r="V93" s="59">
        <v>200</v>
      </c>
      <c r="W93" s="58">
        <v>7016</v>
      </c>
      <c r="X93" s="59">
        <v>200</v>
      </c>
      <c r="Y93" s="58">
        <v>7738</v>
      </c>
      <c r="Z93" s="59">
        <v>210</v>
      </c>
      <c r="AA93" s="58">
        <v>6917</v>
      </c>
      <c r="AB93" s="59">
        <v>200</v>
      </c>
      <c r="AC93" s="58">
        <v>7400</v>
      </c>
      <c r="AD93" s="59">
        <v>200</v>
      </c>
      <c r="AE93" s="58">
        <v>7185</v>
      </c>
      <c r="AF93" s="59">
        <v>210</v>
      </c>
      <c r="AG93" s="58">
        <v>8304</v>
      </c>
      <c r="AH93" s="59">
        <v>210</v>
      </c>
      <c r="AI93" s="58">
        <v>7362</v>
      </c>
      <c r="AJ93" s="59">
        <v>210</v>
      </c>
      <c r="AK93" s="58">
        <v>8056</v>
      </c>
      <c r="AL93" s="59">
        <v>210</v>
      </c>
      <c r="AM93" s="58">
        <v>7762</v>
      </c>
      <c r="AN93" s="59">
        <v>210</v>
      </c>
      <c r="AO93" s="58">
        <v>8741</v>
      </c>
      <c r="AP93" s="59">
        <v>220</v>
      </c>
      <c r="AQ93" s="58">
        <v>6417</v>
      </c>
      <c r="AR93" s="59">
        <v>220</v>
      </c>
      <c r="AS93" s="58">
        <v>7720</v>
      </c>
      <c r="AT93" s="59">
        <v>220</v>
      </c>
      <c r="AU93" s="58">
        <v>7346</v>
      </c>
      <c r="AV93" s="59">
        <v>220</v>
      </c>
      <c r="AW93" s="58">
        <v>7910</v>
      </c>
      <c r="AX93" s="59">
        <v>225</v>
      </c>
      <c r="AY93" s="58">
        <v>7234</v>
      </c>
      <c r="AZ93" s="59">
        <v>220</v>
      </c>
      <c r="BA93" s="58">
        <v>7554</v>
      </c>
      <c r="BB93" s="59">
        <v>225</v>
      </c>
      <c r="BC93" s="58">
        <v>6746</v>
      </c>
      <c r="BD93" s="59">
        <v>230</v>
      </c>
      <c r="BE93" s="58">
        <v>7412</v>
      </c>
      <c r="BF93" s="59">
        <v>230</v>
      </c>
      <c r="BG93" s="58">
        <v>6621</v>
      </c>
      <c r="BH93" s="59">
        <v>230</v>
      </c>
      <c r="BI93" s="58">
        <v>6927</v>
      </c>
      <c r="BJ93" s="59">
        <v>240</v>
      </c>
      <c r="BK93" s="58">
        <v>6478</v>
      </c>
      <c r="BL93" s="59">
        <v>240</v>
      </c>
      <c r="BM93" s="58">
        <v>7660</v>
      </c>
      <c r="BN93" s="59">
        <v>250</v>
      </c>
      <c r="BO93" s="58">
        <v>6587</v>
      </c>
      <c r="BP93" s="59">
        <v>250</v>
      </c>
      <c r="BQ93" s="58">
        <v>7134</v>
      </c>
      <c r="BR93" s="59">
        <v>260</v>
      </c>
      <c r="BS93" s="58">
        <v>6829</v>
      </c>
      <c r="BT93" s="59">
        <v>270</v>
      </c>
      <c r="BU93" s="58">
        <v>7894</v>
      </c>
      <c r="BV93" s="59">
        <v>280</v>
      </c>
      <c r="BW93" s="58">
        <v>7401</v>
      </c>
      <c r="BX93" s="59">
        <v>290</v>
      </c>
      <c r="BY93" s="58">
        <v>7425</v>
      </c>
      <c r="BZ93" s="59">
        <v>300</v>
      </c>
      <c r="CA93" s="58">
        <v>7359</v>
      </c>
      <c r="CB93" s="59">
        <v>300</v>
      </c>
      <c r="CC93" s="58">
        <v>7708</v>
      </c>
      <c r="CD93" s="59">
        <v>310</v>
      </c>
      <c r="CE93" s="58">
        <v>7302</v>
      </c>
      <c r="CF93" s="59">
        <v>300</v>
      </c>
      <c r="CG93" s="58">
        <v>7927</v>
      </c>
      <c r="CH93" s="59">
        <v>310</v>
      </c>
      <c r="CI93" s="58">
        <v>7897</v>
      </c>
      <c r="CJ93" s="59">
        <v>320</v>
      </c>
      <c r="CK93" s="58">
        <v>8569</v>
      </c>
      <c r="CL93" s="59">
        <v>330</v>
      </c>
      <c r="CM93" s="58">
        <v>8224</v>
      </c>
      <c r="CN93" s="59">
        <v>330</v>
      </c>
      <c r="CO93" s="58">
        <v>8823</v>
      </c>
      <c r="CP93" s="59">
        <v>330</v>
      </c>
      <c r="CQ93" s="58">
        <v>8635</v>
      </c>
      <c r="CR93" s="59">
        <v>330</v>
      </c>
      <c r="CS93" s="58">
        <v>9218</v>
      </c>
      <c r="CT93" s="59">
        <v>340</v>
      </c>
      <c r="CU93" s="58">
        <v>8519</v>
      </c>
      <c r="CV93" s="59">
        <v>340</v>
      </c>
      <c r="CW93" s="58">
        <v>9448</v>
      </c>
      <c r="CX93" s="59">
        <v>339</v>
      </c>
      <c r="CY93" s="58">
        <v>8883</v>
      </c>
      <c r="CZ93" s="59">
        <v>340</v>
      </c>
      <c r="DA93" s="58">
        <v>9818</v>
      </c>
      <c r="DB93" s="59">
        <v>340</v>
      </c>
      <c r="DC93" s="58">
        <v>8671</v>
      </c>
      <c r="DD93" s="59">
        <v>335</v>
      </c>
      <c r="DE93" s="58">
        <v>9730</v>
      </c>
      <c r="DF93" s="59">
        <v>340</v>
      </c>
      <c r="DG93" s="58">
        <v>9378</v>
      </c>
      <c r="DH93" s="59">
        <v>340</v>
      </c>
      <c r="DI93" s="58">
        <v>9678</v>
      </c>
      <c r="DJ93" s="59">
        <v>349</v>
      </c>
      <c r="DK93" s="58">
        <v>9138</v>
      </c>
      <c r="DL93" s="59">
        <v>340</v>
      </c>
      <c r="DM93" s="58">
        <v>9511</v>
      </c>
      <c r="DN93" s="59">
        <v>345</v>
      </c>
      <c r="DO93" s="58">
        <v>9049</v>
      </c>
      <c r="DP93" s="59">
        <v>350</v>
      </c>
      <c r="DQ93" s="58">
        <v>9401</v>
      </c>
      <c r="DR93" s="59">
        <v>350</v>
      </c>
      <c r="DS93" s="58">
        <v>8668</v>
      </c>
      <c r="DT93" s="59">
        <v>350</v>
      </c>
      <c r="DU93" s="58">
        <v>9509</v>
      </c>
      <c r="DV93" s="59">
        <v>350</v>
      </c>
      <c r="DW93" s="58">
        <v>9522</v>
      </c>
      <c r="DX93" s="59">
        <v>360</v>
      </c>
      <c r="DY93" s="58">
        <v>9817</v>
      </c>
      <c r="DZ93" s="59">
        <v>360</v>
      </c>
      <c r="EA93" s="58">
        <v>9367</v>
      </c>
      <c r="EB93" s="59">
        <v>360</v>
      </c>
      <c r="EC93" s="58">
        <v>9712</v>
      </c>
      <c r="ED93" s="59">
        <v>360</v>
      </c>
      <c r="EE93" s="58">
        <v>10008</v>
      </c>
      <c r="EF93" s="59">
        <v>370</v>
      </c>
      <c r="EG93" s="58">
        <v>10478</v>
      </c>
      <c r="EH93" s="59">
        <v>380</v>
      </c>
      <c r="EI93" s="58">
        <v>9825</v>
      </c>
      <c r="EJ93" s="59">
        <v>370</v>
      </c>
      <c r="EK93" s="58">
        <v>10608</v>
      </c>
      <c r="EL93" s="59">
        <v>375</v>
      </c>
      <c r="EM93" s="58">
        <v>9566</v>
      </c>
      <c r="EN93" s="59">
        <v>380</v>
      </c>
      <c r="EO93" s="58">
        <v>10692</v>
      </c>
      <c r="EP93" s="59">
        <v>390</v>
      </c>
      <c r="EQ93" s="58">
        <v>9541</v>
      </c>
      <c r="ER93" s="59">
        <v>380</v>
      </c>
      <c r="ES93" s="58">
        <v>10357</v>
      </c>
      <c r="ET93" s="59">
        <v>385</v>
      </c>
      <c r="EU93" s="58">
        <v>9967</v>
      </c>
      <c r="EV93" s="59">
        <v>395</v>
      </c>
      <c r="EW93" s="58">
        <v>10740</v>
      </c>
      <c r="EX93" s="59">
        <v>400</v>
      </c>
      <c r="EY93" s="58">
        <v>9395</v>
      </c>
      <c r="EZ93" s="59">
        <v>395</v>
      </c>
      <c r="FA93" s="58">
        <v>10032</v>
      </c>
      <c r="FB93" s="59">
        <v>400</v>
      </c>
      <c r="FC93" s="58">
        <v>9716</v>
      </c>
      <c r="FD93" s="59">
        <v>400</v>
      </c>
      <c r="FE93" s="58">
        <v>10287</v>
      </c>
      <c r="FF93" s="59">
        <v>400</v>
      </c>
      <c r="FG93" s="58">
        <v>9373</v>
      </c>
      <c r="FH93" s="59">
        <v>400</v>
      </c>
      <c r="FI93" s="58">
        <v>10161</v>
      </c>
      <c r="FJ93" s="59">
        <v>400</v>
      </c>
      <c r="FK93" s="58">
        <v>9602</v>
      </c>
      <c r="FL93" s="59">
        <v>400</v>
      </c>
      <c r="FM93" s="58">
        <v>10140</v>
      </c>
      <c r="FN93" s="59">
        <v>410</v>
      </c>
      <c r="FO93" s="58">
        <v>8895</v>
      </c>
      <c r="FP93" s="59">
        <v>400</v>
      </c>
      <c r="FQ93" s="58">
        <v>7913</v>
      </c>
      <c r="FR93" s="59">
        <v>400</v>
      </c>
      <c r="FS93" s="58">
        <v>8914</v>
      </c>
      <c r="FT93" s="59">
        <v>400</v>
      </c>
      <c r="FU93" s="58">
        <v>9858</v>
      </c>
      <c r="FV93" s="59">
        <v>410</v>
      </c>
      <c r="FW93" s="58">
        <v>8695</v>
      </c>
      <c r="FX93" s="59">
        <v>410</v>
      </c>
      <c r="FY93" s="58">
        <v>8899</v>
      </c>
      <c r="FZ93" s="59">
        <v>410</v>
      </c>
      <c r="GA93" s="58">
        <v>9921</v>
      </c>
      <c r="GB93" s="59">
        <v>420</v>
      </c>
      <c r="GC93" s="58">
        <v>10097</v>
      </c>
      <c r="GD93" s="59">
        <v>430</v>
      </c>
      <c r="GE93" s="58">
        <v>9578</v>
      </c>
      <c r="GF93" s="59">
        <v>430</v>
      </c>
      <c r="GG93" s="58">
        <v>9433</v>
      </c>
      <c r="GH93" s="59">
        <v>445</v>
      </c>
      <c r="GI93" s="58">
        <v>8820</v>
      </c>
      <c r="GJ93" s="59">
        <v>450</v>
      </c>
      <c r="GK93" s="58">
        <v>9151</v>
      </c>
      <c r="GL93" s="59">
        <v>465</v>
      </c>
      <c r="GM93" s="58">
        <v>8378</v>
      </c>
      <c r="GN93" s="59">
        <v>480</v>
      </c>
      <c r="GO93" s="58">
        <v>8563</v>
      </c>
      <c r="GP93" s="59">
        <v>500</v>
      </c>
      <c r="GQ93" s="58">
        <v>7779</v>
      </c>
      <c r="GR93" s="59">
        <v>515</v>
      </c>
      <c r="GS93" s="58">
        <v>7595</v>
      </c>
      <c r="GT93" s="59">
        <v>530</v>
      </c>
      <c r="GU93" s="58">
        <v>8109</v>
      </c>
      <c r="GV93" s="59">
        <v>550</v>
      </c>
      <c r="GW93" s="58">
        <v>8134</v>
      </c>
      <c r="GX93" s="59">
        <v>550</v>
      </c>
      <c r="GY93" s="58">
        <v>8597</v>
      </c>
      <c r="GZ93" s="59">
        <v>550</v>
      </c>
      <c r="HA93" s="6">
        <v>8936</v>
      </c>
      <c r="HB93" s="59">
        <v>550</v>
      </c>
      <c r="HC93" s="6">
        <v>8619</v>
      </c>
      <c r="HD93" s="59">
        <v>550</v>
      </c>
      <c r="HE93" s="6">
        <v>8783</v>
      </c>
      <c r="HF93" s="59">
        <v>550</v>
      </c>
    </row>
    <row r="94" spans="1:214" x14ac:dyDescent="0.25">
      <c r="A94" s="57"/>
      <c r="B94" s="57" t="s">
        <v>831</v>
      </c>
      <c r="C94" s="58">
        <v>3614</v>
      </c>
      <c r="D94" s="59">
        <v>140</v>
      </c>
      <c r="E94" s="58">
        <v>3592</v>
      </c>
      <c r="F94" s="59">
        <v>140</v>
      </c>
      <c r="G94" s="58">
        <v>3539</v>
      </c>
      <c r="H94" s="59">
        <v>140</v>
      </c>
      <c r="I94" s="58">
        <v>4172</v>
      </c>
      <c r="J94" s="59">
        <v>140</v>
      </c>
      <c r="K94" s="58">
        <v>3467</v>
      </c>
      <c r="L94" s="59">
        <v>145</v>
      </c>
      <c r="M94" s="58">
        <v>3773</v>
      </c>
      <c r="N94" s="59">
        <v>145</v>
      </c>
      <c r="O94" s="58">
        <v>3220</v>
      </c>
      <c r="P94" s="59">
        <v>145</v>
      </c>
      <c r="Q94" s="58">
        <v>3810</v>
      </c>
      <c r="R94" s="59">
        <v>150</v>
      </c>
      <c r="S94" s="58">
        <v>3104</v>
      </c>
      <c r="T94" s="59">
        <v>150</v>
      </c>
      <c r="U94" s="58">
        <v>3282</v>
      </c>
      <c r="V94" s="59">
        <v>150</v>
      </c>
      <c r="W94" s="58">
        <v>3269</v>
      </c>
      <c r="X94" s="59">
        <v>155</v>
      </c>
      <c r="Y94" s="58">
        <v>3674</v>
      </c>
      <c r="Z94" s="59">
        <v>160</v>
      </c>
      <c r="AA94" s="58">
        <v>3345</v>
      </c>
      <c r="AB94" s="59">
        <v>160</v>
      </c>
      <c r="AC94" s="58">
        <v>3545</v>
      </c>
      <c r="AD94" s="59">
        <v>160</v>
      </c>
      <c r="AE94" s="58">
        <v>3418</v>
      </c>
      <c r="AF94" s="59">
        <v>165</v>
      </c>
      <c r="AG94" s="58">
        <v>4097</v>
      </c>
      <c r="AH94" s="59">
        <v>170</v>
      </c>
      <c r="AI94" s="58">
        <v>3610</v>
      </c>
      <c r="AJ94" s="59">
        <v>170</v>
      </c>
      <c r="AK94" s="58">
        <v>3744</v>
      </c>
      <c r="AL94" s="59">
        <v>170</v>
      </c>
      <c r="AM94" s="58">
        <v>3918</v>
      </c>
      <c r="AN94" s="59">
        <v>180</v>
      </c>
      <c r="AO94" s="58">
        <v>4214</v>
      </c>
      <c r="AP94" s="59">
        <v>180</v>
      </c>
      <c r="AQ94" s="58">
        <v>3258</v>
      </c>
      <c r="AR94" s="59">
        <v>180</v>
      </c>
      <c r="AS94" s="58">
        <v>3808</v>
      </c>
      <c r="AT94" s="59">
        <v>180</v>
      </c>
      <c r="AU94" s="58">
        <v>3761</v>
      </c>
      <c r="AV94" s="59">
        <v>185</v>
      </c>
      <c r="AW94" s="58">
        <v>4208</v>
      </c>
      <c r="AX94" s="59">
        <v>190</v>
      </c>
      <c r="AY94" s="58">
        <v>3866</v>
      </c>
      <c r="AZ94" s="59">
        <v>185</v>
      </c>
      <c r="BA94" s="58">
        <v>4029</v>
      </c>
      <c r="BB94" s="59">
        <v>185</v>
      </c>
      <c r="BC94" s="58">
        <v>3672</v>
      </c>
      <c r="BD94" s="59">
        <v>190</v>
      </c>
      <c r="BE94" s="58">
        <v>4206</v>
      </c>
      <c r="BF94" s="59">
        <v>190</v>
      </c>
      <c r="BG94" s="58">
        <v>3603</v>
      </c>
      <c r="BH94" s="59">
        <v>190</v>
      </c>
      <c r="BI94" s="58">
        <v>3888</v>
      </c>
      <c r="BJ94" s="59">
        <v>195</v>
      </c>
      <c r="BK94" s="58">
        <v>3597</v>
      </c>
      <c r="BL94" s="59">
        <v>200</v>
      </c>
      <c r="BM94" s="58">
        <v>4339</v>
      </c>
      <c r="BN94" s="59">
        <v>200</v>
      </c>
      <c r="BO94" s="58">
        <v>3718</v>
      </c>
      <c r="BP94" s="59">
        <v>200</v>
      </c>
      <c r="BQ94" s="58">
        <v>4059</v>
      </c>
      <c r="BR94" s="59">
        <v>205</v>
      </c>
      <c r="BS94" s="58">
        <v>3879</v>
      </c>
      <c r="BT94" s="59">
        <v>210</v>
      </c>
      <c r="BU94" s="58">
        <v>4555</v>
      </c>
      <c r="BV94" s="59">
        <v>220</v>
      </c>
      <c r="BW94" s="58">
        <v>4257</v>
      </c>
      <c r="BX94" s="59">
        <v>220</v>
      </c>
      <c r="BY94" s="58">
        <v>4147</v>
      </c>
      <c r="BZ94" s="59">
        <v>220</v>
      </c>
      <c r="CA94" s="58">
        <v>4027</v>
      </c>
      <c r="CB94" s="59">
        <v>225</v>
      </c>
      <c r="CC94" s="58">
        <v>4486</v>
      </c>
      <c r="CD94" s="59">
        <v>230</v>
      </c>
      <c r="CE94" s="58">
        <v>4045</v>
      </c>
      <c r="CF94" s="59">
        <v>230</v>
      </c>
      <c r="CG94" s="58">
        <v>4168</v>
      </c>
      <c r="CH94" s="59">
        <v>230</v>
      </c>
      <c r="CI94" s="58">
        <v>4131</v>
      </c>
      <c r="CJ94" s="59">
        <v>240</v>
      </c>
      <c r="CK94" s="58">
        <v>4406</v>
      </c>
      <c r="CL94" s="59">
        <v>240</v>
      </c>
      <c r="CM94" s="58">
        <v>4290</v>
      </c>
      <c r="CN94" s="59">
        <v>245</v>
      </c>
      <c r="CO94" s="58">
        <v>4451</v>
      </c>
      <c r="CP94" s="59">
        <v>250</v>
      </c>
      <c r="CQ94" s="58">
        <v>4283</v>
      </c>
      <c r="CR94" s="59">
        <v>250</v>
      </c>
      <c r="CS94" s="58">
        <v>4697</v>
      </c>
      <c r="CT94" s="59">
        <v>260</v>
      </c>
      <c r="CU94" s="58">
        <v>4275</v>
      </c>
      <c r="CV94" s="59">
        <v>260</v>
      </c>
      <c r="CW94" s="58">
        <v>4702</v>
      </c>
      <c r="CX94" s="59">
        <v>260</v>
      </c>
      <c r="CY94" s="58">
        <v>4376</v>
      </c>
      <c r="CZ94" s="59">
        <v>270</v>
      </c>
      <c r="DA94" s="58">
        <v>4945</v>
      </c>
      <c r="DB94" s="59">
        <v>270</v>
      </c>
      <c r="DC94" s="58">
        <v>4594</v>
      </c>
      <c r="DD94" s="59">
        <v>270</v>
      </c>
      <c r="DE94" s="58">
        <v>4667</v>
      </c>
      <c r="DF94" s="59">
        <v>270</v>
      </c>
      <c r="DG94" s="58">
        <v>4599</v>
      </c>
      <c r="DH94" s="59">
        <v>270</v>
      </c>
      <c r="DI94" s="58">
        <v>5024</v>
      </c>
      <c r="DJ94" s="59">
        <v>275</v>
      </c>
      <c r="DK94" s="58">
        <v>4746</v>
      </c>
      <c r="DL94" s="59">
        <v>270</v>
      </c>
      <c r="DM94" s="58">
        <v>4890</v>
      </c>
      <c r="DN94" s="59">
        <v>275</v>
      </c>
      <c r="DO94" s="58">
        <v>4594</v>
      </c>
      <c r="DP94" s="59">
        <v>280</v>
      </c>
      <c r="DQ94" s="58">
        <v>5009</v>
      </c>
      <c r="DR94" s="59">
        <v>280</v>
      </c>
      <c r="DS94" s="58">
        <v>4448</v>
      </c>
      <c r="DT94" s="59">
        <v>280</v>
      </c>
      <c r="DU94" s="58">
        <v>4765</v>
      </c>
      <c r="DV94" s="59">
        <v>280</v>
      </c>
      <c r="DW94" s="58">
        <v>4943</v>
      </c>
      <c r="DX94" s="59">
        <v>280</v>
      </c>
      <c r="DY94" s="58">
        <v>5132</v>
      </c>
      <c r="DZ94" s="59">
        <v>285</v>
      </c>
      <c r="EA94" s="58">
        <v>4902</v>
      </c>
      <c r="EB94" s="59">
        <v>280</v>
      </c>
      <c r="EC94" s="58">
        <v>4893</v>
      </c>
      <c r="ED94" s="59">
        <v>280</v>
      </c>
      <c r="EE94" s="58">
        <v>5004</v>
      </c>
      <c r="EF94" s="59">
        <v>285</v>
      </c>
      <c r="EG94" s="58">
        <v>5309</v>
      </c>
      <c r="EH94" s="59">
        <v>290</v>
      </c>
      <c r="EI94" s="58">
        <v>4926</v>
      </c>
      <c r="EJ94" s="59">
        <v>290</v>
      </c>
      <c r="EK94" s="58">
        <v>5197</v>
      </c>
      <c r="EL94" s="59">
        <v>290</v>
      </c>
      <c r="EM94" s="58">
        <v>4855</v>
      </c>
      <c r="EN94" s="59">
        <v>295</v>
      </c>
      <c r="EO94" s="58">
        <v>5329</v>
      </c>
      <c r="EP94" s="59">
        <v>300</v>
      </c>
      <c r="EQ94" s="58">
        <v>4777</v>
      </c>
      <c r="ER94" s="59">
        <v>300</v>
      </c>
      <c r="ES94" s="58">
        <v>4795</v>
      </c>
      <c r="ET94" s="59">
        <v>300</v>
      </c>
      <c r="EU94" s="58">
        <v>4639</v>
      </c>
      <c r="EV94" s="59">
        <v>300</v>
      </c>
      <c r="EW94" s="58">
        <v>4933</v>
      </c>
      <c r="EX94" s="59">
        <v>310</v>
      </c>
      <c r="EY94" s="58">
        <v>4526</v>
      </c>
      <c r="EZ94" s="59">
        <v>310</v>
      </c>
      <c r="FA94" s="58">
        <v>4597</v>
      </c>
      <c r="FB94" s="59">
        <v>310</v>
      </c>
      <c r="FC94" s="58">
        <v>4194</v>
      </c>
      <c r="FD94" s="59">
        <v>320</v>
      </c>
      <c r="FE94" s="58">
        <v>4457</v>
      </c>
      <c r="FF94" s="59">
        <v>320</v>
      </c>
      <c r="FG94" s="58">
        <v>4312</v>
      </c>
      <c r="FH94" s="59">
        <v>330</v>
      </c>
      <c r="FI94" s="58">
        <v>4458</v>
      </c>
      <c r="FJ94" s="59">
        <v>330</v>
      </c>
      <c r="FK94" s="58">
        <v>4400</v>
      </c>
      <c r="FL94" s="59">
        <v>330</v>
      </c>
      <c r="FM94" s="58">
        <v>4631</v>
      </c>
      <c r="FN94" s="59">
        <v>340</v>
      </c>
      <c r="FO94" s="58">
        <v>4203</v>
      </c>
      <c r="FP94" s="59">
        <v>330</v>
      </c>
      <c r="FQ94" s="58">
        <v>4179</v>
      </c>
      <c r="FR94" s="59">
        <v>340</v>
      </c>
      <c r="FS94" s="58">
        <v>3730</v>
      </c>
      <c r="FT94" s="59">
        <v>350</v>
      </c>
      <c r="FU94" s="58">
        <v>3903</v>
      </c>
      <c r="FV94" s="59">
        <v>359</v>
      </c>
      <c r="FW94" s="58">
        <v>3761</v>
      </c>
      <c r="FX94" s="59">
        <v>363</v>
      </c>
      <c r="FY94" s="58">
        <v>3870</v>
      </c>
      <c r="FZ94" s="59">
        <v>375</v>
      </c>
      <c r="GA94" s="58">
        <v>3988</v>
      </c>
      <c r="GB94" s="59">
        <v>380</v>
      </c>
      <c r="GC94" s="58">
        <v>3787</v>
      </c>
      <c r="GD94" s="59">
        <v>390</v>
      </c>
      <c r="GE94" s="58">
        <v>3785</v>
      </c>
      <c r="GF94" s="59">
        <v>400</v>
      </c>
      <c r="GG94" s="58">
        <v>3930</v>
      </c>
      <c r="GH94" s="59">
        <v>400</v>
      </c>
      <c r="GI94" s="58">
        <v>3655</v>
      </c>
      <c r="GJ94" s="59">
        <v>400</v>
      </c>
      <c r="GK94" s="58">
        <v>3908</v>
      </c>
      <c r="GL94" s="59">
        <v>420</v>
      </c>
      <c r="GM94" s="58">
        <v>3795</v>
      </c>
      <c r="GN94" s="59">
        <v>420</v>
      </c>
      <c r="GO94" s="58">
        <v>3904</v>
      </c>
      <c r="GP94" s="59">
        <v>430</v>
      </c>
      <c r="GQ94" s="58">
        <v>3473</v>
      </c>
      <c r="GR94" s="59">
        <v>430</v>
      </c>
      <c r="GS94" s="58">
        <v>3607</v>
      </c>
      <c r="GT94" s="59">
        <v>440</v>
      </c>
      <c r="GU94" s="58">
        <v>3758</v>
      </c>
      <c r="GV94" s="59">
        <v>450</v>
      </c>
      <c r="GW94" s="58">
        <v>3784</v>
      </c>
      <c r="GX94" s="59">
        <v>450</v>
      </c>
      <c r="GY94" s="58">
        <v>3816</v>
      </c>
      <c r="GZ94" s="59">
        <v>450</v>
      </c>
      <c r="HA94" s="6">
        <v>3777</v>
      </c>
      <c r="HB94" s="59">
        <v>460</v>
      </c>
      <c r="HC94" s="6">
        <v>3749</v>
      </c>
      <c r="HD94" s="59">
        <v>470</v>
      </c>
      <c r="HE94" s="6">
        <v>3759</v>
      </c>
      <c r="HF94" s="59">
        <v>480</v>
      </c>
    </row>
    <row r="95" spans="1:214" x14ac:dyDescent="0.25">
      <c r="A95" s="57"/>
      <c r="B95" s="64" t="s">
        <v>828</v>
      </c>
      <c r="C95" s="58">
        <v>10033</v>
      </c>
      <c r="D95" s="59">
        <v>165</v>
      </c>
      <c r="E95" s="58">
        <v>10379</v>
      </c>
      <c r="F95" s="59">
        <v>165</v>
      </c>
      <c r="G95" s="58">
        <v>10227</v>
      </c>
      <c r="H95" s="59">
        <v>170</v>
      </c>
      <c r="I95" s="58">
        <v>11829</v>
      </c>
      <c r="J95" s="59">
        <v>170</v>
      </c>
      <c r="K95" s="58">
        <v>10262</v>
      </c>
      <c r="L95" s="59">
        <v>170</v>
      </c>
      <c r="M95" s="58">
        <v>11047</v>
      </c>
      <c r="N95" s="59">
        <v>175</v>
      </c>
      <c r="O95" s="58">
        <v>9935</v>
      </c>
      <c r="P95" s="59">
        <v>180</v>
      </c>
      <c r="Q95" s="58">
        <v>11234</v>
      </c>
      <c r="R95" s="59">
        <v>180</v>
      </c>
      <c r="S95" s="58">
        <v>9677</v>
      </c>
      <c r="T95" s="59">
        <v>180</v>
      </c>
      <c r="U95" s="58">
        <v>10373</v>
      </c>
      <c r="V95" s="59">
        <v>180</v>
      </c>
      <c r="W95" s="58">
        <v>10285</v>
      </c>
      <c r="X95" s="59">
        <v>185</v>
      </c>
      <c r="Y95" s="58">
        <v>11412</v>
      </c>
      <c r="Z95" s="59">
        <v>190</v>
      </c>
      <c r="AA95" s="58">
        <v>10262</v>
      </c>
      <c r="AB95" s="59">
        <v>190</v>
      </c>
      <c r="AC95" s="58">
        <v>10945</v>
      </c>
      <c r="AD95" s="59">
        <v>190</v>
      </c>
      <c r="AE95" s="58">
        <v>10603</v>
      </c>
      <c r="AF95" s="59">
        <v>195</v>
      </c>
      <c r="AG95" s="58">
        <v>12401</v>
      </c>
      <c r="AH95" s="59">
        <v>200</v>
      </c>
      <c r="AI95" s="58">
        <v>10972</v>
      </c>
      <c r="AJ95" s="59">
        <v>195</v>
      </c>
      <c r="AK95" s="58">
        <v>11800</v>
      </c>
      <c r="AL95" s="59">
        <v>200</v>
      </c>
      <c r="AM95" s="58">
        <v>11680</v>
      </c>
      <c r="AN95" s="59">
        <v>200</v>
      </c>
      <c r="AO95" s="58">
        <v>12955</v>
      </c>
      <c r="AP95" s="59">
        <v>205</v>
      </c>
      <c r="AQ95" s="58">
        <v>9675</v>
      </c>
      <c r="AR95" s="59">
        <v>200</v>
      </c>
      <c r="AS95" s="58">
        <v>11528</v>
      </c>
      <c r="AT95" s="59">
        <v>200</v>
      </c>
      <c r="AU95" s="58">
        <v>11107</v>
      </c>
      <c r="AV95" s="59">
        <v>205</v>
      </c>
      <c r="AW95" s="58">
        <v>12118</v>
      </c>
      <c r="AX95" s="59">
        <v>210</v>
      </c>
      <c r="AY95" s="58">
        <v>11100</v>
      </c>
      <c r="AZ95" s="59">
        <v>210</v>
      </c>
      <c r="BA95" s="58">
        <v>11583</v>
      </c>
      <c r="BB95" s="59">
        <v>210</v>
      </c>
      <c r="BC95" s="58">
        <v>10418</v>
      </c>
      <c r="BD95" s="59">
        <v>215</v>
      </c>
      <c r="BE95" s="58">
        <v>11618</v>
      </c>
      <c r="BF95" s="59">
        <v>220</v>
      </c>
      <c r="BG95" s="58">
        <v>10224</v>
      </c>
      <c r="BH95" s="59">
        <v>220</v>
      </c>
      <c r="BI95" s="58">
        <v>10815</v>
      </c>
      <c r="BJ95" s="59">
        <v>220</v>
      </c>
      <c r="BK95" s="58">
        <v>10075</v>
      </c>
      <c r="BL95" s="59">
        <v>230</v>
      </c>
      <c r="BM95" s="58">
        <v>11999</v>
      </c>
      <c r="BN95" s="59">
        <v>230</v>
      </c>
      <c r="BO95" s="58">
        <v>10305</v>
      </c>
      <c r="BP95" s="59">
        <v>235</v>
      </c>
      <c r="BQ95" s="58">
        <v>11193</v>
      </c>
      <c r="BR95" s="59">
        <v>240</v>
      </c>
      <c r="BS95" s="58">
        <v>10708</v>
      </c>
      <c r="BT95" s="59">
        <v>250</v>
      </c>
      <c r="BU95" s="58">
        <v>12449</v>
      </c>
      <c r="BV95" s="59">
        <v>260</v>
      </c>
      <c r="BW95" s="58">
        <v>11658</v>
      </c>
      <c r="BX95" s="59">
        <v>260</v>
      </c>
      <c r="BY95" s="58">
        <v>11572</v>
      </c>
      <c r="BZ95" s="59">
        <v>270</v>
      </c>
      <c r="CA95" s="58">
        <v>11386</v>
      </c>
      <c r="CB95" s="59">
        <v>280</v>
      </c>
      <c r="CC95" s="58">
        <v>12194</v>
      </c>
      <c r="CD95" s="59">
        <v>280</v>
      </c>
      <c r="CE95" s="58">
        <v>11347</v>
      </c>
      <c r="CF95" s="59">
        <v>280</v>
      </c>
      <c r="CG95" s="58">
        <v>12095</v>
      </c>
      <c r="CH95" s="59">
        <v>285</v>
      </c>
      <c r="CI95" s="58">
        <v>12028</v>
      </c>
      <c r="CJ95" s="59">
        <v>290</v>
      </c>
      <c r="CK95" s="58">
        <v>12975</v>
      </c>
      <c r="CL95" s="59">
        <v>300</v>
      </c>
      <c r="CM95" s="58">
        <v>12514</v>
      </c>
      <c r="CN95" s="59">
        <v>300</v>
      </c>
      <c r="CO95" s="58">
        <v>13274</v>
      </c>
      <c r="CP95" s="59">
        <v>300</v>
      </c>
      <c r="CQ95" s="58">
        <v>12918</v>
      </c>
      <c r="CR95" s="59">
        <v>310</v>
      </c>
      <c r="CS95" s="58">
        <v>13915</v>
      </c>
      <c r="CT95" s="59">
        <v>320</v>
      </c>
      <c r="CU95" s="58">
        <v>12794</v>
      </c>
      <c r="CV95" s="59">
        <v>320</v>
      </c>
      <c r="CW95" s="58">
        <v>14150</v>
      </c>
      <c r="CX95" s="59">
        <v>315</v>
      </c>
      <c r="CY95" s="58">
        <v>13259</v>
      </c>
      <c r="CZ95" s="59">
        <v>320</v>
      </c>
      <c r="DA95" s="58">
        <v>14763</v>
      </c>
      <c r="DB95" s="59">
        <v>320</v>
      </c>
      <c r="DC95" s="58">
        <v>13265</v>
      </c>
      <c r="DD95" s="59">
        <v>315</v>
      </c>
      <c r="DE95" s="58">
        <v>14397</v>
      </c>
      <c r="DF95" s="59">
        <v>320</v>
      </c>
      <c r="DG95" s="58">
        <v>13977</v>
      </c>
      <c r="DH95" s="59">
        <v>320</v>
      </c>
      <c r="DI95" s="58">
        <v>14702</v>
      </c>
      <c r="DJ95" s="59">
        <v>320</v>
      </c>
      <c r="DK95" s="58">
        <v>13884</v>
      </c>
      <c r="DL95" s="59">
        <v>320</v>
      </c>
      <c r="DM95" s="58">
        <v>14401</v>
      </c>
      <c r="DN95" s="59">
        <v>320</v>
      </c>
      <c r="DO95" s="58">
        <v>13643</v>
      </c>
      <c r="DP95" s="59">
        <v>325</v>
      </c>
      <c r="DQ95" s="58">
        <v>14410</v>
      </c>
      <c r="DR95" s="59">
        <v>330</v>
      </c>
      <c r="DS95" s="58">
        <v>13116</v>
      </c>
      <c r="DT95" s="59">
        <v>330</v>
      </c>
      <c r="DU95" s="58">
        <v>14274</v>
      </c>
      <c r="DV95" s="59">
        <v>330</v>
      </c>
      <c r="DW95" s="58">
        <v>14465</v>
      </c>
      <c r="DX95" s="59">
        <v>330</v>
      </c>
      <c r="DY95" s="58">
        <v>14949</v>
      </c>
      <c r="DZ95" s="59">
        <v>340</v>
      </c>
      <c r="EA95" s="58">
        <v>14269</v>
      </c>
      <c r="EB95" s="59">
        <v>340</v>
      </c>
      <c r="EC95" s="58">
        <v>14605</v>
      </c>
      <c r="ED95" s="59">
        <v>340</v>
      </c>
      <c r="EE95" s="58">
        <v>15012</v>
      </c>
      <c r="EF95" s="59">
        <v>350</v>
      </c>
      <c r="EG95" s="58">
        <v>15787</v>
      </c>
      <c r="EH95" s="59">
        <v>350</v>
      </c>
      <c r="EI95" s="58">
        <v>14751</v>
      </c>
      <c r="EJ95" s="59">
        <v>350</v>
      </c>
      <c r="EK95" s="58">
        <v>15805</v>
      </c>
      <c r="EL95" s="59">
        <v>350</v>
      </c>
      <c r="EM95" s="58">
        <v>14421</v>
      </c>
      <c r="EN95" s="59">
        <v>350</v>
      </c>
      <c r="EO95" s="58">
        <v>16021</v>
      </c>
      <c r="EP95" s="59">
        <v>360</v>
      </c>
      <c r="EQ95" s="58">
        <v>14318</v>
      </c>
      <c r="ER95" s="59">
        <v>360</v>
      </c>
      <c r="ES95" s="58">
        <v>15152</v>
      </c>
      <c r="ET95" s="59">
        <v>360</v>
      </c>
      <c r="EU95" s="58">
        <v>14606</v>
      </c>
      <c r="EV95" s="59">
        <v>370</v>
      </c>
      <c r="EW95" s="58">
        <v>15673</v>
      </c>
      <c r="EX95" s="59">
        <v>370</v>
      </c>
      <c r="EY95" s="58">
        <v>13921</v>
      </c>
      <c r="EZ95" s="59">
        <v>370</v>
      </c>
      <c r="FA95" s="58">
        <v>14629</v>
      </c>
      <c r="FB95" s="59">
        <v>375</v>
      </c>
      <c r="FC95" s="58">
        <v>13910</v>
      </c>
      <c r="FD95" s="59">
        <v>380</v>
      </c>
      <c r="FE95" s="58">
        <v>14744</v>
      </c>
      <c r="FF95" s="59">
        <v>380</v>
      </c>
      <c r="FG95" s="58">
        <v>13685</v>
      </c>
      <c r="FH95" s="59">
        <v>380</v>
      </c>
      <c r="FI95" s="58">
        <v>14619</v>
      </c>
      <c r="FJ95" s="59">
        <v>380</v>
      </c>
      <c r="FK95" s="58">
        <v>14002</v>
      </c>
      <c r="FL95" s="59">
        <v>380</v>
      </c>
      <c r="FM95" s="58">
        <v>14771</v>
      </c>
      <c r="FN95" s="59">
        <v>385</v>
      </c>
      <c r="FO95" s="58">
        <v>13098</v>
      </c>
      <c r="FP95" s="59">
        <v>380</v>
      </c>
      <c r="FQ95" s="58">
        <v>12092</v>
      </c>
      <c r="FR95" s="59">
        <v>380</v>
      </c>
      <c r="FS95" s="58">
        <v>12644</v>
      </c>
      <c r="FT95" s="59">
        <v>390</v>
      </c>
      <c r="FU95" s="58">
        <v>13761</v>
      </c>
      <c r="FV95" s="59">
        <v>395</v>
      </c>
      <c r="FW95" s="58">
        <v>12456</v>
      </c>
      <c r="FX95" s="59">
        <v>395</v>
      </c>
      <c r="FY95" s="58">
        <v>12769</v>
      </c>
      <c r="FZ95" s="59">
        <v>400</v>
      </c>
      <c r="GA95" s="58">
        <v>13909</v>
      </c>
      <c r="GB95" s="59">
        <v>400</v>
      </c>
      <c r="GC95" s="58">
        <v>13884</v>
      </c>
      <c r="GD95" s="59">
        <v>420</v>
      </c>
      <c r="GE95" s="58">
        <v>13363</v>
      </c>
      <c r="GF95" s="59">
        <v>420</v>
      </c>
      <c r="GG95" s="58">
        <v>13363</v>
      </c>
      <c r="GH95" s="59">
        <v>430</v>
      </c>
      <c r="GI95" s="58">
        <v>12475</v>
      </c>
      <c r="GJ95" s="59">
        <v>430</v>
      </c>
      <c r="GK95" s="58">
        <v>13059</v>
      </c>
      <c r="GL95" s="59">
        <v>450</v>
      </c>
      <c r="GM95" s="58">
        <v>12173</v>
      </c>
      <c r="GN95" s="59">
        <v>450</v>
      </c>
      <c r="GO95" s="58">
        <v>12467</v>
      </c>
      <c r="GP95" s="59">
        <v>475</v>
      </c>
      <c r="GQ95" s="58">
        <v>11252</v>
      </c>
      <c r="GR95" s="59">
        <v>485</v>
      </c>
      <c r="GS95" s="58">
        <v>11202</v>
      </c>
      <c r="GT95" s="59">
        <v>500</v>
      </c>
      <c r="GU95" s="58">
        <v>11867</v>
      </c>
      <c r="GV95" s="59">
        <v>500</v>
      </c>
      <c r="GW95" s="58">
        <v>11918</v>
      </c>
      <c r="GX95" s="59">
        <v>510</v>
      </c>
      <c r="GY95" s="58">
        <v>12413</v>
      </c>
      <c r="GZ95" s="59">
        <v>520</v>
      </c>
      <c r="HA95" s="6">
        <v>12713</v>
      </c>
      <c r="HB95" s="59">
        <v>525</v>
      </c>
      <c r="HC95" s="6">
        <v>12368</v>
      </c>
      <c r="HD95" s="59">
        <v>520</v>
      </c>
      <c r="HE95" s="6">
        <v>12542</v>
      </c>
      <c r="HF95" s="59">
        <v>530</v>
      </c>
    </row>
    <row r="96" spans="1:214" x14ac:dyDescent="0.25"/>
    <row r="97" spans="53:54" x14ac:dyDescent="0.25">
      <c r="BA97" t="s">
        <v>833</v>
      </c>
    </row>
    <row r="98" spans="53:54" hidden="1" x14ac:dyDescent="0.25">
      <c r="BB98" t="s">
        <v>834</v>
      </c>
    </row>
  </sheetData>
  <mergeCells count="1">
    <mergeCell ref="A2:B2"/>
  </mergeCells>
  <pageMargins left="0.75" right="0.75" top="1" bottom="1" header="0.5" footer="0.5"/>
  <pageSetup paperSize="9" orientation="portrait" verticalDpi="0" r:id="rId1"/>
  <headerFooter alignWithMargins="0">
    <oddFooter>&amp;C_x000D_&amp;1#&amp;"Arial Black"&amp;10&amp;K000000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FE4F-8ED8-46E2-A3E7-D09420486E88}">
  <sheetPr>
    <tabColor rgb="FFFF0000"/>
  </sheetPr>
  <dimension ref="A1:D109"/>
  <sheetViews>
    <sheetView workbookViewId="0">
      <pane ySplit="1" topLeftCell="A2" activePane="bottomLeft" state="frozen"/>
      <selection pane="bottomLeft" activeCell="C4" sqref="C4"/>
    </sheetView>
  </sheetViews>
  <sheetFormatPr defaultRowHeight="15" x14ac:dyDescent="0.25"/>
  <cols>
    <col min="1" max="1" width="33.42578125" bestFit="1" customWidth="1"/>
    <col min="3" max="3" width="18.28515625" bestFit="1" customWidth="1"/>
    <col min="4" max="4" width="12.140625" bestFit="1" customWidth="1"/>
  </cols>
  <sheetData>
    <row r="1" spans="1:4" x14ac:dyDescent="0.25">
      <c r="A1" t="s">
        <v>7</v>
      </c>
      <c r="B1" s="1" t="s">
        <v>1</v>
      </c>
      <c r="C1" t="s">
        <v>630</v>
      </c>
      <c r="D1" t="s">
        <v>631</v>
      </c>
    </row>
    <row r="2" spans="1:4" x14ac:dyDescent="0.25">
      <c r="A2" t="s">
        <v>4</v>
      </c>
      <c r="B2" s="1">
        <v>36220</v>
      </c>
      <c r="C2" t="e">
        <f>AVERAGEIFS('2br Flat'!$93:$93,'2br Flat'!$3:$3,"Median",'2br Flat'!$2:$2,'2BR_F-processed'!B2)</f>
        <v>#DIV/0!</v>
      </c>
      <c r="D2" t="e">
        <f>AVERAGEIFS('2br Flat'!$94:$94,'2br Flat'!$3:$3,"Median",'2br Flat'!$2:$2,B2)</f>
        <v>#DIV/0!</v>
      </c>
    </row>
    <row r="3" spans="1:4" x14ac:dyDescent="0.25">
      <c r="A3" t="s">
        <v>0</v>
      </c>
      <c r="B3" s="1">
        <v>36312</v>
      </c>
      <c r="C3">
        <f>AVERAGEIFS('2br Flat'!$93:$93,'2br Flat'!$3:$3,"Median",'2br Flat'!$2:$2,'2BR_F-processed'!B3)</f>
        <v>160</v>
      </c>
      <c r="D3">
        <f>AVERAGEIFS('2br Flat'!$94:$94,'2br Flat'!$3:$3,"Median",'2br Flat'!$2:$2,B3)</f>
        <v>120</v>
      </c>
    </row>
    <row r="4" spans="1:4" x14ac:dyDescent="0.25">
      <c r="B4" s="1">
        <v>36404</v>
      </c>
      <c r="C4">
        <f>AVERAGEIFS('2br Flat'!$93:$93,'2br Flat'!$3:$3,"Median",'2br Flat'!$2:$2,'2BR_F-processed'!B4)</f>
        <v>165</v>
      </c>
      <c r="D4">
        <f>AVERAGEIFS('2br Flat'!$94:$94,'2br Flat'!$3:$3,"Median",'2br Flat'!$2:$2,B4)</f>
        <v>120</v>
      </c>
    </row>
    <row r="5" spans="1:4" x14ac:dyDescent="0.25">
      <c r="B5" s="1">
        <v>36495</v>
      </c>
      <c r="C5">
        <f>AVERAGEIFS('2br Flat'!$93:$93,'2br Flat'!$3:$3,"Median",'2br Flat'!$2:$2,'2BR_F-processed'!B5)</f>
        <v>165</v>
      </c>
      <c r="D5">
        <f>AVERAGEIFS('2br Flat'!$94:$94,'2br Flat'!$3:$3,"Median",'2br Flat'!$2:$2,B5)</f>
        <v>120</v>
      </c>
    </row>
    <row r="6" spans="1:4" x14ac:dyDescent="0.25">
      <c r="B6" s="1">
        <v>36586</v>
      </c>
      <c r="C6">
        <f>AVERAGEIFS('2br Flat'!$93:$93,'2br Flat'!$3:$3,"Median",'2br Flat'!$2:$2,'2BR_F-processed'!B6)</f>
        <v>175</v>
      </c>
      <c r="D6">
        <f>AVERAGEIFS('2br Flat'!$94:$94,'2br Flat'!$3:$3,"Median",'2br Flat'!$2:$2,B6)</f>
        <v>120</v>
      </c>
    </row>
    <row r="7" spans="1:4" x14ac:dyDescent="0.25">
      <c r="B7" s="1">
        <v>36678</v>
      </c>
      <c r="C7">
        <f>AVERAGEIFS('2br Flat'!$93:$93,'2br Flat'!$3:$3,"Median",'2br Flat'!$2:$2,'2BR_F-processed'!B7)</f>
        <v>170</v>
      </c>
      <c r="D7">
        <f>AVERAGEIFS('2br Flat'!$94:$94,'2br Flat'!$3:$3,"Median",'2br Flat'!$2:$2,B7)</f>
        <v>120</v>
      </c>
    </row>
    <row r="8" spans="1:4" x14ac:dyDescent="0.25">
      <c r="B8" s="1">
        <v>36770</v>
      </c>
      <c r="C8">
        <f>AVERAGEIFS('2br Flat'!$93:$93,'2br Flat'!$3:$3,"Median",'2br Flat'!$2:$2,'2BR_F-processed'!B8)</f>
        <v>175</v>
      </c>
      <c r="D8">
        <f>AVERAGEIFS('2br Flat'!$94:$94,'2br Flat'!$3:$3,"Median",'2br Flat'!$2:$2,B8)</f>
        <v>125</v>
      </c>
    </row>
    <row r="9" spans="1:4" x14ac:dyDescent="0.25">
      <c r="B9" s="1">
        <v>36861</v>
      </c>
      <c r="C9">
        <f>AVERAGEIFS('2br Flat'!$93:$93,'2br Flat'!$3:$3,"Median",'2br Flat'!$2:$2,'2BR_F-processed'!B9)</f>
        <v>180</v>
      </c>
      <c r="D9">
        <f>AVERAGEIFS('2br Flat'!$94:$94,'2br Flat'!$3:$3,"Median",'2br Flat'!$2:$2,B9)</f>
        <v>125</v>
      </c>
    </row>
    <row r="10" spans="1:4" x14ac:dyDescent="0.25">
      <c r="B10" s="1">
        <v>36951</v>
      </c>
      <c r="C10">
        <f>AVERAGEIFS('2br Flat'!$93:$93,'2br Flat'!$3:$3,"Median",'2br Flat'!$2:$2,'2BR_F-processed'!B10)</f>
        <v>185</v>
      </c>
      <c r="D10">
        <f>AVERAGEIFS('2br Flat'!$94:$94,'2br Flat'!$3:$3,"Median",'2br Flat'!$2:$2,B10)</f>
        <v>125</v>
      </c>
    </row>
    <row r="11" spans="1:4" x14ac:dyDescent="0.25">
      <c r="B11" s="1">
        <v>37043</v>
      </c>
      <c r="C11">
        <f>AVERAGEIFS('2br Flat'!$93:$93,'2br Flat'!$3:$3,"Median",'2br Flat'!$2:$2,'2BR_F-processed'!B11)</f>
        <v>185</v>
      </c>
      <c r="D11">
        <f>AVERAGEIFS('2br Flat'!$94:$94,'2br Flat'!$3:$3,"Median",'2br Flat'!$2:$2,B11)</f>
        <v>125</v>
      </c>
    </row>
    <row r="12" spans="1:4" x14ac:dyDescent="0.25">
      <c r="B12" s="1">
        <v>37135</v>
      </c>
      <c r="C12">
        <f>AVERAGEIFS('2br Flat'!$93:$93,'2br Flat'!$3:$3,"Median",'2br Flat'!$2:$2,'2BR_F-processed'!B12)</f>
        <v>185</v>
      </c>
      <c r="D12">
        <f>AVERAGEIFS('2br Flat'!$94:$94,'2br Flat'!$3:$3,"Median",'2br Flat'!$2:$2,B12)</f>
        <v>125</v>
      </c>
    </row>
    <row r="13" spans="1:4" x14ac:dyDescent="0.25">
      <c r="B13" s="1">
        <v>37226</v>
      </c>
      <c r="C13">
        <f>AVERAGEIFS('2br Flat'!$93:$93,'2br Flat'!$3:$3,"Median",'2br Flat'!$2:$2,'2BR_F-processed'!B13)</f>
        <v>190</v>
      </c>
      <c r="D13">
        <f>AVERAGEIFS('2br Flat'!$94:$94,'2br Flat'!$3:$3,"Median",'2br Flat'!$2:$2,B13)</f>
        <v>125</v>
      </c>
    </row>
    <row r="14" spans="1:4" x14ac:dyDescent="0.25">
      <c r="B14" s="1">
        <v>37316</v>
      </c>
      <c r="C14">
        <f>AVERAGEIFS('2br Flat'!$93:$93,'2br Flat'!$3:$3,"Median",'2br Flat'!$2:$2,'2BR_F-processed'!B14)</f>
        <v>200</v>
      </c>
      <c r="D14">
        <f>AVERAGEIFS('2br Flat'!$94:$94,'2br Flat'!$3:$3,"Median",'2br Flat'!$2:$2,B14)</f>
        <v>130</v>
      </c>
    </row>
    <row r="15" spans="1:4" x14ac:dyDescent="0.25">
      <c r="B15" s="1">
        <v>37408</v>
      </c>
      <c r="C15">
        <f>AVERAGEIFS('2br Flat'!$93:$93,'2br Flat'!$3:$3,"Median",'2br Flat'!$2:$2,'2BR_F-processed'!B15)</f>
        <v>190</v>
      </c>
      <c r="D15">
        <f>AVERAGEIFS('2br Flat'!$94:$94,'2br Flat'!$3:$3,"Median",'2br Flat'!$2:$2,B15)</f>
        <v>130</v>
      </c>
    </row>
    <row r="16" spans="1:4" x14ac:dyDescent="0.25">
      <c r="B16" s="1">
        <v>37500</v>
      </c>
      <c r="C16">
        <f>AVERAGEIFS('2br Flat'!$93:$93,'2br Flat'!$3:$3,"Median",'2br Flat'!$2:$2,'2BR_F-processed'!B16)</f>
        <v>195</v>
      </c>
      <c r="D16">
        <f>AVERAGEIFS('2br Flat'!$94:$94,'2br Flat'!$3:$3,"Median",'2br Flat'!$2:$2,B16)</f>
        <v>135</v>
      </c>
    </row>
    <row r="17" spans="2:4" x14ac:dyDescent="0.25">
      <c r="B17" s="1">
        <v>37591</v>
      </c>
      <c r="C17">
        <f>AVERAGEIFS('2br Flat'!$93:$93,'2br Flat'!$3:$3,"Median",'2br Flat'!$2:$2,'2BR_F-processed'!B17)</f>
        <v>195</v>
      </c>
      <c r="D17">
        <f>AVERAGEIFS('2br Flat'!$94:$94,'2br Flat'!$3:$3,"Median",'2br Flat'!$2:$2,B17)</f>
        <v>135</v>
      </c>
    </row>
    <row r="18" spans="2:4" x14ac:dyDescent="0.25">
      <c r="B18" s="1">
        <v>37681</v>
      </c>
      <c r="C18">
        <f>AVERAGEIFS('2br Flat'!$93:$93,'2br Flat'!$3:$3,"Median",'2br Flat'!$2:$2,'2BR_F-processed'!B18)</f>
        <v>205</v>
      </c>
      <c r="D18">
        <f>AVERAGEIFS('2br Flat'!$94:$94,'2br Flat'!$3:$3,"Median",'2br Flat'!$2:$2,B18)</f>
        <v>135</v>
      </c>
    </row>
    <row r="19" spans="2:4" x14ac:dyDescent="0.25">
      <c r="B19" s="1">
        <v>37773</v>
      </c>
      <c r="C19">
        <f>AVERAGEIFS('2br Flat'!$93:$93,'2br Flat'!$3:$3,"Median",'2br Flat'!$2:$2,'2BR_F-processed'!B19)</f>
        <v>200</v>
      </c>
      <c r="D19">
        <f>AVERAGEIFS('2br Flat'!$94:$94,'2br Flat'!$3:$3,"Median",'2br Flat'!$2:$2,B19)</f>
        <v>140</v>
      </c>
    </row>
    <row r="20" spans="2:4" x14ac:dyDescent="0.25">
      <c r="B20" s="1">
        <v>37865</v>
      </c>
      <c r="C20">
        <f>AVERAGEIFS('2br Flat'!$93:$93,'2br Flat'!$3:$3,"Median",'2br Flat'!$2:$2,'2BR_F-processed'!B20)</f>
        <v>200</v>
      </c>
      <c r="D20">
        <f>AVERAGEIFS('2br Flat'!$94:$94,'2br Flat'!$3:$3,"Median",'2br Flat'!$2:$2,B20)</f>
        <v>140</v>
      </c>
    </row>
    <row r="21" spans="2:4" x14ac:dyDescent="0.25">
      <c r="B21" s="1">
        <v>37956</v>
      </c>
      <c r="C21">
        <f>AVERAGEIFS('2br Flat'!$93:$93,'2br Flat'!$3:$3,"Median",'2br Flat'!$2:$2,'2BR_F-processed'!B21)</f>
        <v>200</v>
      </c>
      <c r="D21">
        <f>AVERAGEIFS('2br Flat'!$94:$94,'2br Flat'!$3:$3,"Median",'2br Flat'!$2:$2,B21)</f>
        <v>140</v>
      </c>
    </row>
    <row r="22" spans="2:4" x14ac:dyDescent="0.25">
      <c r="B22" s="1">
        <v>38047</v>
      </c>
      <c r="C22">
        <f>AVERAGEIFS('2br Flat'!$93:$93,'2br Flat'!$3:$3,"Median",'2br Flat'!$2:$2,'2BR_F-processed'!B22)</f>
        <v>220</v>
      </c>
      <c r="D22">
        <f>AVERAGEIFS('2br Flat'!$94:$94,'2br Flat'!$3:$3,"Median",'2br Flat'!$2:$2,B22)</f>
        <v>145</v>
      </c>
    </row>
    <row r="23" spans="2:4" x14ac:dyDescent="0.25">
      <c r="B23" s="1">
        <v>38139</v>
      </c>
      <c r="C23">
        <f>AVERAGEIFS('2br Flat'!$93:$93,'2br Flat'!$3:$3,"Median",'2br Flat'!$2:$2,'2BR_F-processed'!B23)</f>
        <v>210</v>
      </c>
      <c r="D23">
        <f>AVERAGEIFS('2br Flat'!$94:$94,'2br Flat'!$3:$3,"Median",'2br Flat'!$2:$2,B23)</f>
        <v>145</v>
      </c>
    </row>
    <row r="24" spans="2:4" x14ac:dyDescent="0.25">
      <c r="B24" s="1">
        <v>38231</v>
      </c>
      <c r="C24">
        <f>AVERAGEIFS('2br Flat'!$93:$93,'2br Flat'!$3:$3,"Median",'2br Flat'!$2:$2,'2BR_F-processed'!B24)</f>
        <v>210</v>
      </c>
      <c r="D24">
        <f>AVERAGEIFS('2br Flat'!$94:$94,'2br Flat'!$3:$3,"Median",'2br Flat'!$2:$2,B24)</f>
        <v>145</v>
      </c>
    </row>
    <row r="25" spans="2:4" x14ac:dyDescent="0.25">
      <c r="B25" s="1">
        <v>38322</v>
      </c>
      <c r="C25">
        <f>AVERAGEIFS('2br Flat'!$93:$93,'2br Flat'!$3:$3,"Median",'2br Flat'!$2:$2,'2BR_F-processed'!B25)</f>
        <v>210</v>
      </c>
      <c r="D25">
        <f>AVERAGEIFS('2br Flat'!$94:$94,'2br Flat'!$3:$3,"Median",'2br Flat'!$2:$2,B25)</f>
        <v>150</v>
      </c>
    </row>
    <row r="26" spans="2:4" x14ac:dyDescent="0.25">
      <c r="B26" s="1">
        <v>38412</v>
      </c>
      <c r="C26">
        <f>AVERAGEIFS('2br Flat'!$93:$93,'2br Flat'!$3:$3,"Median",'2br Flat'!$2:$2,'2BR_F-processed'!B26)</f>
        <v>225</v>
      </c>
      <c r="D26">
        <f>AVERAGEIFS('2br Flat'!$94:$94,'2br Flat'!$3:$3,"Median",'2br Flat'!$2:$2,B26)</f>
        <v>150</v>
      </c>
    </row>
    <row r="27" spans="2:4" x14ac:dyDescent="0.25">
      <c r="B27" s="1">
        <v>38504</v>
      </c>
      <c r="C27">
        <f>AVERAGEIFS('2br Flat'!$93:$93,'2br Flat'!$3:$3,"Median",'2br Flat'!$2:$2,'2BR_F-processed'!B27)</f>
        <v>220</v>
      </c>
      <c r="D27">
        <f>AVERAGEIFS('2br Flat'!$94:$94,'2br Flat'!$3:$3,"Median",'2br Flat'!$2:$2,B27)</f>
        <v>150</v>
      </c>
    </row>
    <row r="28" spans="2:4" x14ac:dyDescent="0.25">
      <c r="B28" s="1">
        <v>38596</v>
      </c>
      <c r="C28">
        <f>AVERAGEIFS('2br Flat'!$93:$93,'2br Flat'!$3:$3,"Median",'2br Flat'!$2:$2,'2BR_F-processed'!B28)</f>
        <v>220</v>
      </c>
      <c r="D28">
        <f>AVERAGEIFS('2br Flat'!$94:$94,'2br Flat'!$3:$3,"Median",'2br Flat'!$2:$2,B28)</f>
        <v>150</v>
      </c>
    </row>
    <row r="29" spans="2:4" x14ac:dyDescent="0.25">
      <c r="B29" s="1">
        <v>38687</v>
      </c>
      <c r="C29">
        <f>AVERAGEIFS('2br Flat'!$93:$93,'2br Flat'!$3:$3,"Median",'2br Flat'!$2:$2,'2BR_F-processed'!B29)</f>
        <v>225</v>
      </c>
      <c r="D29">
        <f>AVERAGEIFS('2br Flat'!$94:$94,'2br Flat'!$3:$3,"Median",'2br Flat'!$2:$2,B29)</f>
        <v>155</v>
      </c>
    </row>
    <row r="30" spans="2:4" x14ac:dyDescent="0.25">
      <c r="B30" s="1">
        <v>38777</v>
      </c>
      <c r="C30">
        <f>AVERAGEIFS('2br Flat'!$93:$93,'2br Flat'!$3:$3,"Median",'2br Flat'!$2:$2,'2BR_F-processed'!B30)</f>
        <v>235</v>
      </c>
      <c r="D30">
        <f>AVERAGEIFS('2br Flat'!$94:$94,'2br Flat'!$3:$3,"Median",'2br Flat'!$2:$2,B30)</f>
        <v>155</v>
      </c>
    </row>
    <row r="31" spans="2:4" x14ac:dyDescent="0.25">
      <c r="B31" s="1">
        <v>38869</v>
      </c>
      <c r="C31">
        <f>AVERAGEIFS('2br Flat'!$93:$93,'2br Flat'!$3:$3,"Median",'2br Flat'!$2:$2,'2BR_F-processed'!B31)</f>
        <v>235</v>
      </c>
      <c r="D31">
        <f>AVERAGEIFS('2br Flat'!$94:$94,'2br Flat'!$3:$3,"Median",'2br Flat'!$2:$2,B31)</f>
        <v>155</v>
      </c>
    </row>
    <row r="32" spans="2:4" x14ac:dyDescent="0.25">
      <c r="B32" s="1">
        <v>38961</v>
      </c>
      <c r="C32">
        <f>AVERAGEIFS('2br Flat'!$93:$93,'2br Flat'!$3:$3,"Median",'2br Flat'!$2:$2,'2BR_F-processed'!B32)</f>
        <v>240</v>
      </c>
      <c r="D32">
        <f>AVERAGEIFS('2br Flat'!$94:$94,'2br Flat'!$3:$3,"Median",'2br Flat'!$2:$2,B32)</f>
        <v>160</v>
      </c>
    </row>
    <row r="33" spans="1:4" x14ac:dyDescent="0.25">
      <c r="B33" s="1">
        <v>39052</v>
      </c>
      <c r="C33">
        <f>AVERAGEIFS('2br Flat'!$93:$93,'2br Flat'!$3:$3,"Median",'2br Flat'!$2:$2,'2BR_F-processed'!B33)</f>
        <v>245</v>
      </c>
      <c r="D33">
        <f>AVERAGEIFS('2br Flat'!$94:$94,'2br Flat'!$3:$3,"Median",'2br Flat'!$2:$2,B33)</f>
        <v>160</v>
      </c>
    </row>
    <row r="34" spans="1:4" x14ac:dyDescent="0.25">
      <c r="B34" s="1">
        <v>39142</v>
      </c>
      <c r="C34">
        <f>AVERAGEIFS('2br Flat'!$93:$93,'2br Flat'!$3:$3,"Median",'2br Flat'!$2:$2,'2BR_F-processed'!B34)</f>
        <v>260</v>
      </c>
      <c r="D34">
        <f>AVERAGEIFS('2br Flat'!$94:$94,'2br Flat'!$3:$3,"Median",'2br Flat'!$2:$2,B34)</f>
        <v>160</v>
      </c>
    </row>
    <row r="35" spans="1:4" x14ac:dyDescent="0.25">
      <c r="B35" s="1">
        <v>39234</v>
      </c>
      <c r="C35">
        <f>AVERAGEIFS('2br Flat'!$93:$93,'2br Flat'!$3:$3,"Median",'2br Flat'!$2:$2,'2BR_F-processed'!B35)</f>
        <v>260</v>
      </c>
      <c r="D35">
        <f>AVERAGEIFS('2br Flat'!$94:$94,'2br Flat'!$3:$3,"Median",'2br Flat'!$2:$2,B35)</f>
        <v>160</v>
      </c>
    </row>
    <row r="36" spans="1:4" x14ac:dyDescent="0.25">
      <c r="B36" s="1">
        <v>39326</v>
      </c>
      <c r="C36">
        <f>AVERAGEIFS('2br Flat'!$93:$93,'2br Flat'!$3:$3,"Median",'2br Flat'!$2:$2,'2BR_F-processed'!B36)</f>
        <v>275</v>
      </c>
      <c r="D36">
        <f>AVERAGEIFS('2br Flat'!$94:$94,'2br Flat'!$3:$3,"Median",'2br Flat'!$2:$2,B36)</f>
        <v>165</v>
      </c>
    </row>
    <row r="37" spans="1:4" x14ac:dyDescent="0.25">
      <c r="B37" s="1">
        <v>39417</v>
      </c>
      <c r="C37">
        <f>AVERAGEIFS('2br Flat'!$93:$93,'2br Flat'!$3:$3,"Median",'2br Flat'!$2:$2,'2BR_F-processed'!B37)</f>
        <v>280</v>
      </c>
      <c r="D37">
        <f>AVERAGEIFS('2br Flat'!$94:$94,'2br Flat'!$3:$3,"Median",'2br Flat'!$2:$2,B37)</f>
        <v>170</v>
      </c>
    </row>
    <row r="38" spans="1:4" x14ac:dyDescent="0.25">
      <c r="B38" s="1">
        <v>39508</v>
      </c>
      <c r="C38">
        <f>AVERAGEIFS('2br Flat'!$93:$93,'2br Flat'!$3:$3,"Median",'2br Flat'!$2:$2,'2BR_F-processed'!B38)</f>
        <v>295</v>
      </c>
      <c r="D38">
        <f>AVERAGEIFS('2br Flat'!$94:$94,'2br Flat'!$3:$3,"Median",'2br Flat'!$2:$2,B38)</f>
        <v>170</v>
      </c>
    </row>
    <row r="39" spans="1:4" x14ac:dyDescent="0.25">
      <c r="B39" s="1">
        <v>39600</v>
      </c>
      <c r="C39">
        <f>AVERAGEIFS('2br Flat'!$93:$93,'2br Flat'!$3:$3,"Median",'2br Flat'!$2:$2,'2BR_F-processed'!B39)</f>
        <v>300</v>
      </c>
      <c r="D39">
        <f>AVERAGEIFS('2br Flat'!$94:$94,'2br Flat'!$3:$3,"Median",'2br Flat'!$2:$2,B39)</f>
        <v>170</v>
      </c>
    </row>
    <row r="40" spans="1:4" x14ac:dyDescent="0.25">
      <c r="B40" s="1">
        <v>39692</v>
      </c>
      <c r="C40">
        <f>AVERAGEIFS('2br Flat'!$93:$93,'2br Flat'!$3:$3,"Median",'2br Flat'!$2:$2,'2BR_F-processed'!B40)</f>
        <v>310</v>
      </c>
      <c r="D40">
        <f>AVERAGEIFS('2br Flat'!$94:$94,'2br Flat'!$3:$3,"Median",'2br Flat'!$2:$2,B40)</f>
        <v>175</v>
      </c>
    </row>
    <row r="41" spans="1:4" x14ac:dyDescent="0.25">
      <c r="B41" s="1">
        <v>39783</v>
      </c>
      <c r="C41">
        <f>AVERAGEIFS('2br Flat'!$93:$93,'2br Flat'!$3:$3,"Median",'2br Flat'!$2:$2,'2BR_F-processed'!B41)</f>
        <v>310</v>
      </c>
      <c r="D41">
        <f>AVERAGEIFS('2br Flat'!$94:$94,'2br Flat'!$3:$3,"Median",'2br Flat'!$2:$2,B41)</f>
        <v>175</v>
      </c>
    </row>
    <row r="42" spans="1:4" x14ac:dyDescent="0.25">
      <c r="B42" s="1">
        <v>39873</v>
      </c>
      <c r="C42">
        <f>AVERAGEIFS('2br Flat'!$93:$93,'2br Flat'!$3:$3,"Median",'2br Flat'!$2:$2,'2BR_F-processed'!B42)</f>
        <v>320</v>
      </c>
      <c r="D42">
        <f>AVERAGEIFS('2br Flat'!$94:$94,'2br Flat'!$3:$3,"Median",'2br Flat'!$2:$2,B42)</f>
        <v>180</v>
      </c>
    </row>
    <row r="43" spans="1:4" x14ac:dyDescent="0.25">
      <c r="B43" s="1">
        <v>39965</v>
      </c>
      <c r="C43">
        <f>AVERAGEIFS('2br Flat'!$93:$93,'2br Flat'!$3:$3,"Median",'2br Flat'!$2:$2,'2BR_F-processed'!B43)</f>
        <v>320</v>
      </c>
      <c r="D43">
        <f>AVERAGEIFS('2br Flat'!$94:$94,'2br Flat'!$3:$3,"Median",'2br Flat'!$2:$2,B43)</f>
        <v>180</v>
      </c>
    </row>
    <row r="44" spans="1:4" x14ac:dyDescent="0.25">
      <c r="B44" s="1">
        <v>40057</v>
      </c>
      <c r="C44">
        <f>AVERAGEIFS('2br Flat'!$93:$93,'2br Flat'!$3:$3,"Median",'2br Flat'!$2:$2,'2BR_F-processed'!B44)</f>
        <v>325</v>
      </c>
      <c r="D44">
        <f>AVERAGEIFS('2br Flat'!$94:$94,'2br Flat'!$3:$3,"Median",'2br Flat'!$2:$2,B44)</f>
        <v>180</v>
      </c>
    </row>
    <row r="45" spans="1:4" x14ac:dyDescent="0.25">
      <c r="B45" s="1">
        <v>40148</v>
      </c>
      <c r="C45">
        <f>AVERAGEIFS('2br Flat'!$93:$93,'2br Flat'!$3:$3,"Median",'2br Flat'!$2:$2,'2BR_F-processed'!B45)</f>
        <v>325</v>
      </c>
      <c r="D45">
        <f>AVERAGEIFS('2br Flat'!$94:$94,'2br Flat'!$3:$3,"Median",'2br Flat'!$2:$2,B45)</f>
        <v>185</v>
      </c>
    </row>
    <row r="46" spans="1:4" x14ac:dyDescent="0.25">
      <c r="A46" s="3"/>
      <c r="B46" s="1">
        <v>40238</v>
      </c>
      <c r="C46">
        <f>AVERAGEIFS('2br Flat'!$93:$93,'2br Flat'!$3:$3,"Median",'2br Flat'!$2:$2,'2BR_F-processed'!B46)</f>
        <v>340</v>
      </c>
      <c r="D46">
        <f>AVERAGEIFS('2br Flat'!$94:$94,'2br Flat'!$3:$3,"Median",'2br Flat'!$2:$2,B46)</f>
        <v>190</v>
      </c>
    </row>
    <row r="47" spans="1:4" x14ac:dyDescent="0.25">
      <c r="A47" s="3"/>
      <c r="B47" s="1">
        <v>40330</v>
      </c>
      <c r="C47">
        <f>AVERAGEIFS('2br Flat'!$93:$93,'2br Flat'!$3:$3,"Median",'2br Flat'!$2:$2,'2BR_F-processed'!B47)</f>
        <v>340</v>
      </c>
      <c r="D47">
        <f>AVERAGEIFS('2br Flat'!$94:$94,'2br Flat'!$3:$3,"Median",'2br Flat'!$2:$2,B47)</f>
        <v>195</v>
      </c>
    </row>
    <row r="48" spans="1:4" x14ac:dyDescent="0.25">
      <c r="A48" s="3"/>
      <c r="B48" s="1">
        <v>40422</v>
      </c>
      <c r="C48">
        <f>AVERAGEIFS('2br Flat'!$93:$93,'2br Flat'!$3:$3,"Median",'2br Flat'!$2:$2,'2BR_F-processed'!B48)</f>
        <v>345</v>
      </c>
      <c r="D48">
        <f>AVERAGEIFS('2br Flat'!$94:$94,'2br Flat'!$3:$3,"Median",'2br Flat'!$2:$2,B48)</f>
        <v>195</v>
      </c>
    </row>
    <row r="49" spans="1:4" x14ac:dyDescent="0.25">
      <c r="A49" s="3"/>
      <c r="B49" s="1">
        <v>40513</v>
      </c>
      <c r="C49">
        <f>AVERAGEIFS('2br Flat'!$93:$93,'2br Flat'!$3:$3,"Median",'2br Flat'!$2:$2,'2BR_F-processed'!B49)</f>
        <v>345</v>
      </c>
      <c r="D49">
        <f>AVERAGEIFS('2br Flat'!$94:$94,'2br Flat'!$3:$3,"Median",'2br Flat'!$2:$2,B49)</f>
        <v>200</v>
      </c>
    </row>
    <row r="50" spans="1:4" x14ac:dyDescent="0.25">
      <c r="A50" s="3"/>
      <c r="B50" s="1">
        <v>40603</v>
      </c>
      <c r="C50">
        <f>AVERAGEIFS('2br Flat'!$93:$93,'2br Flat'!$3:$3,"Median",'2br Flat'!$2:$2,'2BR_F-processed'!B50)</f>
        <v>355</v>
      </c>
      <c r="D50">
        <f>AVERAGEIFS('2br Flat'!$94:$94,'2br Flat'!$3:$3,"Median",'2br Flat'!$2:$2,B50)</f>
        <v>200</v>
      </c>
    </row>
    <row r="51" spans="1:4" x14ac:dyDescent="0.25">
      <c r="A51" s="3"/>
      <c r="B51" s="1">
        <v>40695</v>
      </c>
      <c r="C51">
        <f>AVERAGEIFS('2br Flat'!$93:$93,'2br Flat'!$3:$3,"Median",'2br Flat'!$2:$2,'2BR_F-processed'!B51)</f>
        <v>350</v>
      </c>
      <c r="D51">
        <f>AVERAGEIFS('2br Flat'!$94:$94,'2br Flat'!$3:$3,"Median",'2br Flat'!$2:$2,B51)</f>
        <v>210</v>
      </c>
    </row>
    <row r="52" spans="1:4" x14ac:dyDescent="0.25">
      <c r="A52" s="3"/>
      <c r="B52" s="1">
        <v>40787</v>
      </c>
      <c r="C52">
        <f>AVERAGEIFS('2br Flat'!$93:$93,'2br Flat'!$3:$3,"Median",'2br Flat'!$2:$2,'2BR_F-processed'!B52)</f>
        <v>350</v>
      </c>
      <c r="D52">
        <f>AVERAGEIFS('2br Flat'!$94:$94,'2br Flat'!$3:$3,"Median",'2br Flat'!$2:$2,B52)</f>
        <v>210</v>
      </c>
    </row>
    <row r="53" spans="1:4" x14ac:dyDescent="0.25">
      <c r="A53" s="3"/>
      <c r="B53" s="1">
        <v>40878</v>
      </c>
      <c r="C53">
        <f>AVERAGEIFS('2br Flat'!$93:$93,'2br Flat'!$3:$3,"Median",'2br Flat'!$2:$2,'2BR_F-processed'!B53)</f>
        <v>350</v>
      </c>
      <c r="D53">
        <f>AVERAGEIFS('2br Flat'!$94:$94,'2br Flat'!$3:$3,"Median",'2br Flat'!$2:$2,B53)</f>
        <v>210</v>
      </c>
    </row>
    <row r="54" spans="1:4" x14ac:dyDescent="0.25">
      <c r="A54" s="3"/>
      <c r="B54" s="1">
        <v>40969</v>
      </c>
      <c r="C54">
        <f>AVERAGEIFS('2br Flat'!$93:$93,'2br Flat'!$3:$3,"Median",'2br Flat'!$2:$2,'2BR_F-processed'!B54)</f>
        <v>360</v>
      </c>
      <c r="D54">
        <f>AVERAGEIFS('2br Flat'!$94:$94,'2br Flat'!$3:$3,"Median",'2br Flat'!$2:$2,B54)</f>
        <v>220</v>
      </c>
    </row>
    <row r="55" spans="1:4" x14ac:dyDescent="0.25">
      <c r="A55" s="3"/>
      <c r="B55" s="1">
        <v>41061</v>
      </c>
      <c r="C55">
        <f>AVERAGEIFS('2br Flat'!$93:$93,'2br Flat'!$3:$3,"Median",'2br Flat'!$2:$2,'2BR_F-processed'!B55)</f>
        <v>360</v>
      </c>
      <c r="D55">
        <f>AVERAGEIFS('2br Flat'!$94:$94,'2br Flat'!$3:$3,"Median",'2br Flat'!$2:$2,B55)</f>
        <v>210</v>
      </c>
    </row>
    <row r="56" spans="1:4" x14ac:dyDescent="0.25">
      <c r="A56" s="3"/>
      <c r="B56" s="1">
        <v>41153</v>
      </c>
      <c r="C56">
        <f>AVERAGEIFS('2br Flat'!$93:$93,'2br Flat'!$3:$3,"Median",'2br Flat'!$2:$2,'2BR_F-processed'!B56)</f>
        <v>355</v>
      </c>
      <c r="D56">
        <f>AVERAGEIFS('2br Flat'!$94:$94,'2br Flat'!$3:$3,"Median",'2br Flat'!$2:$2,B56)</f>
        <v>210</v>
      </c>
    </row>
    <row r="57" spans="1:4" x14ac:dyDescent="0.25">
      <c r="A57" s="3"/>
      <c r="B57" s="1">
        <v>41244</v>
      </c>
      <c r="C57">
        <f>AVERAGEIFS('2br Flat'!$93:$93,'2br Flat'!$3:$3,"Median",'2br Flat'!$2:$2,'2BR_F-processed'!B57)</f>
        <v>355</v>
      </c>
      <c r="D57">
        <f>AVERAGEIFS('2br Flat'!$94:$94,'2br Flat'!$3:$3,"Median",'2br Flat'!$2:$2,B57)</f>
        <v>210</v>
      </c>
    </row>
    <row r="58" spans="1:4" x14ac:dyDescent="0.25">
      <c r="A58" s="3"/>
      <c r="B58" s="1">
        <v>41334</v>
      </c>
      <c r="C58">
        <f>AVERAGEIFS('2br Flat'!$93:$93,'2br Flat'!$3:$3,"Median",'2br Flat'!$2:$2,'2BR_F-processed'!B58)</f>
        <v>370</v>
      </c>
      <c r="D58">
        <f>AVERAGEIFS('2br Flat'!$94:$94,'2br Flat'!$3:$3,"Median",'2br Flat'!$2:$2,B58)</f>
        <v>220</v>
      </c>
    </row>
    <row r="59" spans="1:4" x14ac:dyDescent="0.25">
      <c r="A59" s="3"/>
      <c r="B59" s="1">
        <v>41426</v>
      </c>
      <c r="C59">
        <f>AVERAGEIFS('2br Flat'!$93:$93,'2br Flat'!$3:$3,"Median",'2br Flat'!$2:$2,'2BR_F-processed'!B59)</f>
        <v>360</v>
      </c>
      <c r="D59">
        <f>AVERAGEIFS('2br Flat'!$94:$94,'2br Flat'!$3:$3,"Median",'2br Flat'!$2:$2,B59)</f>
        <v>220</v>
      </c>
    </row>
    <row r="60" spans="1:4" x14ac:dyDescent="0.25">
      <c r="A60" s="3"/>
      <c r="B60" s="1">
        <v>41518</v>
      </c>
      <c r="C60">
        <f>AVERAGEIFS('2br Flat'!$93:$93,'2br Flat'!$3:$3,"Median",'2br Flat'!$2:$2,'2BR_F-processed'!B60)</f>
        <v>360</v>
      </c>
      <c r="D60">
        <f>AVERAGEIFS('2br Flat'!$94:$94,'2br Flat'!$3:$3,"Median",'2br Flat'!$2:$2,B60)</f>
        <v>220</v>
      </c>
    </row>
    <row r="61" spans="1:4" x14ac:dyDescent="0.25">
      <c r="A61" s="3"/>
      <c r="B61" s="1">
        <v>41609</v>
      </c>
      <c r="C61">
        <f>AVERAGEIFS('2br Flat'!$93:$93,'2br Flat'!$3:$3,"Median",'2br Flat'!$2:$2,'2BR_F-processed'!B61)</f>
        <v>365</v>
      </c>
      <c r="D61">
        <f>AVERAGEIFS('2br Flat'!$94:$94,'2br Flat'!$3:$3,"Median",'2br Flat'!$2:$2,B61)</f>
        <v>221</v>
      </c>
    </row>
    <row r="62" spans="1:4" x14ac:dyDescent="0.25">
      <c r="A62" s="3"/>
      <c r="B62" s="1">
        <v>41699</v>
      </c>
      <c r="C62">
        <f>AVERAGEIFS('2br Flat'!$93:$93,'2br Flat'!$3:$3,"Median",'2br Flat'!$2:$2,'2BR_F-processed'!B62)</f>
        <v>380</v>
      </c>
      <c r="D62">
        <f>AVERAGEIFS('2br Flat'!$94:$94,'2br Flat'!$3:$3,"Median",'2br Flat'!$2:$2,B62)</f>
        <v>225</v>
      </c>
    </row>
    <row r="63" spans="1:4" x14ac:dyDescent="0.25">
      <c r="A63" s="3"/>
      <c r="B63" s="1">
        <v>41791</v>
      </c>
      <c r="C63">
        <f>AVERAGEIFS('2br Flat'!$93:$93,'2br Flat'!$3:$3,"Median",'2br Flat'!$2:$2,'2BR_F-processed'!B63)</f>
        <v>360</v>
      </c>
      <c r="D63">
        <f>AVERAGEIFS('2br Flat'!$94:$94,'2br Flat'!$3:$3,"Median",'2br Flat'!$2:$2,B63)</f>
        <v>230</v>
      </c>
    </row>
    <row r="64" spans="1:4" x14ac:dyDescent="0.25">
      <c r="A64" s="3"/>
      <c r="B64" s="1">
        <v>41883</v>
      </c>
      <c r="C64">
        <f>AVERAGEIFS('2br Flat'!$93:$93,'2br Flat'!$3:$3,"Median",'2br Flat'!$2:$2,'2BR_F-processed'!B64)</f>
        <v>373</v>
      </c>
      <c r="D64">
        <f>AVERAGEIFS('2br Flat'!$94:$94,'2br Flat'!$3:$3,"Median",'2br Flat'!$2:$2,B64)</f>
        <v>225</v>
      </c>
    </row>
    <row r="65" spans="1:4" x14ac:dyDescent="0.25">
      <c r="A65" s="3"/>
      <c r="B65" s="1">
        <v>41974</v>
      </c>
      <c r="C65">
        <f>AVERAGEIFS('2br Flat'!$93:$93,'2br Flat'!$3:$3,"Median",'2br Flat'!$2:$2,'2BR_F-processed'!B65)</f>
        <v>370</v>
      </c>
      <c r="D65">
        <f>AVERAGEIFS('2br Flat'!$94:$94,'2br Flat'!$3:$3,"Median",'2br Flat'!$2:$2,B65)</f>
        <v>230</v>
      </c>
    </row>
    <row r="66" spans="1:4" x14ac:dyDescent="0.25">
      <c r="A66" s="3"/>
      <c r="B66" s="1">
        <v>42064</v>
      </c>
      <c r="C66">
        <f>AVERAGEIFS('2br Flat'!$93:$93,'2br Flat'!$3:$3,"Median",'2br Flat'!$2:$2,'2BR_F-processed'!B66)</f>
        <v>390</v>
      </c>
      <c r="D66">
        <f>AVERAGEIFS('2br Flat'!$94:$94,'2br Flat'!$3:$3,"Median",'2br Flat'!$2:$2,B66)</f>
        <v>230</v>
      </c>
    </row>
    <row r="67" spans="1:4" x14ac:dyDescent="0.25">
      <c r="A67" s="3"/>
      <c r="B67" s="1">
        <v>42156</v>
      </c>
      <c r="C67">
        <f>AVERAGEIFS('2br Flat'!$93:$93,'2br Flat'!$3:$3,"Median",'2br Flat'!$2:$2,'2BR_F-processed'!B67)</f>
        <v>380</v>
      </c>
      <c r="D67">
        <f>AVERAGEIFS('2br Flat'!$94:$94,'2br Flat'!$3:$3,"Median",'2br Flat'!$2:$2,B67)</f>
        <v>230</v>
      </c>
    </row>
    <row r="68" spans="1:4" x14ac:dyDescent="0.25">
      <c r="A68" s="3"/>
      <c r="B68" s="1">
        <v>42248</v>
      </c>
      <c r="C68">
        <f>AVERAGEIFS('2br Flat'!$93:$93,'2br Flat'!$3:$3,"Median",'2br Flat'!$2:$2,'2BR_F-processed'!B68)</f>
        <v>390</v>
      </c>
      <c r="D68">
        <f>AVERAGEIFS('2br Flat'!$94:$94,'2br Flat'!$3:$3,"Median",'2br Flat'!$2:$2,B68)</f>
        <v>230</v>
      </c>
    </row>
    <row r="69" spans="1:4" x14ac:dyDescent="0.25">
      <c r="A69" s="3"/>
      <c r="B69" s="1">
        <v>42339</v>
      </c>
      <c r="C69">
        <f>AVERAGEIFS('2br Flat'!$93:$93,'2br Flat'!$3:$3,"Median",'2br Flat'!$2:$2,'2BR_F-processed'!B69)</f>
        <v>380</v>
      </c>
      <c r="D69">
        <f>AVERAGEIFS('2br Flat'!$94:$94,'2br Flat'!$3:$3,"Median",'2br Flat'!$2:$2,B69)</f>
        <v>230</v>
      </c>
    </row>
    <row r="70" spans="1:4" x14ac:dyDescent="0.25">
      <c r="A70" s="3"/>
      <c r="B70" s="1">
        <v>42430</v>
      </c>
      <c r="C70">
        <f>AVERAGEIFS('2br Flat'!$93:$93,'2br Flat'!$3:$3,"Median",'2br Flat'!$2:$2,'2BR_F-processed'!B70)</f>
        <v>400</v>
      </c>
      <c r="D70">
        <f>AVERAGEIFS('2br Flat'!$94:$94,'2br Flat'!$3:$3,"Median",'2br Flat'!$2:$2,B70)</f>
        <v>240</v>
      </c>
    </row>
    <row r="71" spans="1:4" x14ac:dyDescent="0.25">
      <c r="A71" s="3"/>
      <c r="B71" s="1">
        <v>42522</v>
      </c>
      <c r="C71">
        <f>AVERAGEIFS('2br Flat'!$93:$93,'2br Flat'!$3:$3,"Median",'2br Flat'!$2:$2,'2BR_F-processed'!B71)</f>
        <v>390</v>
      </c>
      <c r="D71">
        <f>AVERAGEIFS('2br Flat'!$94:$94,'2br Flat'!$3:$3,"Median",'2br Flat'!$2:$2,B71)</f>
        <v>235</v>
      </c>
    </row>
    <row r="72" spans="1:4" x14ac:dyDescent="0.25">
      <c r="A72" s="3"/>
      <c r="B72" s="1">
        <v>42614</v>
      </c>
      <c r="C72">
        <f>AVERAGEIFS('2br Flat'!$93:$93,'2br Flat'!$3:$3,"Median",'2br Flat'!$2:$2,'2BR_F-processed'!B72)</f>
        <v>400</v>
      </c>
      <c r="D72">
        <f>AVERAGEIFS('2br Flat'!$94:$94,'2br Flat'!$3:$3,"Median",'2br Flat'!$2:$2,B72)</f>
        <v>235</v>
      </c>
    </row>
    <row r="73" spans="1:4" x14ac:dyDescent="0.25">
      <c r="A73" s="3"/>
      <c r="B73" s="1">
        <v>42705</v>
      </c>
      <c r="C73">
        <f>AVERAGEIFS('2br Flat'!$93:$93,'2br Flat'!$3:$3,"Median",'2br Flat'!$2:$2,'2BR_F-processed'!B73)</f>
        <v>400</v>
      </c>
      <c r="D73">
        <f>AVERAGEIFS('2br Flat'!$94:$94,'2br Flat'!$3:$3,"Median",'2br Flat'!$2:$2,B73)</f>
        <v>240</v>
      </c>
    </row>
    <row r="74" spans="1:4" x14ac:dyDescent="0.25">
      <c r="A74" s="3"/>
      <c r="B74" s="1">
        <v>42795</v>
      </c>
      <c r="C74">
        <f>AVERAGEIFS('2br Flat'!$93:$93,'2br Flat'!$3:$3,"Median",'2br Flat'!$2:$2,'2BR_F-processed'!B74)</f>
        <v>420</v>
      </c>
      <c r="D74">
        <f>AVERAGEIFS('2br Flat'!$94:$94,'2br Flat'!$3:$3,"Median",'2br Flat'!$2:$2,B74)</f>
        <v>240</v>
      </c>
    </row>
    <row r="75" spans="1:4" x14ac:dyDescent="0.25">
      <c r="A75" s="3"/>
      <c r="B75" s="1">
        <v>42887</v>
      </c>
      <c r="C75">
        <f>AVERAGEIFS('2br Flat'!$93:$93,'2br Flat'!$3:$3,"Median",'2br Flat'!$2:$2,'2BR_F-processed'!B75)</f>
        <v>410</v>
      </c>
      <c r="D75">
        <f>AVERAGEIFS('2br Flat'!$94:$94,'2br Flat'!$3:$3,"Median",'2br Flat'!$2:$2,B75)</f>
        <v>240</v>
      </c>
    </row>
    <row r="76" spans="1:4" x14ac:dyDescent="0.25">
      <c r="A76" s="3"/>
      <c r="B76" s="1">
        <v>42979</v>
      </c>
      <c r="C76">
        <f>AVERAGEIFS('2br Flat'!$93:$93,'2br Flat'!$3:$3,"Median",'2br Flat'!$2:$2,'2BR_F-processed'!B76)</f>
        <v>420</v>
      </c>
      <c r="D76">
        <f>AVERAGEIFS('2br Flat'!$94:$94,'2br Flat'!$3:$3,"Median",'2br Flat'!$2:$2,B76)</f>
        <v>240</v>
      </c>
    </row>
    <row r="77" spans="1:4" x14ac:dyDescent="0.25">
      <c r="A77" s="3"/>
      <c r="B77" s="1">
        <v>43070</v>
      </c>
      <c r="C77">
        <f>AVERAGEIFS('2br Flat'!$93:$93,'2br Flat'!$3:$3,"Median",'2br Flat'!$2:$2,'2BR_F-processed'!B77)</f>
        <v>420</v>
      </c>
      <c r="D77">
        <f>AVERAGEIFS('2br Flat'!$94:$94,'2br Flat'!$3:$3,"Median",'2br Flat'!$2:$2,B77)</f>
        <v>245</v>
      </c>
    </row>
    <row r="78" spans="1:4" x14ac:dyDescent="0.25">
      <c r="A78" s="3"/>
      <c r="B78" s="1">
        <v>43160</v>
      </c>
      <c r="C78">
        <f>AVERAGEIFS('2br Flat'!$93:$93,'2br Flat'!$3:$3,"Median",'2br Flat'!$2:$2,'2BR_F-processed'!B78)</f>
        <v>440</v>
      </c>
      <c r="D78">
        <f>AVERAGEIFS('2br Flat'!$94:$94,'2br Flat'!$3:$3,"Median",'2br Flat'!$2:$2,B78)</f>
        <v>250</v>
      </c>
    </row>
    <row r="79" spans="1:4" x14ac:dyDescent="0.25">
      <c r="A79" s="3"/>
      <c r="B79" s="1">
        <v>43252</v>
      </c>
      <c r="C79">
        <f>AVERAGEIFS('2br Flat'!$93:$93,'2br Flat'!$3:$3,"Median",'2br Flat'!$2:$2,'2BR_F-processed'!B79)</f>
        <v>425</v>
      </c>
      <c r="D79">
        <f>AVERAGEIFS('2br Flat'!$94:$94,'2br Flat'!$3:$3,"Median",'2br Flat'!$2:$2,B79)</f>
        <v>250</v>
      </c>
    </row>
    <row r="80" spans="1:4" x14ac:dyDescent="0.25">
      <c r="A80" s="3"/>
      <c r="B80" s="1">
        <v>43344</v>
      </c>
      <c r="C80">
        <f>AVERAGEIFS('2br Flat'!$93:$93,'2br Flat'!$3:$3,"Median",'2br Flat'!$2:$2,'2BR_F-processed'!B80)</f>
        <v>435</v>
      </c>
      <c r="D80">
        <f>AVERAGEIFS('2br Flat'!$94:$94,'2br Flat'!$3:$3,"Median",'2br Flat'!$2:$2,B80)</f>
        <v>250</v>
      </c>
    </row>
    <row r="81" spans="1:4" x14ac:dyDescent="0.25">
      <c r="A81" s="3"/>
      <c r="B81" s="1">
        <v>43435</v>
      </c>
      <c r="C81">
        <f>AVERAGEIFS('2br Flat'!$93:$93,'2br Flat'!$3:$3,"Median",'2br Flat'!$2:$2,'2BR_F-processed'!B81)</f>
        <v>430</v>
      </c>
      <c r="D81">
        <f>AVERAGEIFS('2br Flat'!$94:$94,'2br Flat'!$3:$3,"Median",'2br Flat'!$2:$2,B81)</f>
        <v>250</v>
      </c>
    </row>
    <row r="82" spans="1:4" x14ac:dyDescent="0.25">
      <c r="A82" s="3"/>
      <c r="B82" s="1">
        <v>43525</v>
      </c>
      <c r="C82">
        <f>AVERAGEIFS('2br Flat'!$93:$93,'2br Flat'!$3:$3,"Median",'2br Flat'!$2:$2,'2BR_F-processed'!B82)</f>
        <v>450</v>
      </c>
      <c r="D82">
        <f>AVERAGEIFS('2br Flat'!$94:$94,'2br Flat'!$3:$3,"Median",'2br Flat'!$2:$2,B82)</f>
        <v>260</v>
      </c>
    </row>
    <row r="83" spans="1:4" x14ac:dyDescent="0.25">
      <c r="A83" s="3"/>
      <c r="B83" s="1">
        <v>43617</v>
      </c>
      <c r="C83">
        <f>AVERAGEIFS('2br Flat'!$93:$93,'2br Flat'!$3:$3,"Median",'2br Flat'!$2:$2,'2BR_F-processed'!B83)</f>
        <v>430</v>
      </c>
      <c r="D83">
        <f>AVERAGEIFS('2br Flat'!$94:$94,'2br Flat'!$3:$3,"Median",'2br Flat'!$2:$2,B83)</f>
        <v>255</v>
      </c>
    </row>
    <row r="84" spans="1:4" x14ac:dyDescent="0.25">
      <c r="A84" s="3"/>
      <c r="B84" s="1">
        <v>43709</v>
      </c>
      <c r="C84">
        <f>AVERAGEIFS('2br Flat'!$93:$93,'2br Flat'!$3:$3,"Median",'2br Flat'!$2:$2,'2BR_F-processed'!B84)</f>
        <v>445</v>
      </c>
      <c r="D84">
        <f>AVERAGEIFS('2br Flat'!$94:$94,'2br Flat'!$3:$3,"Median",'2br Flat'!$2:$2,B84)</f>
        <v>260</v>
      </c>
    </row>
    <row r="85" spans="1:4" x14ac:dyDescent="0.25">
      <c r="A85" s="3"/>
      <c r="B85" s="1">
        <v>43800</v>
      </c>
      <c r="C85">
        <f>AVERAGEIFS('2br Flat'!$93:$93,'2br Flat'!$3:$3,"Median",'2br Flat'!$2:$2,'2BR_F-processed'!B85)</f>
        <v>440</v>
      </c>
      <c r="D85">
        <f>AVERAGEIFS('2br Flat'!$94:$94,'2br Flat'!$3:$3,"Median",'2br Flat'!$2:$2,B85)</f>
        <v>260</v>
      </c>
    </row>
    <row r="86" spans="1:4" x14ac:dyDescent="0.25">
      <c r="A86" s="3"/>
      <c r="B86" s="1">
        <v>43891</v>
      </c>
      <c r="C86">
        <f>AVERAGEIFS('2br Flat'!$93:$93,'2br Flat'!$3:$3,"Median",'2br Flat'!$2:$2,'2BR_F-processed'!B86)</f>
        <v>460</v>
      </c>
      <c r="D86">
        <f>AVERAGEIFS('2br Flat'!$94:$94,'2br Flat'!$3:$3,"Median",'2br Flat'!$2:$2,B86)</f>
        <v>270</v>
      </c>
    </row>
    <row r="87" spans="1:4" x14ac:dyDescent="0.25">
      <c r="A87" s="3"/>
      <c r="B87" s="1">
        <v>43983</v>
      </c>
      <c r="C87">
        <f>AVERAGEIFS('2br Flat'!$93:$93,'2br Flat'!$3:$3,"Median",'2br Flat'!$2:$2,'2BR_F-processed'!B87)</f>
        <v>420</v>
      </c>
      <c r="D87">
        <f>AVERAGEIFS('2br Flat'!$94:$94,'2br Flat'!$3:$3,"Median",'2br Flat'!$2:$2,B87)</f>
        <v>270</v>
      </c>
    </row>
    <row r="88" spans="1:4" x14ac:dyDescent="0.25">
      <c r="A88" s="3"/>
      <c r="B88" s="1">
        <v>44075</v>
      </c>
      <c r="C88">
        <f>AVERAGEIFS('2br Flat'!$93:$93,'2br Flat'!$3:$3,"Median",'2br Flat'!$2:$2,'2BR_F-processed'!B88)</f>
        <v>415</v>
      </c>
      <c r="D88">
        <f>AVERAGEIFS('2br Flat'!$94:$94,'2br Flat'!$3:$3,"Median",'2br Flat'!$2:$2,B88)</f>
        <v>270</v>
      </c>
    </row>
    <row r="89" spans="1:4" x14ac:dyDescent="0.25">
      <c r="A89" s="3"/>
      <c r="B89" s="1">
        <v>44166</v>
      </c>
      <c r="C89">
        <f>AVERAGEIFS('2br Flat'!$93:$93,'2br Flat'!$3:$3,"Median",'2br Flat'!$2:$2,'2BR_F-processed'!B89)</f>
        <v>400</v>
      </c>
      <c r="D89">
        <f>AVERAGEIFS('2br Flat'!$94:$94,'2br Flat'!$3:$3,"Median",'2br Flat'!$2:$2,B89)</f>
        <v>280</v>
      </c>
    </row>
    <row r="90" spans="1:4" x14ac:dyDescent="0.25">
      <c r="A90" s="3"/>
      <c r="B90" s="1">
        <v>44256</v>
      </c>
      <c r="C90">
        <f>AVERAGEIFS('2br Flat'!$93:$93,'2br Flat'!$3:$3,"Median",'2br Flat'!$2:$2,'2BR_F-processed'!B90)</f>
        <v>400</v>
      </c>
      <c r="D90">
        <f>AVERAGEIFS('2br Flat'!$94:$94,'2br Flat'!$3:$3,"Median",'2br Flat'!$2:$2,B90)</f>
        <v>290</v>
      </c>
    </row>
    <row r="91" spans="1:4" x14ac:dyDescent="0.25">
      <c r="A91" s="3"/>
      <c r="B91" s="1">
        <v>44348</v>
      </c>
      <c r="C91">
        <f>AVERAGEIFS('2br Flat'!$93:$93,'2br Flat'!$3:$3,"Median",'2br Flat'!$2:$2,'2BR_F-processed'!B91)</f>
        <v>390</v>
      </c>
      <c r="D91">
        <f>AVERAGEIFS('2br Flat'!$94:$94,'2br Flat'!$3:$3,"Median",'2br Flat'!$2:$2,B91)</f>
        <v>290</v>
      </c>
    </row>
    <row r="92" spans="1:4" x14ac:dyDescent="0.25">
      <c r="A92" s="3"/>
      <c r="B92" s="1">
        <v>44440</v>
      </c>
      <c r="C92">
        <f>AVERAGEIFS('2br Flat'!$93:$93,'2br Flat'!$3:$3,"Median",'2br Flat'!$2:$2,'2BR_F-processed'!B92)</f>
        <v>395</v>
      </c>
      <c r="D92">
        <f>AVERAGEIFS('2br Flat'!$94:$94,'2br Flat'!$3:$3,"Median",'2br Flat'!$2:$2,B92)</f>
        <v>300</v>
      </c>
    </row>
    <row r="93" spans="1:4" x14ac:dyDescent="0.25">
      <c r="A93" s="3"/>
      <c r="B93" s="1">
        <v>44531</v>
      </c>
      <c r="C93">
        <f>AVERAGEIFS('2br Flat'!$93:$93,'2br Flat'!$3:$3,"Median",'2br Flat'!$2:$2,'2BR_F-processed'!B93)</f>
        <v>400</v>
      </c>
      <c r="D93">
        <f>AVERAGEIFS('2br Flat'!$94:$94,'2br Flat'!$3:$3,"Median",'2br Flat'!$2:$2,B93)</f>
        <v>300</v>
      </c>
    </row>
    <row r="94" spans="1:4" x14ac:dyDescent="0.25">
      <c r="A94" s="3"/>
      <c r="B94" s="1">
        <v>44621</v>
      </c>
      <c r="C94">
        <f>AVERAGEIFS('2br Flat'!$93:$93,'2br Flat'!$3:$3,"Median",'2br Flat'!$2:$2,'2BR_F-processed'!B94)</f>
        <v>425</v>
      </c>
      <c r="D94">
        <f>AVERAGEIFS('2br Flat'!$94:$94,'2br Flat'!$3:$3,"Median",'2br Flat'!$2:$2,B94)</f>
        <v>320</v>
      </c>
    </row>
    <row r="95" spans="1:4" x14ac:dyDescent="0.25">
      <c r="A95" s="3"/>
      <c r="B95" s="1">
        <v>44713</v>
      </c>
      <c r="C95">
        <f>AVERAGEIFS('2br Flat'!$93:$93,'2br Flat'!$3:$3,"Median",'2br Flat'!$2:$2,'2BR_F-processed'!B95)</f>
        <v>435</v>
      </c>
      <c r="D95">
        <f>AVERAGEIFS('2br Flat'!$94:$94,'2br Flat'!$3:$3,"Median",'2br Flat'!$2:$2,B95)</f>
        <v>320</v>
      </c>
    </row>
    <row r="96" spans="1:4" x14ac:dyDescent="0.25">
      <c r="A96" s="3"/>
      <c r="B96" s="1">
        <v>44805</v>
      </c>
      <c r="C96">
        <f>AVERAGEIFS('2br Flat'!$93:$93,'2br Flat'!$3:$3,"Median",'2br Flat'!$2:$2,'2BR_F-processed'!B96)</f>
        <v>450</v>
      </c>
      <c r="D96">
        <f>AVERAGEIFS('2br Flat'!$94:$94,'2br Flat'!$3:$3,"Median",'2br Flat'!$2:$2,B96)</f>
        <v>320</v>
      </c>
    </row>
    <row r="97" spans="1:4" x14ac:dyDescent="0.25">
      <c r="A97" s="3"/>
      <c r="B97" s="1">
        <v>44896</v>
      </c>
      <c r="C97">
        <f>AVERAGEIFS('2br Flat'!$93:$93,'2br Flat'!$3:$3,"Median",'2br Flat'!$2:$2,'2BR_F-processed'!B97)</f>
        <v>460</v>
      </c>
      <c r="D97">
        <f>AVERAGEIFS('2br Flat'!$94:$94,'2br Flat'!$3:$3,"Median",'2br Flat'!$2:$2,B97)</f>
        <v>335</v>
      </c>
    </row>
    <row r="98" spans="1:4" x14ac:dyDescent="0.25">
      <c r="B98" s="1">
        <v>44986</v>
      </c>
      <c r="C98">
        <f>AVERAGEIFS('2br Flat'!$93:$93,'2br Flat'!$3:$3,"Median",'2br Flat'!$2:$2,'2BR_F-processed'!B98)</f>
        <v>520</v>
      </c>
      <c r="D98">
        <f>AVERAGEIFS('2br Flat'!$94:$94,'2br Flat'!$3:$3,"Median",'2br Flat'!$2:$2,B98)</f>
        <v>340</v>
      </c>
    </row>
    <row r="99" spans="1:4" x14ac:dyDescent="0.25">
      <c r="B99" s="1">
        <v>45078</v>
      </c>
      <c r="C99">
        <f>AVERAGEIFS('2br Flat'!$93:$93,'2br Flat'!$3:$3,"Median",'2br Flat'!$2:$2,'2BR_F-processed'!B99)</f>
        <v>525</v>
      </c>
      <c r="D99">
        <f>AVERAGEIFS('2br Flat'!$94:$94,'2br Flat'!$3:$3,"Median",'2br Flat'!$2:$2,B99)</f>
        <v>340</v>
      </c>
    </row>
    <row r="100" spans="1:4" x14ac:dyDescent="0.25">
      <c r="B100" s="1">
        <v>45170</v>
      </c>
      <c r="C100">
        <f>AVERAGEIFS('2br Flat'!$93:$93,'2br Flat'!$3:$3,"Median",'2br Flat'!$2:$2,'2BR_F-processed'!B100)</f>
        <v>550</v>
      </c>
      <c r="D100">
        <f>AVERAGEIFS('2br Flat'!$94:$94,'2br Flat'!$3:$3,"Median",'2br Flat'!$2:$2,B100)</f>
        <v>350</v>
      </c>
    </row>
    <row r="101" spans="1:4" x14ac:dyDescent="0.25">
      <c r="B101" s="1">
        <v>45261</v>
      </c>
      <c r="C101">
        <f>AVERAGEIFS('2br Flat'!$93:$93,'2br Flat'!$3:$3,"Median",'2br Flat'!$2:$2,'2BR_F-processed'!B101)</f>
        <v>550</v>
      </c>
      <c r="D101">
        <f>AVERAGEIFS('2br Flat'!$94:$94,'2br Flat'!$3:$3,"Median",'2br Flat'!$2:$2,B101)</f>
        <v>350</v>
      </c>
    </row>
    <row r="102" spans="1:4" x14ac:dyDescent="0.25">
      <c r="B102" s="1">
        <v>45352</v>
      </c>
      <c r="C102">
        <f>AVERAGEIFS('2br Flat'!$93:$93,'2br Flat'!$3:$3,"Median",'2br Flat'!$2:$2,'2BR_F-processed'!B102)</f>
        <v>600</v>
      </c>
      <c r="D102">
        <f>AVERAGEIFS('2br Flat'!$94:$94,'2br Flat'!$3:$3,"Median",'2br Flat'!$2:$2,B102)</f>
        <v>360</v>
      </c>
    </row>
    <row r="103" spans="1:4" x14ac:dyDescent="0.25">
      <c r="B103" s="1">
        <v>45444</v>
      </c>
      <c r="C103">
        <f>AVERAGEIFS('2br Flat'!$93:$93,'2br Flat'!$3:$3,"Median",'2br Flat'!$2:$2,'2BR_F-processed'!B103)</f>
        <v>580</v>
      </c>
      <c r="D103">
        <f>AVERAGEIFS('2br Flat'!$94:$94,'2br Flat'!$3:$3,"Median",'2br Flat'!$2:$2,B103)</f>
        <v>360</v>
      </c>
    </row>
    <row r="104" spans="1:4" x14ac:dyDescent="0.25">
      <c r="B104" s="1">
        <v>45536</v>
      </c>
      <c r="C104">
        <f>AVERAGEIFS('2br Flat'!$93:$93,'2br Flat'!$3:$3,"Median",'2br Flat'!$2:$2,'2BR_F-processed'!B104)</f>
        <v>580</v>
      </c>
      <c r="D104">
        <f>AVERAGEIFS('2br Flat'!$94:$94,'2br Flat'!$3:$3,"Median",'2br Flat'!$2:$2,B104)</f>
        <v>370</v>
      </c>
    </row>
    <row r="105" spans="1:4" x14ac:dyDescent="0.25">
      <c r="B105" s="1">
        <v>45627</v>
      </c>
      <c r="C105">
        <f>AVERAGEIFS('2br Flat'!$93:$93,'2br Flat'!$3:$3,"Median",'2br Flat'!$2:$2,'2BR_F-processed'!B105)</f>
        <v>575</v>
      </c>
      <c r="D105">
        <f>AVERAGEIFS('2br Flat'!$94:$94,'2br Flat'!$3:$3,"Median",'2br Flat'!$2:$2,B105)</f>
        <v>370</v>
      </c>
    </row>
    <row r="106" spans="1:4" x14ac:dyDescent="0.25">
      <c r="B106" s="1">
        <v>45717</v>
      </c>
      <c r="C106">
        <f>AVERAGEIFS('2br Flat'!$93:$93,'2br Flat'!$3:$3,"Median",'2br Flat'!$2:$2,'2BR_F-processed'!B106)</f>
        <v>625</v>
      </c>
      <c r="D106">
        <f>AVERAGEIFS('2br Flat'!$94:$94,'2br Flat'!$3:$3,"Median",'2br Flat'!$2:$2,B106)</f>
        <v>380</v>
      </c>
    </row>
    <row r="107" spans="1:4" x14ac:dyDescent="0.25">
      <c r="B107" s="1">
        <v>45809</v>
      </c>
      <c r="C107">
        <f>AVERAGEIFS('2br Flat'!$93:$93,'2br Flat'!$3:$3,"Median",'2br Flat'!$2:$2,'2BR_F-processed'!B107)</f>
        <v>600</v>
      </c>
      <c r="D107">
        <f>AVERAGEIFS('2br Flat'!$94:$94,'2br Flat'!$3:$3,"Median",'2br Flat'!$2:$2,B107)</f>
        <v>380</v>
      </c>
    </row>
    <row r="108" spans="1:4" x14ac:dyDescent="0.25">
      <c r="B108" s="1">
        <v>45901</v>
      </c>
      <c r="C108">
        <f>AVERAGEIFS('2br Flat'!$93:$93,'2br Flat'!$3:$3,"Median",'2br Flat'!$2:$2,'2BR_F-processed'!B108)</f>
        <v>600</v>
      </c>
      <c r="D108">
        <f>AVERAGEIFS('2br Flat'!$94:$94,'2br Flat'!$3:$3,"Median",'2br Flat'!$2:$2,B108)</f>
        <v>390</v>
      </c>
    </row>
    <row r="109" spans="1:4" x14ac:dyDescent="0.25">
      <c r="B109" s="1">
        <v>45992</v>
      </c>
      <c r="C109" s="5">
        <f>C108</f>
        <v>600</v>
      </c>
      <c r="D109" s="5">
        <f>D108</f>
        <v>390</v>
      </c>
    </row>
  </sheetData>
  <autoFilter ref="A1:D97" xr:uid="{57ABFE4F-8ED8-46E2-A3E7-D09420486E88}"/>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266C-75BE-45BF-8496-AD95282C2F7B}">
  <sheetPr>
    <tabColor rgb="FFFF0000"/>
  </sheetPr>
  <dimension ref="A1:D109"/>
  <sheetViews>
    <sheetView workbookViewId="0">
      <pane ySplit="1" topLeftCell="A2" activePane="bottomLeft" state="frozen"/>
      <selection pane="bottomLeft" activeCell="I12" sqref="I12"/>
    </sheetView>
  </sheetViews>
  <sheetFormatPr defaultRowHeight="15" x14ac:dyDescent="0.25"/>
  <cols>
    <col min="1" max="1" width="33.42578125" bestFit="1" customWidth="1"/>
    <col min="3" max="3" width="18.28515625" bestFit="1" customWidth="1"/>
    <col min="4" max="4" width="12.140625" bestFit="1" customWidth="1"/>
  </cols>
  <sheetData>
    <row r="1" spans="1:4" x14ac:dyDescent="0.25">
      <c r="A1" t="s">
        <v>6</v>
      </c>
      <c r="B1" s="1" t="s">
        <v>1</v>
      </c>
      <c r="C1" t="s">
        <v>630</v>
      </c>
      <c r="D1" t="s">
        <v>631</v>
      </c>
    </row>
    <row r="2" spans="1:4" x14ac:dyDescent="0.25">
      <c r="A2" t="s">
        <v>5</v>
      </c>
      <c r="B2" s="1">
        <v>36220</v>
      </c>
      <c r="C2" t="e">
        <f>AVERAGEIFS('3br House'!$93:$93,'3br House'!$3:$3,"Median",'3br House'!$2:$2,$B2)</f>
        <v>#DIV/0!</v>
      </c>
      <c r="D2" t="e">
        <f>AVERAGEIFS('3br House'!$94:$94,'3br House'!$3:$3,"Median",'3br House'!$2:$2,$B2)</f>
        <v>#DIV/0!</v>
      </c>
    </row>
    <row r="3" spans="1:4" x14ac:dyDescent="0.25">
      <c r="A3" t="s">
        <v>0</v>
      </c>
      <c r="B3" s="1">
        <v>36312</v>
      </c>
      <c r="C3">
        <f>AVERAGEIFS('3br House'!$93:$93,'3br House'!$3:$3,"Median",'3br House'!$2:$2,$B3)</f>
        <v>180</v>
      </c>
      <c r="D3">
        <f>AVERAGEIFS('3br House'!$94:$94,'3br House'!$3:$3,"Median",'3br House'!$2:$2,$B3)</f>
        <v>140</v>
      </c>
    </row>
    <row r="4" spans="1:4" x14ac:dyDescent="0.25">
      <c r="B4" s="1">
        <v>36404</v>
      </c>
      <c r="C4">
        <f>AVERAGEIFS('3br House'!$93:$93,'3br House'!$3:$3,"Median",'3br House'!$2:$2,$B4)</f>
        <v>180</v>
      </c>
      <c r="D4">
        <f>AVERAGEIFS('3br House'!$94:$94,'3br House'!$3:$3,"Median",'3br House'!$2:$2,$B4)</f>
        <v>140</v>
      </c>
    </row>
    <row r="5" spans="1:4" x14ac:dyDescent="0.25">
      <c r="B5" s="1">
        <v>36495</v>
      </c>
      <c r="C5">
        <f>AVERAGEIFS('3br House'!$93:$93,'3br House'!$3:$3,"Median",'3br House'!$2:$2,$B5)</f>
        <v>185</v>
      </c>
      <c r="D5">
        <f>AVERAGEIFS('3br House'!$94:$94,'3br House'!$3:$3,"Median",'3br House'!$2:$2,$B5)</f>
        <v>140</v>
      </c>
    </row>
    <row r="6" spans="1:4" x14ac:dyDescent="0.25">
      <c r="B6" s="1">
        <v>36586</v>
      </c>
      <c r="C6">
        <f>AVERAGEIFS('3br House'!$93:$93,'3br House'!$3:$3,"Median",'3br House'!$2:$2,$B6)</f>
        <v>190</v>
      </c>
      <c r="D6">
        <f>AVERAGEIFS('3br House'!$94:$94,'3br House'!$3:$3,"Median",'3br House'!$2:$2,$B6)</f>
        <v>140</v>
      </c>
    </row>
    <row r="7" spans="1:4" x14ac:dyDescent="0.25">
      <c r="B7" s="1">
        <v>36678</v>
      </c>
      <c r="C7">
        <f>AVERAGEIFS('3br House'!$93:$93,'3br House'!$3:$3,"Median",'3br House'!$2:$2,$B7)</f>
        <v>185</v>
      </c>
      <c r="D7">
        <f>AVERAGEIFS('3br House'!$94:$94,'3br House'!$3:$3,"Median",'3br House'!$2:$2,$B7)</f>
        <v>145</v>
      </c>
    </row>
    <row r="8" spans="1:4" x14ac:dyDescent="0.25">
      <c r="B8" s="1">
        <v>36770</v>
      </c>
      <c r="C8">
        <f>AVERAGEIFS('3br House'!$93:$93,'3br House'!$3:$3,"Median",'3br House'!$2:$2,$B8)</f>
        <v>190</v>
      </c>
      <c r="D8">
        <f>AVERAGEIFS('3br House'!$94:$94,'3br House'!$3:$3,"Median",'3br House'!$2:$2,$B8)</f>
        <v>145</v>
      </c>
    </row>
    <row r="9" spans="1:4" x14ac:dyDescent="0.25">
      <c r="B9" s="1">
        <v>36861</v>
      </c>
      <c r="C9">
        <f>AVERAGEIFS('3br House'!$93:$93,'3br House'!$3:$3,"Median",'3br House'!$2:$2,$B9)</f>
        <v>190</v>
      </c>
      <c r="D9">
        <f>AVERAGEIFS('3br House'!$94:$94,'3br House'!$3:$3,"Median",'3br House'!$2:$2,$B9)</f>
        <v>145</v>
      </c>
    </row>
    <row r="10" spans="1:4" x14ac:dyDescent="0.25">
      <c r="B10" s="1">
        <v>36951</v>
      </c>
      <c r="C10">
        <f>AVERAGEIFS('3br House'!$93:$93,'3br House'!$3:$3,"Median",'3br House'!$2:$2,$B10)</f>
        <v>200</v>
      </c>
      <c r="D10">
        <f>AVERAGEIFS('3br House'!$94:$94,'3br House'!$3:$3,"Median",'3br House'!$2:$2,$B10)</f>
        <v>150</v>
      </c>
    </row>
    <row r="11" spans="1:4" x14ac:dyDescent="0.25">
      <c r="B11" s="1">
        <v>37043</v>
      </c>
      <c r="C11">
        <f>AVERAGEIFS('3br House'!$93:$93,'3br House'!$3:$3,"Median",'3br House'!$2:$2,$B11)</f>
        <v>195</v>
      </c>
      <c r="D11">
        <f>AVERAGEIFS('3br House'!$94:$94,'3br House'!$3:$3,"Median",'3br House'!$2:$2,$B11)</f>
        <v>150</v>
      </c>
    </row>
    <row r="12" spans="1:4" x14ac:dyDescent="0.25">
      <c r="B12" s="1">
        <v>37135</v>
      </c>
      <c r="C12">
        <f>AVERAGEIFS('3br House'!$93:$93,'3br House'!$3:$3,"Median",'3br House'!$2:$2,$B12)</f>
        <v>200</v>
      </c>
      <c r="D12">
        <f>AVERAGEIFS('3br House'!$94:$94,'3br House'!$3:$3,"Median",'3br House'!$2:$2,$B12)</f>
        <v>150</v>
      </c>
    </row>
    <row r="13" spans="1:4" x14ac:dyDescent="0.25">
      <c r="B13" s="1">
        <v>37226</v>
      </c>
      <c r="C13">
        <f>AVERAGEIFS('3br House'!$93:$93,'3br House'!$3:$3,"Median",'3br House'!$2:$2,$B13)</f>
        <v>200</v>
      </c>
      <c r="D13">
        <f>AVERAGEIFS('3br House'!$94:$94,'3br House'!$3:$3,"Median",'3br House'!$2:$2,$B13)</f>
        <v>155</v>
      </c>
    </row>
    <row r="14" spans="1:4" x14ac:dyDescent="0.25">
      <c r="B14" s="1">
        <v>37316</v>
      </c>
      <c r="C14">
        <f>AVERAGEIFS('3br House'!$93:$93,'3br House'!$3:$3,"Median",'3br House'!$2:$2,$B14)</f>
        <v>210</v>
      </c>
      <c r="D14">
        <f>AVERAGEIFS('3br House'!$94:$94,'3br House'!$3:$3,"Median",'3br House'!$2:$2,$B14)</f>
        <v>160</v>
      </c>
    </row>
    <row r="15" spans="1:4" x14ac:dyDescent="0.25">
      <c r="B15" s="1">
        <v>37408</v>
      </c>
      <c r="C15">
        <f>AVERAGEIFS('3br House'!$93:$93,'3br House'!$3:$3,"Median",'3br House'!$2:$2,$B15)</f>
        <v>200</v>
      </c>
      <c r="D15">
        <f>AVERAGEIFS('3br House'!$94:$94,'3br House'!$3:$3,"Median",'3br House'!$2:$2,$B15)</f>
        <v>160</v>
      </c>
    </row>
    <row r="16" spans="1:4" x14ac:dyDescent="0.25">
      <c r="B16" s="1">
        <v>37500</v>
      </c>
      <c r="C16">
        <f>AVERAGEIFS('3br House'!$93:$93,'3br House'!$3:$3,"Median",'3br House'!$2:$2,$B16)</f>
        <v>200</v>
      </c>
      <c r="D16">
        <f>AVERAGEIFS('3br House'!$94:$94,'3br House'!$3:$3,"Median",'3br House'!$2:$2,$B16)</f>
        <v>160</v>
      </c>
    </row>
    <row r="17" spans="2:4" x14ac:dyDescent="0.25">
      <c r="B17" s="1">
        <v>37591</v>
      </c>
      <c r="C17">
        <f>AVERAGEIFS('3br House'!$93:$93,'3br House'!$3:$3,"Median",'3br House'!$2:$2,$B17)</f>
        <v>210</v>
      </c>
      <c r="D17">
        <f>AVERAGEIFS('3br House'!$94:$94,'3br House'!$3:$3,"Median",'3br House'!$2:$2,$B17)</f>
        <v>165</v>
      </c>
    </row>
    <row r="18" spans="2:4" x14ac:dyDescent="0.25">
      <c r="B18" s="1">
        <v>37681</v>
      </c>
      <c r="C18">
        <f>AVERAGEIFS('3br House'!$93:$93,'3br House'!$3:$3,"Median",'3br House'!$2:$2,$B18)</f>
        <v>210</v>
      </c>
      <c r="D18">
        <f>AVERAGEIFS('3br House'!$94:$94,'3br House'!$3:$3,"Median",'3br House'!$2:$2,$B18)</f>
        <v>170</v>
      </c>
    </row>
    <row r="19" spans="2:4" x14ac:dyDescent="0.25">
      <c r="B19" s="1">
        <v>37773</v>
      </c>
      <c r="C19">
        <f>AVERAGEIFS('3br House'!$93:$93,'3br House'!$3:$3,"Median",'3br House'!$2:$2,$B19)</f>
        <v>210</v>
      </c>
      <c r="D19">
        <f>AVERAGEIFS('3br House'!$94:$94,'3br House'!$3:$3,"Median",'3br House'!$2:$2,$B19)</f>
        <v>170</v>
      </c>
    </row>
    <row r="20" spans="2:4" x14ac:dyDescent="0.25">
      <c r="B20" s="1">
        <v>37865</v>
      </c>
      <c r="C20">
        <f>AVERAGEIFS('3br House'!$93:$93,'3br House'!$3:$3,"Median",'3br House'!$2:$2,$B20)</f>
        <v>210</v>
      </c>
      <c r="D20">
        <f>AVERAGEIFS('3br House'!$94:$94,'3br House'!$3:$3,"Median",'3br House'!$2:$2,$B20)</f>
        <v>170</v>
      </c>
    </row>
    <row r="21" spans="2:4" x14ac:dyDescent="0.25">
      <c r="B21" s="1">
        <v>37956</v>
      </c>
      <c r="C21">
        <f>AVERAGEIFS('3br House'!$93:$93,'3br House'!$3:$3,"Median",'3br House'!$2:$2,$B21)</f>
        <v>210</v>
      </c>
      <c r="D21">
        <f>AVERAGEIFS('3br House'!$94:$94,'3br House'!$3:$3,"Median",'3br House'!$2:$2,$B21)</f>
        <v>180</v>
      </c>
    </row>
    <row r="22" spans="2:4" x14ac:dyDescent="0.25">
      <c r="B22" s="1">
        <v>38047</v>
      </c>
      <c r="C22">
        <f>AVERAGEIFS('3br House'!$93:$93,'3br House'!$3:$3,"Median",'3br House'!$2:$2,$B22)</f>
        <v>220</v>
      </c>
      <c r="D22">
        <f>AVERAGEIFS('3br House'!$94:$94,'3br House'!$3:$3,"Median",'3br House'!$2:$2,$B22)</f>
        <v>180</v>
      </c>
    </row>
    <row r="23" spans="2:4" x14ac:dyDescent="0.25">
      <c r="B23" s="1">
        <v>38139</v>
      </c>
      <c r="C23">
        <f>AVERAGEIFS('3br House'!$93:$93,'3br House'!$3:$3,"Median",'3br House'!$2:$2,$B23)</f>
        <v>220</v>
      </c>
      <c r="D23">
        <f>AVERAGEIFS('3br House'!$94:$94,'3br House'!$3:$3,"Median",'3br House'!$2:$2,$B23)</f>
        <v>180</v>
      </c>
    </row>
    <row r="24" spans="2:4" x14ac:dyDescent="0.25">
      <c r="B24" s="1">
        <v>38231</v>
      </c>
      <c r="C24">
        <f>AVERAGEIFS('3br House'!$93:$93,'3br House'!$3:$3,"Median",'3br House'!$2:$2,$B24)</f>
        <v>220</v>
      </c>
      <c r="D24">
        <f>AVERAGEIFS('3br House'!$94:$94,'3br House'!$3:$3,"Median",'3br House'!$2:$2,$B24)</f>
        <v>180</v>
      </c>
    </row>
    <row r="25" spans="2:4" x14ac:dyDescent="0.25">
      <c r="B25" s="1">
        <v>38322</v>
      </c>
      <c r="C25">
        <f>AVERAGEIFS('3br House'!$93:$93,'3br House'!$3:$3,"Median",'3br House'!$2:$2,$B25)</f>
        <v>220</v>
      </c>
      <c r="D25">
        <f>AVERAGEIFS('3br House'!$94:$94,'3br House'!$3:$3,"Median",'3br House'!$2:$2,$B25)</f>
        <v>185</v>
      </c>
    </row>
    <row r="26" spans="2:4" x14ac:dyDescent="0.25">
      <c r="B26" s="1">
        <v>38412</v>
      </c>
      <c r="C26">
        <f>AVERAGEIFS('3br House'!$93:$93,'3br House'!$3:$3,"Median",'3br House'!$2:$2,$B26)</f>
        <v>225</v>
      </c>
      <c r="D26">
        <f>AVERAGEIFS('3br House'!$94:$94,'3br House'!$3:$3,"Median",'3br House'!$2:$2,$B26)</f>
        <v>190</v>
      </c>
    </row>
    <row r="27" spans="2:4" x14ac:dyDescent="0.25">
      <c r="B27" s="1">
        <v>38504</v>
      </c>
      <c r="C27">
        <f>AVERAGEIFS('3br House'!$93:$93,'3br House'!$3:$3,"Median",'3br House'!$2:$2,$B27)</f>
        <v>220</v>
      </c>
      <c r="D27">
        <f>AVERAGEIFS('3br House'!$94:$94,'3br House'!$3:$3,"Median",'3br House'!$2:$2,$B27)</f>
        <v>185</v>
      </c>
    </row>
    <row r="28" spans="2:4" x14ac:dyDescent="0.25">
      <c r="B28" s="1">
        <v>38596</v>
      </c>
      <c r="C28">
        <f>AVERAGEIFS('3br House'!$93:$93,'3br House'!$3:$3,"Median",'3br House'!$2:$2,$B28)</f>
        <v>225</v>
      </c>
      <c r="D28">
        <f>AVERAGEIFS('3br House'!$94:$94,'3br House'!$3:$3,"Median",'3br House'!$2:$2,$B28)</f>
        <v>185</v>
      </c>
    </row>
    <row r="29" spans="2:4" x14ac:dyDescent="0.25">
      <c r="B29" s="1">
        <v>38687</v>
      </c>
      <c r="C29">
        <f>AVERAGEIFS('3br House'!$93:$93,'3br House'!$3:$3,"Median",'3br House'!$2:$2,$B29)</f>
        <v>230</v>
      </c>
      <c r="D29">
        <f>AVERAGEIFS('3br House'!$94:$94,'3br House'!$3:$3,"Median",'3br House'!$2:$2,$B29)</f>
        <v>190</v>
      </c>
    </row>
    <row r="30" spans="2:4" x14ac:dyDescent="0.25">
      <c r="B30" s="1">
        <v>38777</v>
      </c>
      <c r="C30">
        <f>AVERAGEIFS('3br House'!$93:$93,'3br House'!$3:$3,"Median",'3br House'!$2:$2,$B30)</f>
        <v>230</v>
      </c>
      <c r="D30">
        <f>AVERAGEIFS('3br House'!$94:$94,'3br House'!$3:$3,"Median",'3br House'!$2:$2,$B30)</f>
        <v>190</v>
      </c>
    </row>
    <row r="31" spans="2:4" x14ac:dyDescent="0.25">
      <c r="B31" s="1">
        <v>38869</v>
      </c>
      <c r="C31">
        <f>AVERAGEIFS('3br House'!$93:$93,'3br House'!$3:$3,"Median",'3br House'!$2:$2,$B31)</f>
        <v>230</v>
      </c>
      <c r="D31">
        <f>AVERAGEIFS('3br House'!$94:$94,'3br House'!$3:$3,"Median",'3br House'!$2:$2,$B31)</f>
        <v>190</v>
      </c>
    </row>
    <row r="32" spans="2:4" x14ac:dyDescent="0.25">
      <c r="B32" s="1">
        <v>38961</v>
      </c>
      <c r="C32">
        <f>AVERAGEIFS('3br House'!$93:$93,'3br House'!$3:$3,"Median",'3br House'!$2:$2,$B32)</f>
        <v>240</v>
      </c>
      <c r="D32">
        <f>AVERAGEIFS('3br House'!$94:$94,'3br House'!$3:$3,"Median",'3br House'!$2:$2,$B32)</f>
        <v>195</v>
      </c>
    </row>
    <row r="33" spans="1:4" x14ac:dyDescent="0.25">
      <c r="B33" s="1">
        <v>39052</v>
      </c>
      <c r="C33">
        <f>AVERAGEIFS('3br House'!$93:$93,'3br House'!$3:$3,"Median",'3br House'!$2:$2,$B33)</f>
        <v>240</v>
      </c>
      <c r="D33">
        <f>AVERAGEIFS('3br House'!$94:$94,'3br House'!$3:$3,"Median",'3br House'!$2:$2,$B33)</f>
        <v>200</v>
      </c>
    </row>
    <row r="34" spans="1:4" x14ac:dyDescent="0.25">
      <c r="B34" s="1">
        <v>39142</v>
      </c>
      <c r="C34">
        <f>AVERAGEIFS('3br House'!$93:$93,'3br House'!$3:$3,"Median",'3br House'!$2:$2,$B34)</f>
        <v>250</v>
      </c>
      <c r="D34">
        <f>AVERAGEIFS('3br House'!$94:$94,'3br House'!$3:$3,"Median",'3br House'!$2:$2,$B34)</f>
        <v>200</v>
      </c>
    </row>
    <row r="35" spans="1:4" x14ac:dyDescent="0.25">
      <c r="B35" s="1">
        <v>39234</v>
      </c>
      <c r="C35">
        <f>AVERAGEIFS('3br House'!$93:$93,'3br House'!$3:$3,"Median",'3br House'!$2:$2,$B35)</f>
        <v>250</v>
      </c>
      <c r="D35">
        <f>AVERAGEIFS('3br House'!$94:$94,'3br House'!$3:$3,"Median",'3br House'!$2:$2,$B35)</f>
        <v>200</v>
      </c>
    </row>
    <row r="36" spans="1:4" x14ac:dyDescent="0.25">
      <c r="B36" s="1">
        <v>39326</v>
      </c>
      <c r="C36">
        <f>AVERAGEIFS('3br House'!$93:$93,'3br House'!$3:$3,"Median",'3br House'!$2:$2,$B36)</f>
        <v>260</v>
      </c>
      <c r="D36">
        <f>AVERAGEIFS('3br House'!$94:$94,'3br House'!$3:$3,"Median",'3br House'!$2:$2,$B36)</f>
        <v>205</v>
      </c>
    </row>
    <row r="37" spans="1:4" x14ac:dyDescent="0.25">
      <c r="B37" s="1">
        <v>39417</v>
      </c>
      <c r="C37">
        <f>AVERAGEIFS('3br House'!$93:$93,'3br House'!$3:$3,"Median",'3br House'!$2:$2,$B37)</f>
        <v>270</v>
      </c>
      <c r="D37">
        <f>AVERAGEIFS('3br House'!$94:$94,'3br House'!$3:$3,"Median",'3br House'!$2:$2,$B37)</f>
        <v>210</v>
      </c>
    </row>
    <row r="38" spans="1:4" x14ac:dyDescent="0.25">
      <c r="B38" s="1">
        <v>39508</v>
      </c>
      <c r="C38">
        <f>AVERAGEIFS('3br House'!$93:$93,'3br House'!$3:$3,"Median",'3br House'!$2:$2,$B38)</f>
        <v>280</v>
      </c>
      <c r="D38">
        <f>AVERAGEIFS('3br House'!$94:$94,'3br House'!$3:$3,"Median",'3br House'!$2:$2,$B38)</f>
        <v>220</v>
      </c>
    </row>
    <row r="39" spans="1:4" x14ac:dyDescent="0.25">
      <c r="B39" s="1">
        <v>39600</v>
      </c>
      <c r="C39">
        <f>AVERAGEIFS('3br House'!$93:$93,'3br House'!$3:$3,"Median",'3br House'!$2:$2,$B39)</f>
        <v>290</v>
      </c>
      <c r="D39">
        <f>AVERAGEIFS('3br House'!$94:$94,'3br House'!$3:$3,"Median",'3br House'!$2:$2,$B39)</f>
        <v>220</v>
      </c>
    </row>
    <row r="40" spans="1:4" x14ac:dyDescent="0.25">
      <c r="B40" s="1">
        <v>39692</v>
      </c>
      <c r="C40">
        <f>AVERAGEIFS('3br House'!$93:$93,'3br House'!$3:$3,"Median",'3br House'!$2:$2,$B40)</f>
        <v>300</v>
      </c>
      <c r="D40">
        <f>AVERAGEIFS('3br House'!$94:$94,'3br House'!$3:$3,"Median",'3br House'!$2:$2,$B40)</f>
        <v>220</v>
      </c>
    </row>
    <row r="41" spans="1:4" x14ac:dyDescent="0.25">
      <c r="B41" s="1">
        <v>39783</v>
      </c>
      <c r="C41">
        <f>AVERAGEIFS('3br House'!$93:$93,'3br House'!$3:$3,"Median",'3br House'!$2:$2,$B41)</f>
        <v>300</v>
      </c>
      <c r="D41">
        <f>AVERAGEIFS('3br House'!$94:$94,'3br House'!$3:$3,"Median",'3br House'!$2:$2,$B41)</f>
        <v>225</v>
      </c>
    </row>
    <row r="42" spans="1:4" x14ac:dyDescent="0.25">
      <c r="B42" s="1">
        <v>39873</v>
      </c>
      <c r="C42">
        <f>AVERAGEIFS('3br House'!$93:$93,'3br House'!$3:$3,"Median",'3br House'!$2:$2,$B42)</f>
        <v>310</v>
      </c>
      <c r="D42">
        <f>AVERAGEIFS('3br House'!$94:$94,'3br House'!$3:$3,"Median",'3br House'!$2:$2,$B42)</f>
        <v>230</v>
      </c>
    </row>
    <row r="43" spans="1:4" x14ac:dyDescent="0.25">
      <c r="B43" s="1">
        <v>39965</v>
      </c>
      <c r="C43">
        <f>AVERAGEIFS('3br House'!$93:$93,'3br House'!$3:$3,"Median",'3br House'!$2:$2,$B43)</f>
        <v>300</v>
      </c>
      <c r="D43">
        <f>AVERAGEIFS('3br House'!$94:$94,'3br House'!$3:$3,"Median",'3br House'!$2:$2,$B43)</f>
        <v>230</v>
      </c>
    </row>
    <row r="44" spans="1:4" x14ac:dyDescent="0.25">
      <c r="B44" s="1">
        <v>40057</v>
      </c>
      <c r="C44">
        <f>AVERAGEIFS('3br House'!$93:$93,'3br House'!$3:$3,"Median",'3br House'!$2:$2,$B44)</f>
        <v>310</v>
      </c>
      <c r="D44">
        <f>AVERAGEIFS('3br House'!$94:$94,'3br House'!$3:$3,"Median",'3br House'!$2:$2,$B44)</f>
        <v>230</v>
      </c>
    </row>
    <row r="45" spans="1:4" x14ac:dyDescent="0.25">
      <c r="B45" s="1">
        <v>40148</v>
      </c>
      <c r="C45">
        <f>AVERAGEIFS('3br House'!$93:$93,'3br House'!$3:$3,"Median",'3br House'!$2:$2,$B45)</f>
        <v>320</v>
      </c>
      <c r="D45">
        <f>AVERAGEIFS('3br House'!$94:$94,'3br House'!$3:$3,"Median",'3br House'!$2:$2,$B45)</f>
        <v>240</v>
      </c>
    </row>
    <row r="46" spans="1:4" x14ac:dyDescent="0.25">
      <c r="A46" s="3"/>
      <c r="B46" s="1">
        <v>40238</v>
      </c>
      <c r="C46">
        <f>AVERAGEIFS('3br House'!$93:$93,'3br House'!$3:$3,"Median",'3br House'!$2:$2,$B46)</f>
        <v>330</v>
      </c>
      <c r="D46">
        <f>AVERAGEIFS('3br House'!$94:$94,'3br House'!$3:$3,"Median",'3br House'!$2:$2,$B46)</f>
        <v>240</v>
      </c>
    </row>
    <row r="47" spans="1:4" x14ac:dyDescent="0.25">
      <c r="A47" s="3"/>
      <c r="B47" s="1">
        <v>40330</v>
      </c>
      <c r="C47">
        <f>AVERAGEIFS('3br House'!$93:$93,'3br House'!$3:$3,"Median",'3br House'!$2:$2,$B47)</f>
        <v>330</v>
      </c>
      <c r="D47">
        <f>AVERAGEIFS('3br House'!$94:$94,'3br House'!$3:$3,"Median",'3br House'!$2:$2,$B47)</f>
        <v>245</v>
      </c>
    </row>
    <row r="48" spans="1:4" x14ac:dyDescent="0.25">
      <c r="A48" s="3"/>
      <c r="B48" s="1">
        <v>40422</v>
      </c>
      <c r="C48">
        <f>AVERAGEIFS('3br House'!$93:$93,'3br House'!$3:$3,"Median",'3br House'!$2:$2,$B48)</f>
        <v>330</v>
      </c>
      <c r="D48">
        <f>AVERAGEIFS('3br House'!$94:$94,'3br House'!$3:$3,"Median",'3br House'!$2:$2,$B48)</f>
        <v>250</v>
      </c>
    </row>
    <row r="49" spans="1:4" x14ac:dyDescent="0.25">
      <c r="A49" s="3"/>
      <c r="B49" s="1">
        <v>40513</v>
      </c>
      <c r="C49">
        <f>AVERAGEIFS('3br House'!$93:$93,'3br House'!$3:$3,"Median",'3br House'!$2:$2,$B49)</f>
        <v>330</v>
      </c>
      <c r="D49">
        <f>AVERAGEIFS('3br House'!$94:$94,'3br House'!$3:$3,"Median",'3br House'!$2:$2,$B49)</f>
        <v>250</v>
      </c>
    </row>
    <row r="50" spans="1:4" x14ac:dyDescent="0.25">
      <c r="A50" s="3"/>
      <c r="B50" s="1">
        <v>40603</v>
      </c>
      <c r="C50">
        <f>AVERAGEIFS('3br House'!$93:$93,'3br House'!$3:$3,"Median",'3br House'!$2:$2,$B50)</f>
        <v>340</v>
      </c>
      <c r="D50">
        <f>AVERAGEIFS('3br House'!$94:$94,'3br House'!$3:$3,"Median",'3br House'!$2:$2,$B50)</f>
        <v>260</v>
      </c>
    </row>
    <row r="51" spans="1:4" x14ac:dyDescent="0.25">
      <c r="A51" s="3"/>
      <c r="B51" s="1">
        <v>40695</v>
      </c>
      <c r="C51">
        <f>AVERAGEIFS('3br House'!$93:$93,'3br House'!$3:$3,"Median",'3br House'!$2:$2,$B51)</f>
        <v>340</v>
      </c>
      <c r="D51">
        <f>AVERAGEIFS('3br House'!$94:$94,'3br House'!$3:$3,"Median",'3br House'!$2:$2,$B51)</f>
        <v>260</v>
      </c>
    </row>
    <row r="52" spans="1:4" x14ac:dyDescent="0.25">
      <c r="A52" s="3"/>
      <c r="B52" s="1">
        <v>40787</v>
      </c>
      <c r="C52">
        <f>AVERAGEIFS('3br House'!$93:$93,'3br House'!$3:$3,"Median",'3br House'!$2:$2,$B52)</f>
        <v>339</v>
      </c>
      <c r="D52">
        <f>AVERAGEIFS('3br House'!$94:$94,'3br House'!$3:$3,"Median",'3br House'!$2:$2,$B52)</f>
        <v>260</v>
      </c>
    </row>
    <row r="53" spans="1:4" x14ac:dyDescent="0.25">
      <c r="A53" s="3"/>
      <c r="B53" s="1">
        <v>40878</v>
      </c>
      <c r="C53">
        <f>AVERAGEIFS('3br House'!$93:$93,'3br House'!$3:$3,"Median",'3br House'!$2:$2,$B53)</f>
        <v>340</v>
      </c>
      <c r="D53">
        <f>AVERAGEIFS('3br House'!$94:$94,'3br House'!$3:$3,"Median",'3br House'!$2:$2,$B53)</f>
        <v>270</v>
      </c>
    </row>
    <row r="54" spans="1:4" x14ac:dyDescent="0.25">
      <c r="A54" s="3"/>
      <c r="B54" s="1">
        <v>40969</v>
      </c>
      <c r="C54">
        <f>AVERAGEIFS('3br House'!$93:$93,'3br House'!$3:$3,"Median",'3br House'!$2:$2,$B54)</f>
        <v>340</v>
      </c>
      <c r="D54">
        <f>AVERAGEIFS('3br House'!$94:$94,'3br House'!$3:$3,"Median",'3br House'!$2:$2,$B54)</f>
        <v>270</v>
      </c>
    </row>
    <row r="55" spans="1:4" x14ac:dyDescent="0.25">
      <c r="A55" s="3"/>
      <c r="B55" s="1">
        <v>41061</v>
      </c>
      <c r="C55">
        <f>AVERAGEIFS('3br House'!$93:$93,'3br House'!$3:$3,"Median",'3br House'!$2:$2,$B55)</f>
        <v>335</v>
      </c>
      <c r="D55">
        <f>AVERAGEIFS('3br House'!$94:$94,'3br House'!$3:$3,"Median",'3br House'!$2:$2,$B55)</f>
        <v>270</v>
      </c>
    </row>
    <row r="56" spans="1:4" x14ac:dyDescent="0.25">
      <c r="A56" s="3"/>
      <c r="B56" s="1">
        <v>41153</v>
      </c>
      <c r="C56">
        <f>AVERAGEIFS('3br House'!$93:$93,'3br House'!$3:$3,"Median",'3br House'!$2:$2,$B56)</f>
        <v>340</v>
      </c>
      <c r="D56">
        <f>AVERAGEIFS('3br House'!$94:$94,'3br House'!$3:$3,"Median",'3br House'!$2:$2,$B56)</f>
        <v>270</v>
      </c>
    </row>
    <row r="57" spans="1:4" x14ac:dyDescent="0.25">
      <c r="A57" s="3"/>
      <c r="B57" s="1">
        <v>41244</v>
      </c>
      <c r="C57">
        <f>AVERAGEIFS('3br House'!$93:$93,'3br House'!$3:$3,"Median",'3br House'!$2:$2,$B57)</f>
        <v>340</v>
      </c>
      <c r="D57">
        <f>AVERAGEIFS('3br House'!$94:$94,'3br House'!$3:$3,"Median",'3br House'!$2:$2,$B57)</f>
        <v>270</v>
      </c>
    </row>
    <row r="58" spans="1:4" x14ac:dyDescent="0.25">
      <c r="A58" s="3"/>
      <c r="B58" s="1">
        <v>41334</v>
      </c>
      <c r="C58">
        <f>AVERAGEIFS('3br House'!$93:$93,'3br House'!$3:$3,"Median",'3br House'!$2:$2,$B58)</f>
        <v>349</v>
      </c>
      <c r="D58">
        <f>AVERAGEIFS('3br House'!$94:$94,'3br House'!$3:$3,"Median",'3br House'!$2:$2,$B58)</f>
        <v>275</v>
      </c>
    </row>
    <row r="59" spans="1:4" x14ac:dyDescent="0.25">
      <c r="A59" s="3"/>
      <c r="B59" s="1">
        <v>41426</v>
      </c>
      <c r="C59">
        <f>AVERAGEIFS('3br House'!$93:$93,'3br House'!$3:$3,"Median",'3br House'!$2:$2,$B59)</f>
        <v>340</v>
      </c>
      <c r="D59">
        <f>AVERAGEIFS('3br House'!$94:$94,'3br House'!$3:$3,"Median",'3br House'!$2:$2,$B59)</f>
        <v>270</v>
      </c>
    </row>
    <row r="60" spans="1:4" x14ac:dyDescent="0.25">
      <c r="A60" s="3"/>
      <c r="B60" s="1">
        <v>41518</v>
      </c>
      <c r="C60">
        <f>AVERAGEIFS('3br House'!$93:$93,'3br House'!$3:$3,"Median",'3br House'!$2:$2,$B60)</f>
        <v>345</v>
      </c>
      <c r="D60">
        <f>AVERAGEIFS('3br House'!$94:$94,'3br House'!$3:$3,"Median",'3br House'!$2:$2,$B60)</f>
        <v>275</v>
      </c>
    </row>
    <row r="61" spans="1:4" x14ac:dyDescent="0.25">
      <c r="A61" s="3"/>
      <c r="B61" s="1">
        <v>41609</v>
      </c>
      <c r="C61">
        <f>AVERAGEIFS('3br House'!$93:$93,'3br House'!$3:$3,"Median",'3br House'!$2:$2,$B61)</f>
        <v>350</v>
      </c>
      <c r="D61">
        <f>AVERAGEIFS('3br House'!$94:$94,'3br House'!$3:$3,"Median",'3br House'!$2:$2,$B61)</f>
        <v>280</v>
      </c>
    </row>
    <row r="62" spans="1:4" x14ac:dyDescent="0.25">
      <c r="A62" s="3"/>
      <c r="B62" s="1">
        <v>41699</v>
      </c>
      <c r="C62">
        <f>AVERAGEIFS('3br House'!$93:$93,'3br House'!$3:$3,"Median",'3br House'!$2:$2,$B62)</f>
        <v>350</v>
      </c>
      <c r="D62">
        <f>AVERAGEIFS('3br House'!$94:$94,'3br House'!$3:$3,"Median",'3br House'!$2:$2,$B62)</f>
        <v>280</v>
      </c>
    </row>
    <row r="63" spans="1:4" x14ac:dyDescent="0.25">
      <c r="A63" s="3"/>
      <c r="B63" s="1">
        <v>41791</v>
      </c>
      <c r="C63">
        <f>AVERAGEIFS('3br House'!$93:$93,'3br House'!$3:$3,"Median",'3br House'!$2:$2,$B63)</f>
        <v>350</v>
      </c>
      <c r="D63">
        <f>AVERAGEIFS('3br House'!$94:$94,'3br House'!$3:$3,"Median",'3br House'!$2:$2,$B63)</f>
        <v>280</v>
      </c>
    </row>
    <row r="64" spans="1:4" x14ac:dyDescent="0.25">
      <c r="A64" s="3"/>
      <c r="B64" s="1">
        <v>41883</v>
      </c>
      <c r="C64">
        <f>AVERAGEIFS('3br House'!$93:$93,'3br House'!$3:$3,"Median",'3br House'!$2:$2,$B64)</f>
        <v>350</v>
      </c>
      <c r="D64">
        <f>AVERAGEIFS('3br House'!$94:$94,'3br House'!$3:$3,"Median",'3br House'!$2:$2,$B64)</f>
        <v>280</v>
      </c>
    </row>
    <row r="65" spans="1:4" x14ac:dyDescent="0.25">
      <c r="A65" s="3"/>
      <c r="B65" s="1">
        <v>41974</v>
      </c>
      <c r="C65">
        <f>AVERAGEIFS('3br House'!$93:$93,'3br House'!$3:$3,"Median",'3br House'!$2:$2,$B65)</f>
        <v>360</v>
      </c>
      <c r="D65">
        <f>AVERAGEIFS('3br House'!$94:$94,'3br House'!$3:$3,"Median",'3br House'!$2:$2,$B65)</f>
        <v>280</v>
      </c>
    </row>
    <row r="66" spans="1:4" x14ac:dyDescent="0.25">
      <c r="A66" s="3"/>
      <c r="B66" s="1">
        <v>42064</v>
      </c>
      <c r="C66">
        <f>AVERAGEIFS('3br House'!$93:$93,'3br House'!$3:$3,"Median",'3br House'!$2:$2,$B66)</f>
        <v>360</v>
      </c>
      <c r="D66">
        <f>AVERAGEIFS('3br House'!$94:$94,'3br House'!$3:$3,"Median",'3br House'!$2:$2,$B66)</f>
        <v>285</v>
      </c>
    </row>
    <row r="67" spans="1:4" x14ac:dyDescent="0.25">
      <c r="A67" s="3"/>
      <c r="B67" s="1">
        <v>42156</v>
      </c>
      <c r="C67">
        <f>AVERAGEIFS('3br House'!$93:$93,'3br House'!$3:$3,"Median",'3br House'!$2:$2,$B67)</f>
        <v>360</v>
      </c>
      <c r="D67">
        <f>AVERAGEIFS('3br House'!$94:$94,'3br House'!$3:$3,"Median",'3br House'!$2:$2,$B67)</f>
        <v>280</v>
      </c>
    </row>
    <row r="68" spans="1:4" x14ac:dyDescent="0.25">
      <c r="A68" s="3"/>
      <c r="B68" s="1">
        <v>42248</v>
      </c>
      <c r="C68">
        <f>AVERAGEIFS('3br House'!$93:$93,'3br House'!$3:$3,"Median",'3br House'!$2:$2,$B68)</f>
        <v>360</v>
      </c>
      <c r="D68">
        <f>AVERAGEIFS('3br House'!$94:$94,'3br House'!$3:$3,"Median",'3br House'!$2:$2,$B68)</f>
        <v>280</v>
      </c>
    </row>
    <row r="69" spans="1:4" x14ac:dyDescent="0.25">
      <c r="A69" s="3"/>
      <c r="B69" s="1">
        <v>42339</v>
      </c>
      <c r="C69">
        <f>AVERAGEIFS('3br House'!$93:$93,'3br House'!$3:$3,"Median",'3br House'!$2:$2,$B69)</f>
        <v>370</v>
      </c>
      <c r="D69">
        <f>AVERAGEIFS('3br House'!$94:$94,'3br House'!$3:$3,"Median",'3br House'!$2:$2,$B69)</f>
        <v>285</v>
      </c>
    </row>
    <row r="70" spans="1:4" x14ac:dyDescent="0.25">
      <c r="A70" s="3"/>
      <c r="B70" s="1">
        <v>42430</v>
      </c>
      <c r="C70">
        <f>AVERAGEIFS('3br House'!$93:$93,'3br House'!$3:$3,"Median",'3br House'!$2:$2,$B70)</f>
        <v>380</v>
      </c>
      <c r="D70">
        <f>AVERAGEIFS('3br House'!$94:$94,'3br House'!$3:$3,"Median",'3br House'!$2:$2,$B70)</f>
        <v>290</v>
      </c>
    </row>
    <row r="71" spans="1:4" x14ac:dyDescent="0.25">
      <c r="A71" s="3"/>
      <c r="B71" s="1">
        <v>42522</v>
      </c>
      <c r="C71">
        <f>AVERAGEIFS('3br House'!$93:$93,'3br House'!$3:$3,"Median",'3br House'!$2:$2,$B71)</f>
        <v>370</v>
      </c>
      <c r="D71">
        <f>AVERAGEIFS('3br House'!$94:$94,'3br House'!$3:$3,"Median",'3br House'!$2:$2,$B71)</f>
        <v>290</v>
      </c>
    </row>
    <row r="72" spans="1:4" x14ac:dyDescent="0.25">
      <c r="A72" s="3"/>
      <c r="B72" s="1">
        <v>42614</v>
      </c>
      <c r="C72">
        <f>AVERAGEIFS('3br House'!$93:$93,'3br House'!$3:$3,"Median",'3br House'!$2:$2,$B72)</f>
        <v>375</v>
      </c>
      <c r="D72">
        <f>AVERAGEIFS('3br House'!$94:$94,'3br House'!$3:$3,"Median",'3br House'!$2:$2,$B72)</f>
        <v>290</v>
      </c>
    </row>
    <row r="73" spans="1:4" x14ac:dyDescent="0.25">
      <c r="A73" s="3"/>
      <c r="B73" s="1">
        <v>42705</v>
      </c>
      <c r="C73">
        <f>AVERAGEIFS('3br House'!$93:$93,'3br House'!$3:$3,"Median",'3br House'!$2:$2,$B73)</f>
        <v>380</v>
      </c>
      <c r="D73">
        <f>AVERAGEIFS('3br House'!$94:$94,'3br House'!$3:$3,"Median",'3br House'!$2:$2,$B73)</f>
        <v>295</v>
      </c>
    </row>
    <row r="74" spans="1:4" x14ac:dyDescent="0.25">
      <c r="A74" s="3"/>
      <c r="B74" s="1">
        <v>42795</v>
      </c>
      <c r="C74">
        <f>AVERAGEIFS('3br House'!$93:$93,'3br House'!$3:$3,"Median",'3br House'!$2:$2,$B74)</f>
        <v>390</v>
      </c>
      <c r="D74">
        <f>AVERAGEIFS('3br House'!$94:$94,'3br House'!$3:$3,"Median",'3br House'!$2:$2,$B74)</f>
        <v>300</v>
      </c>
    </row>
    <row r="75" spans="1:4" x14ac:dyDescent="0.25">
      <c r="A75" s="3"/>
      <c r="B75" s="1">
        <v>42887</v>
      </c>
      <c r="C75">
        <f>AVERAGEIFS('3br House'!$93:$93,'3br House'!$3:$3,"Median",'3br House'!$2:$2,$B75)</f>
        <v>380</v>
      </c>
      <c r="D75">
        <f>AVERAGEIFS('3br House'!$94:$94,'3br House'!$3:$3,"Median",'3br House'!$2:$2,$B75)</f>
        <v>300</v>
      </c>
    </row>
    <row r="76" spans="1:4" x14ac:dyDescent="0.25">
      <c r="A76" s="3"/>
      <c r="B76" s="1">
        <v>42979</v>
      </c>
      <c r="C76">
        <f>AVERAGEIFS('3br House'!$93:$93,'3br House'!$3:$3,"Median",'3br House'!$2:$2,$B76)</f>
        <v>385</v>
      </c>
      <c r="D76">
        <f>AVERAGEIFS('3br House'!$94:$94,'3br House'!$3:$3,"Median",'3br House'!$2:$2,$B76)</f>
        <v>300</v>
      </c>
    </row>
    <row r="77" spans="1:4" x14ac:dyDescent="0.25">
      <c r="A77" s="3"/>
      <c r="B77" s="1">
        <v>43070</v>
      </c>
      <c r="C77">
        <f>AVERAGEIFS('3br House'!$93:$93,'3br House'!$3:$3,"Median",'3br House'!$2:$2,$B77)</f>
        <v>395</v>
      </c>
      <c r="D77">
        <f>AVERAGEIFS('3br House'!$94:$94,'3br House'!$3:$3,"Median",'3br House'!$2:$2,$B77)</f>
        <v>300</v>
      </c>
    </row>
    <row r="78" spans="1:4" x14ac:dyDescent="0.25">
      <c r="A78" s="3"/>
      <c r="B78" s="1">
        <v>43160</v>
      </c>
      <c r="C78">
        <f>AVERAGEIFS('3br House'!$93:$93,'3br House'!$3:$3,"Median",'3br House'!$2:$2,$B78)</f>
        <v>400</v>
      </c>
      <c r="D78">
        <f>AVERAGEIFS('3br House'!$94:$94,'3br House'!$3:$3,"Median",'3br House'!$2:$2,$B78)</f>
        <v>310</v>
      </c>
    </row>
    <row r="79" spans="1:4" x14ac:dyDescent="0.25">
      <c r="A79" s="3"/>
      <c r="B79" s="1">
        <v>43252</v>
      </c>
      <c r="C79">
        <f>AVERAGEIFS('3br House'!$93:$93,'3br House'!$3:$3,"Median",'3br House'!$2:$2,$B79)</f>
        <v>395</v>
      </c>
      <c r="D79">
        <f>AVERAGEIFS('3br House'!$94:$94,'3br House'!$3:$3,"Median",'3br House'!$2:$2,$B79)</f>
        <v>310</v>
      </c>
    </row>
    <row r="80" spans="1:4" x14ac:dyDescent="0.25">
      <c r="A80" s="3"/>
      <c r="B80" s="1">
        <v>43344</v>
      </c>
      <c r="C80">
        <f>AVERAGEIFS('3br House'!$93:$93,'3br House'!$3:$3,"Median",'3br House'!$2:$2,$B80)</f>
        <v>400</v>
      </c>
      <c r="D80">
        <f>AVERAGEIFS('3br House'!$94:$94,'3br House'!$3:$3,"Median",'3br House'!$2:$2,$B80)</f>
        <v>310</v>
      </c>
    </row>
    <row r="81" spans="1:4" x14ac:dyDescent="0.25">
      <c r="A81" s="3"/>
      <c r="B81" s="1">
        <v>43435</v>
      </c>
      <c r="C81">
        <f>AVERAGEIFS('3br House'!$93:$93,'3br House'!$3:$3,"Median",'3br House'!$2:$2,$B81)</f>
        <v>400</v>
      </c>
      <c r="D81">
        <f>AVERAGEIFS('3br House'!$94:$94,'3br House'!$3:$3,"Median",'3br House'!$2:$2,$B81)</f>
        <v>320</v>
      </c>
    </row>
    <row r="82" spans="1:4" x14ac:dyDescent="0.25">
      <c r="A82" s="3"/>
      <c r="B82" s="1">
        <v>43525</v>
      </c>
      <c r="C82">
        <f>AVERAGEIFS('3br House'!$93:$93,'3br House'!$3:$3,"Median",'3br House'!$2:$2,$B82)</f>
        <v>400</v>
      </c>
      <c r="D82">
        <f>AVERAGEIFS('3br House'!$94:$94,'3br House'!$3:$3,"Median",'3br House'!$2:$2,$B82)</f>
        <v>320</v>
      </c>
    </row>
    <row r="83" spans="1:4" x14ac:dyDescent="0.25">
      <c r="A83" s="3"/>
      <c r="B83" s="1">
        <v>43617</v>
      </c>
      <c r="C83">
        <f>AVERAGEIFS('3br House'!$93:$93,'3br House'!$3:$3,"Median",'3br House'!$2:$2,$B83)</f>
        <v>400</v>
      </c>
      <c r="D83">
        <f>AVERAGEIFS('3br House'!$94:$94,'3br House'!$3:$3,"Median",'3br House'!$2:$2,$B83)</f>
        <v>330</v>
      </c>
    </row>
    <row r="84" spans="1:4" x14ac:dyDescent="0.25">
      <c r="A84" s="3"/>
      <c r="B84" s="1">
        <v>43709</v>
      </c>
      <c r="C84">
        <f>AVERAGEIFS('3br House'!$93:$93,'3br House'!$3:$3,"Median",'3br House'!$2:$2,$B84)</f>
        <v>400</v>
      </c>
      <c r="D84">
        <f>AVERAGEIFS('3br House'!$94:$94,'3br House'!$3:$3,"Median",'3br House'!$2:$2,$B84)</f>
        <v>330</v>
      </c>
    </row>
    <row r="85" spans="1:4" x14ac:dyDescent="0.25">
      <c r="A85" s="3"/>
      <c r="B85" s="1">
        <v>43800</v>
      </c>
      <c r="C85">
        <f>AVERAGEIFS('3br House'!$93:$93,'3br House'!$3:$3,"Median",'3br House'!$2:$2,$B85)</f>
        <v>400</v>
      </c>
      <c r="D85">
        <f>AVERAGEIFS('3br House'!$94:$94,'3br House'!$3:$3,"Median",'3br House'!$2:$2,$B85)</f>
        <v>330</v>
      </c>
    </row>
    <row r="86" spans="1:4" x14ac:dyDescent="0.25">
      <c r="A86" s="3"/>
      <c r="B86" s="1">
        <v>43891</v>
      </c>
      <c r="C86">
        <f>AVERAGEIFS('3br House'!$93:$93,'3br House'!$3:$3,"Median",'3br House'!$2:$2,$B86)</f>
        <v>410</v>
      </c>
      <c r="D86">
        <f>AVERAGEIFS('3br House'!$94:$94,'3br House'!$3:$3,"Median",'3br House'!$2:$2,$B86)</f>
        <v>340</v>
      </c>
    </row>
    <row r="87" spans="1:4" x14ac:dyDescent="0.25">
      <c r="A87" s="3"/>
      <c r="B87" s="1">
        <v>43983</v>
      </c>
      <c r="C87">
        <f>AVERAGEIFS('3br House'!$93:$93,'3br House'!$3:$3,"Median",'3br House'!$2:$2,$B87)</f>
        <v>400</v>
      </c>
      <c r="D87">
        <f>AVERAGEIFS('3br House'!$94:$94,'3br House'!$3:$3,"Median",'3br House'!$2:$2,$B87)</f>
        <v>330</v>
      </c>
    </row>
    <row r="88" spans="1:4" x14ac:dyDescent="0.25">
      <c r="A88" s="3"/>
      <c r="B88" s="1">
        <v>44075</v>
      </c>
      <c r="C88">
        <f>AVERAGEIFS('3br House'!$93:$93,'3br House'!$3:$3,"Median",'3br House'!$2:$2,$B88)</f>
        <v>400</v>
      </c>
      <c r="D88">
        <f>AVERAGEIFS('3br House'!$94:$94,'3br House'!$3:$3,"Median",'3br House'!$2:$2,$B88)</f>
        <v>340</v>
      </c>
    </row>
    <row r="89" spans="1:4" x14ac:dyDescent="0.25">
      <c r="A89" s="3"/>
      <c r="B89" s="1">
        <v>44166</v>
      </c>
      <c r="C89">
        <f>AVERAGEIFS('3br House'!$93:$93,'3br House'!$3:$3,"Median",'3br House'!$2:$2,$B89)</f>
        <v>400</v>
      </c>
      <c r="D89">
        <f>AVERAGEIFS('3br House'!$94:$94,'3br House'!$3:$3,"Median",'3br House'!$2:$2,$B89)</f>
        <v>350</v>
      </c>
    </row>
    <row r="90" spans="1:4" x14ac:dyDescent="0.25">
      <c r="A90" s="3"/>
      <c r="B90" s="1">
        <v>44256</v>
      </c>
      <c r="C90">
        <f>AVERAGEIFS('3br House'!$93:$93,'3br House'!$3:$3,"Median",'3br House'!$2:$2,$B90)</f>
        <v>410</v>
      </c>
      <c r="D90">
        <f>AVERAGEIFS('3br House'!$94:$94,'3br House'!$3:$3,"Median",'3br House'!$2:$2,$B90)</f>
        <v>359</v>
      </c>
    </row>
    <row r="91" spans="1:4" x14ac:dyDescent="0.25">
      <c r="A91" s="3"/>
      <c r="B91" s="1">
        <v>44348</v>
      </c>
      <c r="C91">
        <f>AVERAGEIFS('3br House'!$93:$93,'3br House'!$3:$3,"Median",'3br House'!$2:$2,$B91)</f>
        <v>410</v>
      </c>
      <c r="D91">
        <f>AVERAGEIFS('3br House'!$94:$94,'3br House'!$3:$3,"Median",'3br House'!$2:$2,$B91)</f>
        <v>363</v>
      </c>
    </row>
    <row r="92" spans="1:4" x14ac:dyDescent="0.25">
      <c r="A92" s="3"/>
      <c r="B92" s="1">
        <v>44440</v>
      </c>
      <c r="C92">
        <f>AVERAGEIFS('3br House'!$93:$93,'3br House'!$3:$3,"Median",'3br House'!$2:$2,$B92)</f>
        <v>410</v>
      </c>
      <c r="D92">
        <f>AVERAGEIFS('3br House'!$94:$94,'3br House'!$3:$3,"Median",'3br House'!$2:$2,$B92)</f>
        <v>375</v>
      </c>
    </row>
    <row r="93" spans="1:4" x14ac:dyDescent="0.25">
      <c r="A93" s="3"/>
      <c r="B93" s="1">
        <v>44531</v>
      </c>
      <c r="C93">
        <f>AVERAGEIFS('3br House'!$93:$93,'3br House'!$3:$3,"Median",'3br House'!$2:$2,$B93)</f>
        <v>420</v>
      </c>
      <c r="D93">
        <f>AVERAGEIFS('3br House'!$94:$94,'3br House'!$3:$3,"Median",'3br House'!$2:$2,$B93)</f>
        <v>380</v>
      </c>
    </row>
    <row r="94" spans="1:4" x14ac:dyDescent="0.25">
      <c r="A94" s="3"/>
      <c r="B94" s="1">
        <v>44621</v>
      </c>
      <c r="C94">
        <f>AVERAGEIFS('3br House'!$93:$93,'3br House'!$3:$3,"Median",'3br House'!$2:$2,$B94)</f>
        <v>430</v>
      </c>
      <c r="D94">
        <f>AVERAGEIFS('3br House'!$94:$94,'3br House'!$3:$3,"Median",'3br House'!$2:$2,$B94)</f>
        <v>390</v>
      </c>
    </row>
    <row r="95" spans="1:4" x14ac:dyDescent="0.25">
      <c r="A95" s="3"/>
      <c r="B95" s="1">
        <v>44713</v>
      </c>
      <c r="C95">
        <f>AVERAGEIFS('3br House'!$93:$93,'3br House'!$3:$3,"Median",'3br House'!$2:$2,$B95)</f>
        <v>430</v>
      </c>
      <c r="D95">
        <f>AVERAGEIFS('3br House'!$94:$94,'3br House'!$3:$3,"Median",'3br House'!$2:$2,$B95)</f>
        <v>400</v>
      </c>
    </row>
    <row r="96" spans="1:4" x14ac:dyDescent="0.25">
      <c r="A96" s="3"/>
      <c r="B96" s="1">
        <v>44805</v>
      </c>
      <c r="C96">
        <f>AVERAGEIFS('3br House'!$93:$93,'3br House'!$3:$3,"Median",'3br House'!$2:$2,$B96)</f>
        <v>445</v>
      </c>
      <c r="D96">
        <f>AVERAGEIFS('3br House'!$94:$94,'3br House'!$3:$3,"Median",'3br House'!$2:$2,$B96)</f>
        <v>400</v>
      </c>
    </row>
    <row r="97" spans="1:4" x14ac:dyDescent="0.25">
      <c r="A97" s="3"/>
      <c r="B97" s="1">
        <v>44896</v>
      </c>
      <c r="C97">
        <f>AVERAGEIFS('3br House'!$93:$93,'3br House'!$3:$3,"Median",'3br House'!$2:$2,$B97)</f>
        <v>450</v>
      </c>
      <c r="D97">
        <f>AVERAGEIFS('3br House'!$94:$94,'3br House'!$3:$3,"Median",'3br House'!$2:$2,$B97)</f>
        <v>400</v>
      </c>
    </row>
    <row r="98" spans="1:4" x14ac:dyDescent="0.25">
      <c r="B98" s="1">
        <v>44986</v>
      </c>
      <c r="C98">
        <f>AVERAGEIFS('3br House'!$93:$93,'3br House'!$3:$3,"Median",'3br House'!$2:$2,$B98)</f>
        <v>465</v>
      </c>
      <c r="D98">
        <f>AVERAGEIFS('3br House'!$94:$94,'3br House'!$3:$3,"Median",'3br House'!$2:$2,$B98)</f>
        <v>420</v>
      </c>
    </row>
    <row r="99" spans="1:4" x14ac:dyDescent="0.25">
      <c r="B99" s="1">
        <v>45078</v>
      </c>
      <c r="C99">
        <f>AVERAGEIFS('3br House'!$93:$93,'3br House'!$3:$3,"Median",'3br House'!$2:$2,$B99)</f>
        <v>480</v>
      </c>
      <c r="D99">
        <f>AVERAGEIFS('3br House'!$94:$94,'3br House'!$3:$3,"Median",'3br House'!$2:$2,$B99)</f>
        <v>420</v>
      </c>
    </row>
    <row r="100" spans="1:4" x14ac:dyDescent="0.25">
      <c r="B100" s="1">
        <v>45170</v>
      </c>
      <c r="C100">
        <f>AVERAGEIFS('3br House'!$93:$93,'3br House'!$3:$3,"Median",'3br House'!$2:$2,$B100)</f>
        <v>500</v>
      </c>
      <c r="D100">
        <f>AVERAGEIFS('3br House'!$94:$94,'3br House'!$3:$3,"Median",'3br House'!$2:$2,$B100)</f>
        <v>430</v>
      </c>
    </row>
    <row r="101" spans="1:4" x14ac:dyDescent="0.25">
      <c r="B101" s="1">
        <v>45261</v>
      </c>
      <c r="C101">
        <f>AVERAGEIFS('3br House'!$93:$93,'3br House'!$3:$3,"Median",'3br House'!$2:$2,$B101)</f>
        <v>515</v>
      </c>
      <c r="D101">
        <f>AVERAGEIFS('3br House'!$94:$94,'3br House'!$3:$3,"Median",'3br House'!$2:$2,$B101)</f>
        <v>430</v>
      </c>
    </row>
    <row r="102" spans="1:4" x14ac:dyDescent="0.25">
      <c r="B102" s="1">
        <v>45352</v>
      </c>
      <c r="C102">
        <f>AVERAGEIFS('3br House'!$93:$93,'3br House'!$3:$3,"Median",'3br House'!$2:$2,$B102)</f>
        <v>530</v>
      </c>
      <c r="D102">
        <f>AVERAGEIFS('3br House'!$94:$94,'3br House'!$3:$3,"Median",'3br House'!$2:$2,$B102)</f>
        <v>440</v>
      </c>
    </row>
    <row r="103" spans="1:4" x14ac:dyDescent="0.25">
      <c r="B103" s="1">
        <v>45444</v>
      </c>
      <c r="C103">
        <f>AVERAGEIFS('3br House'!$93:$93,'3br House'!$3:$3,"Median",'3br House'!$2:$2,$B103)</f>
        <v>550</v>
      </c>
      <c r="D103">
        <f>AVERAGEIFS('3br House'!$94:$94,'3br House'!$3:$3,"Median",'3br House'!$2:$2,$B103)</f>
        <v>450</v>
      </c>
    </row>
    <row r="104" spans="1:4" x14ac:dyDescent="0.25">
      <c r="B104" s="1">
        <v>45536</v>
      </c>
      <c r="C104">
        <f>AVERAGEIFS('3br House'!$93:$93,'3br House'!$3:$3,"Median",'3br House'!$2:$2,$B104)</f>
        <v>550</v>
      </c>
      <c r="D104">
        <f>AVERAGEIFS('3br House'!$94:$94,'3br House'!$3:$3,"Median",'3br House'!$2:$2,$B104)</f>
        <v>450</v>
      </c>
    </row>
    <row r="105" spans="1:4" x14ac:dyDescent="0.25">
      <c r="B105" s="1">
        <v>45627</v>
      </c>
      <c r="C105">
        <f>AVERAGEIFS('3br House'!$93:$93,'3br House'!$3:$3,"Median",'3br House'!$2:$2,$B105)</f>
        <v>550</v>
      </c>
      <c r="D105">
        <f>AVERAGEIFS('3br House'!$94:$94,'3br House'!$3:$3,"Median",'3br House'!$2:$2,$B105)</f>
        <v>450</v>
      </c>
    </row>
    <row r="106" spans="1:4" x14ac:dyDescent="0.25">
      <c r="B106" s="1">
        <v>45717</v>
      </c>
      <c r="C106">
        <f>AVERAGEIFS('3br House'!$93:$93,'3br House'!$3:$3,"Median",'3br House'!$2:$2,$B106)</f>
        <v>550</v>
      </c>
      <c r="D106">
        <f>AVERAGEIFS('3br House'!$94:$94,'3br House'!$3:$3,"Median",'3br House'!$2:$2,$B106)</f>
        <v>460</v>
      </c>
    </row>
    <row r="107" spans="1:4" x14ac:dyDescent="0.25">
      <c r="B107" s="1">
        <v>45809</v>
      </c>
      <c r="C107">
        <f>AVERAGEIFS('3br House'!$93:$93,'3br House'!$3:$3,"Median",'3br House'!$2:$2,$B107)</f>
        <v>550</v>
      </c>
      <c r="D107">
        <f>AVERAGEIFS('3br House'!$94:$94,'3br House'!$3:$3,"Median",'3br House'!$2:$2,$B107)</f>
        <v>470</v>
      </c>
    </row>
    <row r="108" spans="1:4" x14ac:dyDescent="0.25">
      <c r="B108" s="1">
        <v>45901</v>
      </c>
      <c r="C108">
        <f>AVERAGEIFS('3br House'!$93:$93,'3br House'!$3:$3,"Median",'3br House'!$2:$2,$B108)</f>
        <v>550</v>
      </c>
      <c r="D108">
        <f>AVERAGEIFS('3br House'!$94:$94,'3br House'!$3:$3,"Median",'3br House'!$2:$2,$B108)</f>
        <v>480</v>
      </c>
    </row>
    <row r="109" spans="1:4" x14ac:dyDescent="0.25">
      <c r="B109" s="1">
        <v>45992</v>
      </c>
      <c r="C109" s="5">
        <f>C108</f>
        <v>550</v>
      </c>
      <c r="D109" s="5">
        <f>D108</f>
        <v>480</v>
      </c>
    </row>
  </sheetData>
  <autoFilter ref="A1:D97" xr:uid="{57ABFE4F-8ED8-46E2-A3E7-D09420486E88}"/>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E5FF-33B3-45DE-90C0-718532EAC6FD}">
  <sheetPr>
    <tabColor theme="7"/>
  </sheetPr>
  <dimension ref="A1"/>
  <sheetViews>
    <sheetView workbookViewId="0">
      <selection activeCell="W36" sqref="W36"/>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6809-5450-4201-B4D8-CDF1566DB35B}">
  <sheetPr>
    <tabColor theme="7"/>
  </sheetPr>
  <dimension ref="A1:BI106"/>
  <sheetViews>
    <sheetView workbookViewId="0">
      <pane xSplit="1" ySplit="10" topLeftCell="U74" activePane="bottomRight" state="frozen"/>
      <selection pane="topRight" activeCell="B1" sqref="B1"/>
      <selection pane="bottomLeft" activeCell="A11" sqref="A11"/>
      <selection pane="bottomRight" activeCell="Y17" sqref="W17:Y106"/>
    </sheetView>
  </sheetViews>
  <sheetFormatPr defaultColWidth="14.7109375" defaultRowHeight="11.25" x14ac:dyDescent="0.2"/>
  <cols>
    <col min="1" max="16384" width="14.7109375" style="40"/>
  </cols>
  <sheetData>
    <row r="1" spans="1:61" s="36" customFormat="1" ht="99.95" customHeight="1" x14ac:dyDescent="0.2">
      <c r="B1" s="37" t="s">
        <v>500</v>
      </c>
      <c r="C1" s="37" t="s">
        <v>501</v>
      </c>
      <c r="D1" s="37" t="s">
        <v>502</v>
      </c>
      <c r="E1" s="37" t="s">
        <v>503</v>
      </c>
      <c r="F1" s="37" t="s">
        <v>504</v>
      </c>
      <c r="G1" s="37" t="s">
        <v>505</v>
      </c>
      <c r="H1" s="37" t="s">
        <v>506</v>
      </c>
      <c r="I1" s="37" t="s">
        <v>507</v>
      </c>
      <c r="J1" s="37" t="s">
        <v>508</v>
      </c>
      <c r="K1" s="37" t="s">
        <v>509</v>
      </c>
      <c r="L1" s="37" t="s">
        <v>510</v>
      </c>
      <c r="M1" s="37" t="s">
        <v>511</v>
      </c>
      <c r="N1" s="37" t="s">
        <v>512</v>
      </c>
      <c r="O1" s="37" t="s">
        <v>513</v>
      </c>
      <c r="P1" s="37" t="s">
        <v>514</v>
      </c>
      <c r="Q1" s="37" t="s">
        <v>515</v>
      </c>
      <c r="R1" s="37" t="s">
        <v>516</v>
      </c>
      <c r="S1" s="37" t="s">
        <v>517</v>
      </c>
      <c r="T1" s="37" t="s">
        <v>518</v>
      </c>
      <c r="U1" s="37" t="s">
        <v>519</v>
      </c>
      <c r="V1" s="37" t="s">
        <v>520</v>
      </c>
      <c r="W1" s="37" t="s">
        <v>521</v>
      </c>
      <c r="X1" s="37" t="s">
        <v>522</v>
      </c>
      <c r="Y1" s="37" t="s">
        <v>523</v>
      </c>
      <c r="Z1" s="37" t="s">
        <v>524</v>
      </c>
      <c r="AA1" s="37" t="s">
        <v>525</v>
      </c>
      <c r="AB1" s="37" t="s">
        <v>526</v>
      </c>
      <c r="AC1" s="37" t="s">
        <v>527</v>
      </c>
      <c r="AD1" s="37" t="s">
        <v>528</v>
      </c>
      <c r="AE1" s="37" t="s">
        <v>529</v>
      </c>
      <c r="AF1" s="37" t="s">
        <v>530</v>
      </c>
      <c r="AG1" s="37" t="s">
        <v>531</v>
      </c>
      <c r="AH1" s="37" t="s">
        <v>532</v>
      </c>
      <c r="AI1" s="37" t="s">
        <v>533</v>
      </c>
      <c r="AJ1" s="37" t="s">
        <v>534</v>
      </c>
      <c r="AK1" s="37" t="s">
        <v>535</v>
      </c>
      <c r="AL1" s="37" t="s">
        <v>536</v>
      </c>
      <c r="AM1" s="37" t="s">
        <v>537</v>
      </c>
      <c r="AN1" s="37" t="s">
        <v>538</v>
      </c>
      <c r="AO1" s="37" t="s">
        <v>539</v>
      </c>
      <c r="AP1" s="37" t="s">
        <v>540</v>
      </c>
      <c r="AQ1" s="37" t="s">
        <v>541</v>
      </c>
      <c r="AR1" s="37" t="s">
        <v>542</v>
      </c>
      <c r="AS1" s="37" t="s">
        <v>543</v>
      </c>
      <c r="AT1" s="37" t="s">
        <v>544</v>
      </c>
      <c r="AU1" s="37" t="s">
        <v>545</v>
      </c>
      <c r="AV1" s="37" t="s">
        <v>546</v>
      </c>
      <c r="AW1" s="37" t="s">
        <v>547</v>
      </c>
      <c r="AX1" s="37" t="s">
        <v>548</v>
      </c>
      <c r="AY1" s="37" t="s">
        <v>549</v>
      </c>
      <c r="AZ1" s="37" t="s">
        <v>550</v>
      </c>
      <c r="BA1" s="37" t="s">
        <v>551</v>
      </c>
      <c r="BB1" s="37" t="s">
        <v>552</v>
      </c>
      <c r="BC1" s="37" t="s">
        <v>553</v>
      </c>
      <c r="BD1" s="37" t="s">
        <v>554</v>
      </c>
      <c r="BE1" s="37" t="s">
        <v>555</v>
      </c>
      <c r="BF1" s="37" t="s">
        <v>556</v>
      </c>
      <c r="BG1" s="37" t="s">
        <v>557</v>
      </c>
      <c r="BH1" s="37" t="s">
        <v>558</v>
      </c>
      <c r="BI1" s="37" t="s">
        <v>559</v>
      </c>
    </row>
    <row r="2" spans="1:61" x14ac:dyDescent="0.2">
      <c r="A2" s="38" t="s">
        <v>560</v>
      </c>
      <c r="B2" s="39" t="s">
        <v>561</v>
      </c>
      <c r="C2" s="39" t="s">
        <v>561</v>
      </c>
      <c r="D2" s="39" t="s">
        <v>561</v>
      </c>
      <c r="E2" s="39" t="s">
        <v>561</v>
      </c>
      <c r="F2" s="39" t="s">
        <v>561</v>
      </c>
      <c r="G2" s="39" t="s">
        <v>561</v>
      </c>
      <c r="H2" s="39" t="s">
        <v>561</v>
      </c>
      <c r="I2" s="39" t="s">
        <v>561</v>
      </c>
      <c r="J2" s="39" t="s">
        <v>561</v>
      </c>
      <c r="K2" s="39" t="s">
        <v>561</v>
      </c>
      <c r="L2" s="39" t="s">
        <v>561</v>
      </c>
      <c r="M2" s="39" t="s">
        <v>561</v>
      </c>
      <c r="N2" s="39" t="s">
        <v>561</v>
      </c>
      <c r="O2" s="39" t="s">
        <v>561</v>
      </c>
      <c r="P2" s="39" t="s">
        <v>561</v>
      </c>
      <c r="Q2" s="39" t="s">
        <v>561</v>
      </c>
      <c r="R2" s="39" t="s">
        <v>561</v>
      </c>
      <c r="S2" s="39" t="s">
        <v>561</v>
      </c>
      <c r="T2" s="39" t="s">
        <v>561</v>
      </c>
      <c r="U2" s="39" t="s">
        <v>561</v>
      </c>
      <c r="V2" s="39" t="s">
        <v>561</v>
      </c>
      <c r="W2" s="39" t="s">
        <v>561</v>
      </c>
      <c r="X2" s="39" t="s">
        <v>561</v>
      </c>
      <c r="Y2" s="39" t="s">
        <v>561</v>
      </c>
      <c r="Z2" s="39" t="s">
        <v>561</v>
      </c>
      <c r="AA2" s="39" t="s">
        <v>561</v>
      </c>
      <c r="AB2" s="39" t="s">
        <v>561</v>
      </c>
      <c r="AC2" s="39" t="s">
        <v>561</v>
      </c>
      <c r="AD2" s="39" t="s">
        <v>561</v>
      </c>
      <c r="AE2" s="39" t="s">
        <v>561</v>
      </c>
      <c r="AF2" s="39" t="s">
        <v>562</v>
      </c>
      <c r="AG2" s="39" t="s">
        <v>562</v>
      </c>
      <c r="AH2" s="39" t="s">
        <v>562</v>
      </c>
      <c r="AI2" s="39" t="s">
        <v>562</v>
      </c>
      <c r="AJ2" s="39" t="s">
        <v>562</v>
      </c>
      <c r="AK2" s="39" t="s">
        <v>562</v>
      </c>
      <c r="AL2" s="39" t="s">
        <v>562</v>
      </c>
      <c r="AM2" s="39" t="s">
        <v>562</v>
      </c>
      <c r="AN2" s="39" t="s">
        <v>562</v>
      </c>
      <c r="AO2" s="39" t="s">
        <v>562</v>
      </c>
      <c r="AP2" s="39" t="s">
        <v>562</v>
      </c>
      <c r="AQ2" s="39" t="s">
        <v>562</v>
      </c>
      <c r="AR2" s="39" t="s">
        <v>562</v>
      </c>
      <c r="AS2" s="39" t="s">
        <v>562</v>
      </c>
      <c r="AT2" s="39" t="s">
        <v>562</v>
      </c>
      <c r="AU2" s="39" t="s">
        <v>562</v>
      </c>
      <c r="AV2" s="39" t="s">
        <v>562</v>
      </c>
      <c r="AW2" s="39" t="s">
        <v>562</v>
      </c>
      <c r="AX2" s="39" t="s">
        <v>562</v>
      </c>
      <c r="AY2" s="39" t="s">
        <v>562</v>
      </c>
      <c r="AZ2" s="39" t="s">
        <v>562</v>
      </c>
      <c r="BA2" s="39" t="s">
        <v>562</v>
      </c>
      <c r="BB2" s="39" t="s">
        <v>562</v>
      </c>
      <c r="BC2" s="39" t="s">
        <v>562</v>
      </c>
      <c r="BD2" s="39" t="s">
        <v>562</v>
      </c>
      <c r="BE2" s="39" t="s">
        <v>562</v>
      </c>
      <c r="BF2" s="39" t="s">
        <v>562</v>
      </c>
      <c r="BG2" s="39" t="s">
        <v>562</v>
      </c>
      <c r="BH2" s="39" t="s">
        <v>562</v>
      </c>
      <c r="BI2" s="39" t="s">
        <v>562</v>
      </c>
    </row>
    <row r="3" spans="1:61" x14ac:dyDescent="0.2">
      <c r="A3" s="38" t="s">
        <v>563</v>
      </c>
      <c r="B3" s="39" t="s">
        <v>40</v>
      </c>
      <c r="C3" s="39" t="s">
        <v>40</v>
      </c>
      <c r="D3" s="39" t="s">
        <v>40</v>
      </c>
      <c r="E3" s="39" t="s">
        <v>40</v>
      </c>
      <c r="F3" s="39" t="s">
        <v>40</v>
      </c>
      <c r="G3" s="39" t="s">
        <v>40</v>
      </c>
      <c r="H3" s="39" t="s">
        <v>40</v>
      </c>
      <c r="I3" s="39" t="s">
        <v>40</v>
      </c>
      <c r="J3" s="39" t="s">
        <v>40</v>
      </c>
      <c r="K3" s="39" t="s">
        <v>40</v>
      </c>
      <c r="L3" s="39" t="s">
        <v>40</v>
      </c>
      <c r="M3" s="39" t="s">
        <v>40</v>
      </c>
      <c r="N3" s="39" t="s">
        <v>40</v>
      </c>
      <c r="O3" s="39" t="s">
        <v>40</v>
      </c>
      <c r="P3" s="39" t="s">
        <v>40</v>
      </c>
      <c r="Q3" s="39" t="s">
        <v>40</v>
      </c>
      <c r="R3" s="39" t="s">
        <v>40</v>
      </c>
      <c r="S3" s="39" t="s">
        <v>40</v>
      </c>
      <c r="T3" s="39" t="s">
        <v>40</v>
      </c>
      <c r="U3" s="39" t="s">
        <v>40</v>
      </c>
      <c r="V3" s="39" t="s">
        <v>40</v>
      </c>
      <c r="W3" s="39" t="s">
        <v>40</v>
      </c>
      <c r="X3" s="39" t="s">
        <v>40</v>
      </c>
      <c r="Y3" s="39" t="s">
        <v>40</v>
      </c>
      <c r="Z3" s="39" t="s">
        <v>40</v>
      </c>
      <c r="AA3" s="39" t="s">
        <v>40</v>
      </c>
      <c r="AB3" s="39" t="s">
        <v>40</v>
      </c>
      <c r="AC3" s="39" t="s">
        <v>40</v>
      </c>
      <c r="AD3" s="39" t="s">
        <v>40</v>
      </c>
      <c r="AE3" s="39" t="s">
        <v>40</v>
      </c>
      <c r="AF3" s="39" t="s">
        <v>40</v>
      </c>
      <c r="AG3" s="39" t="s">
        <v>40</v>
      </c>
      <c r="AH3" s="39" t="s">
        <v>40</v>
      </c>
      <c r="AI3" s="39" t="s">
        <v>40</v>
      </c>
      <c r="AJ3" s="39" t="s">
        <v>40</v>
      </c>
      <c r="AK3" s="39" t="s">
        <v>40</v>
      </c>
      <c r="AL3" s="39" t="s">
        <v>40</v>
      </c>
      <c r="AM3" s="39" t="s">
        <v>40</v>
      </c>
      <c r="AN3" s="39" t="s">
        <v>40</v>
      </c>
      <c r="AO3" s="39" t="s">
        <v>40</v>
      </c>
      <c r="AP3" s="39" t="s">
        <v>40</v>
      </c>
      <c r="AQ3" s="39" t="s">
        <v>40</v>
      </c>
      <c r="AR3" s="39" t="s">
        <v>40</v>
      </c>
      <c r="AS3" s="39" t="s">
        <v>40</v>
      </c>
      <c r="AT3" s="39" t="s">
        <v>40</v>
      </c>
      <c r="AU3" s="39" t="s">
        <v>40</v>
      </c>
      <c r="AV3" s="39" t="s">
        <v>40</v>
      </c>
      <c r="AW3" s="39" t="s">
        <v>40</v>
      </c>
      <c r="AX3" s="39" t="s">
        <v>40</v>
      </c>
      <c r="AY3" s="39" t="s">
        <v>40</v>
      </c>
      <c r="AZ3" s="39" t="s">
        <v>40</v>
      </c>
      <c r="BA3" s="39" t="s">
        <v>40</v>
      </c>
      <c r="BB3" s="39" t="s">
        <v>40</v>
      </c>
      <c r="BC3" s="39" t="s">
        <v>40</v>
      </c>
      <c r="BD3" s="39" t="s">
        <v>40</v>
      </c>
      <c r="BE3" s="39" t="s">
        <v>40</v>
      </c>
      <c r="BF3" s="39" t="s">
        <v>40</v>
      </c>
      <c r="BG3" s="39" t="s">
        <v>40</v>
      </c>
      <c r="BH3" s="39" t="s">
        <v>40</v>
      </c>
      <c r="BI3" s="39" t="s">
        <v>40</v>
      </c>
    </row>
    <row r="4" spans="1:61" x14ac:dyDescent="0.2">
      <c r="A4" s="38" t="s">
        <v>564</v>
      </c>
      <c r="B4" s="39" t="s">
        <v>565</v>
      </c>
      <c r="C4" s="39" t="s">
        <v>565</v>
      </c>
      <c r="D4" s="39" t="s">
        <v>565</v>
      </c>
      <c r="E4" s="39" t="s">
        <v>565</v>
      </c>
      <c r="F4" s="39" t="s">
        <v>565</v>
      </c>
      <c r="G4" s="39" t="s">
        <v>565</v>
      </c>
      <c r="H4" s="39" t="s">
        <v>565</v>
      </c>
      <c r="I4" s="39" t="s">
        <v>565</v>
      </c>
      <c r="J4" s="39" t="s">
        <v>565</v>
      </c>
      <c r="K4" s="39" t="s">
        <v>565</v>
      </c>
      <c r="L4" s="39" t="s">
        <v>565</v>
      </c>
      <c r="M4" s="39" t="s">
        <v>565</v>
      </c>
      <c r="N4" s="39" t="s">
        <v>565</v>
      </c>
      <c r="O4" s="39" t="s">
        <v>565</v>
      </c>
      <c r="P4" s="39" t="s">
        <v>565</v>
      </c>
      <c r="Q4" s="39" t="s">
        <v>565</v>
      </c>
      <c r="R4" s="39" t="s">
        <v>565</v>
      </c>
      <c r="S4" s="39" t="s">
        <v>565</v>
      </c>
      <c r="T4" s="39" t="s">
        <v>565</v>
      </c>
      <c r="U4" s="39" t="s">
        <v>565</v>
      </c>
      <c r="V4" s="39" t="s">
        <v>565</v>
      </c>
      <c r="W4" s="39" t="s">
        <v>565</v>
      </c>
      <c r="X4" s="39" t="s">
        <v>565</v>
      </c>
      <c r="Y4" s="39" t="s">
        <v>565</v>
      </c>
      <c r="Z4" s="39" t="s">
        <v>565</v>
      </c>
      <c r="AA4" s="39" t="s">
        <v>565</v>
      </c>
      <c r="AB4" s="39" t="s">
        <v>565</v>
      </c>
      <c r="AC4" s="39" t="s">
        <v>565</v>
      </c>
      <c r="AD4" s="39" t="s">
        <v>565</v>
      </c>
      <c r="AE4" s="39" t="s">
        <v>565</v>
      </c>
      <c r="AF4" s="39" t="s">
        <v>565</v>
      </c>
      <c r="AG4" s="39" t="s">
        <v>565</v>
      </c>
      <c r="AH4" s="39" t="s">
        <v>565</v>
      </c>
      <c r="AI4" s="39" t="s">
        <v>565</v>
      </c>
      <c r="AJ4" s="39" t="s">
        <v>565</v>
      </c>
      <c r="AK4" s="39" t="s">
        <v>565</v>
      </c>
      <c r="AL4" s="39" t="s">
        <v>565</v>
      </c>
      <c r="AM4" s="39" t="s">
        <v>565</v>
      </c>
      <c r="AN4" s="39" t="s">
        <v>565</v>
      </c>
      <c r="AO4" s="39" t="s">
        <v>565</v>
      </c>
      <c r="AP4" s="39" t="s">
        <v>565</v>
      </c>
      <c r="AQ4" s="39" t="s">
        <v>565</v>
      </c>
      <c r="AR4" s="39" t="s">
        <v>565</v>
      </c>
      <c r="AS4" s="39" t="s">
        <v>565</v>
      </c>
      <c r="AT4" s="39" t="s">
        <v>565</v>
      </c>
      <c r="AU4" s="39" t="s">
        <v>565</v>
      </c>
      <c r="AV4" s="39" t="s">
        <v>565</v>
      </c>
      <c r="AW4" s="39" t="s">
        <v>565</v>
      </c>
      <c r="AX4" s="39" t="s">
        <v>565</v>
      </c>
      <c r="AY4" s="39" t="s">
        <v>565</v>
      </c>
      <c r="AZ4" s="39" t="s">
        <v>565</v>
      </c>
      <c r="BA4" s="39" t="s">
        <v>565</v>
      </c>
      <c r="BB4" s="39" t="s">
        <v>565</v>
      </c>
      <c r="BC4" s="39" t="s">
        <v>565</v>
      </c>
      <c r="BD4" s="39" t="s">
        <v>565</v>
      </c>
      <c r="BE4" s="39" t="s">
        <v>565</v>
      </c>
      <c r="BF4" s="39" t="s">
        <v>565</v>
      </c>
      <c r="BG4" s="39" t="s">
        <v>565</v>
      </c>
      <c r="BH4" s="39" t="s">
        <v>565</v>
      </c>
      <c r="BI4" s="39" t="s">
        <v>565</v>
      </c>
    </row>
    <row r="5" spans="1:61" x14ac:dyDescent="0.2">
      <c r="A5" s="38" t="s">
        <v>37</v>
      </c>
      <c r="B5" s="39" t="s">
        <v>3</v>
      </c>
      <c r="C5" s="39" t="s">
        <v>3</v>
      </c>
      <c r="D5" s="39" t="s">
        <v>3</v>
      </c>
      <c r="E5" s="39" t="s">
        <v>3</v>
      </c>
      <c r="F5" s="39" t="s">
        <v>3</v>
      </c>
      <c r="G5" s="39" t="s">
        <v>3</v>
      </c>
      <c r="H5" s="39" t="s">
        <v>3</v>
      </c>
      <c r="I5" s="39" t="s">
        <v>3</v>
      </c>
      <c r="J5" s="39" t="s">
        <v>3</v>
      </c>
      <c r="K5" s="39" t="s">
        <v>3</v>
      </c>
      <c r="L5" s="39" t="s">
        <v>3</v>
      </c>
      <c r="M5" s="39" t="s">
        <v>3</v>
      </c>
      <c r="N5" s="39" t="s">
        <v>3</v>
      </c>
      <c r="O5" s="39" t="s">
        <v>3</v>
      </c>
      <c r="P5" s="39" t="s">
        <v>3</v>
      </c>
      <c r="Q5" s="39" t="s">
        <v>3</v>
      </c>
      <c r="R5" s="39" t="s">
        <v>3</v>
      </c>
      <c r="S5" s="39" t="s">
        <v>3</v>
      </c>
      <c r="T5" s="39" t="s">
        <v>3</v>
      </c>
      <c r="U5" s="39" t="s">
        <v>3</v>
      </c>
      <c r="V5" s="39" t="s">
        <v>3</v>
      </c>
      <c r="W5" s="39" t="s">
        <v>3</v>
      </c>
      <c r="X5" s="39" t="s">
        <v>3</v>
      </c>
      <c r="Y5" s="39" t="s">
        <v>3</v>
      </c>
      <c r="Z5" s="39" t="s">
        <v>3</v>
      </c>
      <c r="AA5" s="39" t="s">
        <v>3</v>
      </c>
      <c r="AB5" s="39" t="s">
        <v>3</v>
      </c>
      <c r="AC5" s="39" t="s">
        <v>3</v>
      </c>
      <c r="AD5" s="39" t="s">
        <v>3</v>
      </c>
      <c r="AE5" s="39" t="s">
        <v>3</v>
      </c>
      <c r="AF5" s="39" t="s">
        <v>3</v>
      </c>
      <c r="AG5" s="39" t="s">
        <v>3</v>
      </c>
      <c r="AH5" s="39" t="s">
        <v>3</v>
      </c>
      <c r="AI5" s="39" t="s">
        <v>3</v>
      </c>
      <c r="AJ5" s="39" t="s">
        <v>3</v>
      </c>
      <c r="AK5" s="39" t="s">
        <v>3</v>
      </c>
      <c r="AL5" s="39" t="s">
        <v>3</v>
      </c>
      <c r="AM5" s="39" t="s">
        <v>3</v>
      </c>
      <c r="AN5" s="39" t="s">
        <v>3</v>
      </c>
      <c r="AO5" s="39" t="s">
        <v>3</v>
      </c>
      <c r="AP5" s="39" t="s">
        <v>3</v>
      </c>
      <c r="AQ5" s="39" t="s">
        <v>3</v>
      </c>
      <c r="AR5" s="39" t="s">
        <v>3</v>
      </c>
      <c r="AS5" s="39" t="s">
        <v>3</v>
      </c>
      <c r="AT5" s="39" t="s">
        <v>3</v>
      </c>
      <c r="AU5" s="39" t="s">
        <v>3</v>
      </c>
      <c r="AV5" s="39" t="s">
        <v>3</v>
      </c>
      <c r="AW5" s="39" t="s">
        <v>3</v>
      </c>
      <c r="AX5" s="39" t="s">
        <v>3</v>
      </c>
      <c r="AY5" s="39" t="s">
        <v>3</v>
      </c>
      <c r="AZ5" s="39" t="s">
        <v>3</v>
      </c>
      <c r="BA5" s="39" t="s">
        <v>3</v>
      </c>
      <c r="BB5" s="39" t="s">
        <v>3</v>
      </c>
      <c r="BC5" s="39" t="s">
        <v>3</v>
      </c>
      <c r="BD5" s="39" t="s">
        <v>3</v>
      </c>
      <c r="BE5" s="39" t="s">
        <v>3</v>
      </c>
      <c r="BF5" s="39" t="s">
        <v>3</v>
      </c>
      <c r="BG5" s="39" t="s">
        <v>3</v>
      </c>
      <c r="BH5" s="39" t="s">
        <v>3</v>
      </c>
      <c r="BI5" s="39" t="s">
        <v>3</v>
      </c>
    </row>
    <row r="6" spans="1:61" x14ac:dyDescent="0.2">
      <c r="A6" s="38" t="s">
        <v>566</v>
      </c>
      <c r="B6" s="40">
        <v>3</v>
      </c>
      <c r="C6" s="40">
        <v>3</v>
      </c>
      <c r="D6" s="40">
        <v>3</v>
      </c>
      <c r="E6" s="40">
        <v>3</v>
      </c>
      <c r="F6" s="40">
        <v>3</v>
      </c>
      <c r="G6" s="40">
        <v>3</v>
      </c>
      <c r="H6" s="40">
        <v>3</v>
      </c>
      <c r="I6" s="40">
        <v>3</v>
      </c>
      <c r="J6" s="40">
        <v>3</v>
      </c>
      <c r="K6" s="40">
        <v>3</v>
      </c>
      <c r="L6" s="40">
        <v>3</v>
      </c>
      <c r="M6" s="40">
        <v>3</v>
      </c>
      <c r="N6" s="40">
        <v>3</v>
      </c>
      <c r="O6" s="40">
        <v>3</v>
      </c>
      <c r="P6" s="40">
        <v>3</v>
      </c>
      <c r="Q6" s="40">
        <v>3</v>
      </c>
      <c r="R6" s="40">
        <v>3</v>
      </c>
      <c r="S6" s="40">
        <v>3</v>
      </c>
      <c r="T6" s="40">
        <v>3</v>
      </c>
      <c r="U6" s="40">
        <v>3</v>
      </c>
      <c r="V6" s="40">
        <v>3</v>
      </c>
      <c r="W6" s="40">
        <v>3</v>
      </c>
      <c r="X6" s="40">
        <v>3</v>
      </c>
      <c r="Y6" s="40">
        <v>3</v>
      </c>
      <c r="Z6" s="40">
        <v>3</v>
      </c>
      <c r="AA6" s="40">
        <v>3</v>
      </c>
      <c r="AB6" s="40">
        <v>3</v>
      </c>
      <c r="AC6" s="40">
        <v>3</v>
      </c>
      <c r="AD6" s="40">
        <v>3</v>
      </c>
      <c r="AE6" s="40">
        <v>3</v>
      </c>
      <c r="AF6" s="40">
        <v>3</v>
      </c>
      <c r="AG6" s="40">
        <v>3</v>
      </c>
      <c r="AH6" s="40">
        <v>3</v>
      </c>
      <c r="AI6" s="40">
        <v>3</v>
      </c>
      <c r="AJ6" s="40">
        <v>3</v>
      </c>
      <c r="AK6" s="40">
        <v>3</v>
      </c>
      <c r="AL6" s="40">
        <v>3</v>
      </c>
      <c r="AM6" s="40">
        <v>3</v>
      </c>
      <c r="AN6" s="40">
        <v>3</v>
      </c>
      <c r="AO6" s="40">
        <v>3</v>
      </c>
      <c r="AP6" s="40">
        <v>3</v>
      </c>
      <c r="AQ6" s="40">
        <v>3</v>
      </c>
      <c r="AR6" s="40">
        <v>3</v>
      </c>
      <c r="AS6" s="40">
        <v>3</v>
      </c>
      <c r="AT6" s="40">
        <v>3</v>
      </c>
      <c r="AU6" s="40">
        <v>3</v>
      </c>
      <c r="AV6" s="40">
        <v>3</v>
      </c>
      <c r="AW6" s="40">
        <v>3</v>
      </c>
      <c r="AX6" s="40">
        <v>3</v>
      </c>
      <c r="AY6" s="40">
        <v>3</v>
      </c>
      <c r="AZ6" s="40">
        <v>3</v>
      </c>
      <c r="BA6" s="40">
        <v>3</v>
      </c>
      <c r="BB6" s="40">
        <v>3</v>
      </c>
      <c r="BC6" s="40">
        <v>3</v>
      </c>
      <c r="BD6" s="40">
        <v>3</v>
      </c>
      <c r="BE6" s="40">
        <v>3</v>
      </c>
      <c r="BF6" s="40">
        <v>3</v>
      </c>
      <c r="BG6" s="40">
        <v>3</v>
      </c>
      <c r="BH6" s="40">
        <v>3</v>
      </c>
      <c r="BI6" s="40">
        <v>3</v>
      </c>
    </row>
    <row r="7" spans="1:61" s="42" customFormat="1" x14ac:dyDescent="0.2">
      <c r="A7" s="41" t="s">
        <v>567</v>
      </c>
      <c r="B7" s="42">
        <v>37316</v>
      </c>
      <c r="C7" s="42">
        <v>37865</v>
      </c>
      <c r="D7" s="42">
        <v>37316</v>
      </c>
      <c r="E7" s="42">
        <v>37865</v>
      </c>
      <c r="F7" s="42">
        <v>37316</v>
      </c>
      <c r="G7" s="42">
        <v>37865</v>
      </c>
      <c r="H7" s="42">
        <v>37316</v>
      </c>
      <c r="I7" s="42">
        <v>37865</v>
      </c>
      <c r="J7" s="42">
        <v>37316</v>
      </c>
      <c r="K7" s="42">
        <v>37865</v>
      </c>
      <c r="L7" s="42">
        <v>37316</v>
      </c>
      <c r="M7" s="42">
        <v>37865</v>
      </c>
      <c r="N7" s="42">
        <v>37316</v>
      </c>
      <c r="O7" s="42">
        <v>37865</v>
      </c>
      <c r="P7" s="42">
        <v>37316</v>
      </c>
      <c r="Q7" s="42">
        <v>37865</v>
      </c>
      <c r="R7" s="42">
        <v>37865</v>
      </c>
      <c r="S7" s="42">
        <v>37865</v>
      </c>
      <c r="T7" s="42">
        <v>37865</v>
      </c>
      <c r="U7" s="42">
        <v>37865</v>
      </c>
      <c r="V7" s="42">
        <v>37865</v>
      </c>
      <c r="W7" s="42">
        <v>37865</v>
      </c>
      <c r="X7" s="42">
        <v>37865</v>
      </c>
      <c r="Y7" s="42">
        <v>37865</v>
      </c>
      <c r="Z7" s="42">
        <v>37865</v>
      </c>
      <c r="AA7" s="42">
        <v>37865</v>
      </c>
      <c r="AB7" s="42">
        <v>37865</v>
      </c>
      <c r="AC7" s="42">
        <v>37865</v>
      </c>
      <c r="AD7" s="42">
        <v>37865</v>
      </c>
      <c r="AE7" s="42">
        <v>37865</v>
      </c>
      <c r="AF7" s="42">
        <v>37316</v>
      </c>
      <c r="AG7" s="42">
        <v>37865</v>
      </c>
      <c r="AH7" s="42">
        <v>37316</v>
      </c>
      <c r="AI7" s="42">
        <v>37865</v>
      </c>
      <c r="AJ7" s="42">
        <v>37316</v>
      </c>
      <c r="AK7" s="42">
        <v>37865</v>
      </c>
      <c r="AL7" s="42">
        <v>37316</v>
      </c>
      <c r="AM7" s="42">
        <v>37865</v>
      </c>
      <c r="AN7" s="42">
        <v>37316</v>
      </c>
      <c r="AO7" s="42">
        <v>37865</v>
      </c>
      <c r="AP7" s="42">
        <v>37316</v>
      </c>
      <c r="AQ7" s="42">
        <v>37865</v>
      </c>
      <c r="AR7" s="42">
        <v>37316</v>
      </c>
      <c r="AS7" s="42">
        <v>37865</v>
      </c>
      <c r="AT7" s="42">
        <v>37316</v>
      </c>
      <c r="AU7" s="42">
        <v>37865</v>
      </c>
      <c r="AV7" s="42">
        <v>37865</v>
      </c>
      <c r="AW7" s="42">
        <v>37865</v>
      </c>
      <c r="AX7" s="42">
        <v>37865</v>
      </c>
      <c r="AY7" s="42">
        <v>37865</v>
      </c>
      <c r="AZ7" s="42">
        <v>37865</v>
      </c>
      <c r="BA7" s="42">
        <v>37865</v>
      </c>
      <c r="BB7" s="42">
        <v>37865</v>
      </c>
      <c r="BC7" s="42">
        <v>37865</v>
      </c>
      <c r="BD7" s="42">
        <v>37865</v>
      </c>
      <c r="BE7" s="42">
        <v>37865</v>
      </c>
      <c r="BF7" s="42">
        <v>37865</v>
      </c>
      <c r="BG7" s="42">
        <v>37865</v>
      </c>
      <c r="BH7" s="42">
        <v>37865</v>
      </c>
      <c r="BI7" s="42">
        <v>37865</v>
      </c>
    </row>
    <row r="8" spans="1:61" s="42" customFormat="1" x14ac:dyDescent="0.2">
      <c r="A8" s="41" t="s">
        <v>568</v>
      </c>
      <c r="B8" s="42">
        <v>45992</v>
      </c>
      <c r="C8" s="42">
        <v>45992</v>
      </c>
      <c r="D8" s="42">
        <v>45992</v>
      </c>
      <c r="E8" s="42">
        <v>45992</v>
      </c>
      <c r="F8" s="42">
        <v>45992</v>
      </c>
      <c r="G8" s="42">
        <v>45992</v>
      </c>
      <c r="H8" s="42">
        <v>45992</v>
      </c>
      <c r="I8" s="42">
        <v>45992</v>
      </c>
      <c r="J8" s="42">
        <v>45992</v>
      </c>
      <c r="K8" s="42">
        <v>45992</v>
      </c>
      <c r="L8" s="42">
        <v>45992</v>
      </c>
      <c r="M8" s="42">
        <v>45992</v>
      </c>
      <c r="N8" s="42">
        <v>45992</v>
      </c>
      <c r="O8" s="42">
        <v>45992</v>
      </c>
      <c r="P8" s="42">
        <v>45992</v>
      </c>
      <c r="Q8" s="42">
        <v>45992</v>
      </c>
      <c r="R8" s="42">
        <v>45992</v>
      </c>
      <c r="S8" s="42">
        <v>45992</v>
      </c>
      <c r="T8" s="42">
        <v>45992</v>
      </c>
      <c r="U8" s="42">
        <v>45992</v>
      </c>
      <c r="V8" s="42">
        <v>45992</v>
      </c>
      <c r="W8" s="42">
        <v>45992</v>
      </c>
      <c r="X8" s="42">
        <v>45992</v>
      </c>
      <c r="Y8" s="42">
        <v>45992</v>
      </c>
      <c r="Z8" s="42">
        <v>45992</v>
      </c>
      <c r="AA8" s="42">
        <v>45992</v>
      </c>
      <c r="AB8" s="42">
        <v>45992</v>
      </c>
      <c r="AC8" s="42">
        <v>45992</v>
      </c>
      <c r="AD8" s="42">
        <v>45992</v>
      </c>
      <c r="AE8" s="42">
        <v>45992</v>
      </c>
      <c r="AF8" s="42">
        <v>45992</v>
      </c>
      <c r="AG8" s="42">
        <v>45992</v>
      </c>
      <c r="AH8" s="42">
        <v>45992</v>
      </c>
      <c r="AI8" s="42">
        <v>45992</v>
      </c>
      <c r="AJ8" s="42">
        <v>45992</v>
      </c>
      <c r="AK8" s="42">
        <v>45992</v>
      </c>
      <c r="AL8" s="42">
        <v>45992</v>
      </c>
      <c r="AM8" s="42">
        <v>45992</v>
      </c>
      <c r="AN8" s="42">
        <v>45992</v>
      </c>
      <c r="AO8" s="42">
        <v>45992</v>
      </c>
      <c r="AP8" s="42">
        <v>45992</v>
      </c>
      <c r="AQ8" s="42">
        <v>45992</v>
      </c>
      <c r="AR8" s="42">
        <v>45992</v>
      </c>
      <c r="AS8" s="42">
        <v>45992</v>
      </c>
      <c r="AT8" s="42">
        <v>45992</v>
      </c>
      <c r="AU8" s="42">
        <v>45992</v>
      </c>
      <c r="AV8" s="42">
        <v>45992</v>
      </c>
      <c r="AW8" s="42">
        <v>45992</v>
      </c>
      <c r="AX8" s="42">
        <v>45992</v>
      </c>
      <c r="AY8" s="42">
        <v>45992</v>
      </c>
      <c r="AZ8" s="42">
        <v>45992</v>
      </c>
      <c r="BA8" s="42">
        <v>45992</v>
      </c>
      <c r="BB8" s="42">
        <v>45992</v>
      </c>
      <c r="BC8" s="42">
        <v>45992</v>
      </c>
      <c r="BD8" s="42">
        <v>45992</v>
      </c>
      <c r="BE8" s="42">
        <v>45992</v>
      </c>
      <c r="BF8" s="42">
        <v>45992</v>
      </c>
      <c r="BG8" s="42">
        <v>45992</v>
      </c>
      <c r="BH8" s="42">
        <v>45992</v>
      </c>
      <c r="BI8" s="42">
        <v>45992</v>
      </c>
    </row>
    <row r="9" spans="1:61" x14ac:dyDescent="0.2">
      <c r="A9" s="38" t="s">
        <v>569</v>
      </c>
      <c r="B9" s="40">
        <v>96</v>
      </c>
      <c r="C9" s="40">
        <v>90</v>
      </c>
      <c r="D9" s="40">
        <v>96</v>
      </c>
      <c r="E9" s="40">
        <v>90</v>
      </c>
      <c r="F9" s="40">
        <v>96</v>
      </c>
      <c r="G9" s="40">
        <v>90</v>
      </c>
      <c r="H9" s="40">
        <v>96</v>
      </c>
      <c r="I9" s="40">
        <v>90</v>
      </c>
      <c r="J9" s="40">
        <v>96</v>
      </c>
      <c r="K9" s="40">
        <v>90</v>
      </c>
      <c r="L9" s="40">
        <v>96</v>
      </c>
      <c r="M9" s="40">
        <v>90</v>
      </c>
      <c r="N9" s="40">
        <v>96</v>
      </c>
      <c r="O9" s="40">
        <v>90</v>
      </c>
      <c r="P9" s="40">
        <v>96</v>
      </c>
      <c r="Q9" s="40">
        <v>90</v>
      </c>
      <c r="R9" s="40">
        <v>90</v>
      </c>
      <c r="S9" s="40">
        <v>90</v>
      </c>
      <c r="T9" s="40">
        <v>90</v>
      </c>
      <c r="U9" s="40">
        <v>90</v>
      </c>
      <c r="V9" s="40">
        <v>90</v>
      </c>
      <c r="W9" s="40">
        <v>90</v>
      </c>
      <c r="X9" s="40">
        <v>90</v>
      </c>
      <c r="Y9" s="40">
        <v>90</v>
      </c>
      <c r="Z9" s="40">
        <v>90</v>
      </c>
      <c r="AA9" s="40">
        <v>90</v>
      </c>
      <c r="AB9" s="40">
        <v>90</v>
      </c>
      <c r="AC9" s="40">
        <v>90</v>
      </c>
      <c r="AD9" s="40">
        <v>90</v>
      </c>
      <c r="AE9" s="40">
        <v>90</v>
      </c>
      <c r="AF9" s="40">
        <v>96</v>
      </c>
      <c r="AG9" s="40">
        <v>90</v>
      </c>
      <c r="AH9" s="40">
        <v>96</v>
      </c>
      <c r="AI9" s="40">
        <v>90</v>
      </c>
      <c r="AJ9" s="40">
        <v>96</v>
      </c>
      <c r="AK9" s="40">
        <v>90</v>
      </c>
      <c r="AL9" s="40">
        <v>96</v>
      </c>
      <c r="AM9" s="40">
        <v>90</v>
      </c>
      <c r="AN9" s="40">
        <v>96</v>
      </c>
      <c r="AO9" s="40">
        <v>90</v>
      </c>
      <c r="AP9" s="40">
        <v>96</v>
      </c>
      <c r="AQ9" s="40">
        <v>90</v>
      </c>
      <c r="AR9" s="40">
        <v>96</v>
      </c>
      <c r="AS9" s="40">
        <v>90</v>
      </c>
      <c r="AT9" s="40">
        <v>96</v>
      </c>
      <c r="AU9" s="40">
        <v>90</v>
      </c>
      <c r="AV9" s="40">
        <v>90</v>
      </c>
      <c r="AW9" s="40">
        <v>90</v>
      </c>
      <c r="AX9" s="40">
        <v>90</v>
      </c>
      <c r="AY9" s="40">
        <v>90</v>
      </c>
      <c r="AZ9" s="40">
        <v>90</v>
      </c>
      <c r="BA9" s="40">
        <v>90</v>
      </c>
      <c r="BB9" s="40">
        <v>90</v>
      </c>
      <c r="BC9" s="40">
        <v>90</v>
      </c>
      <c r="BD9" s="40">
        <v>90</v>
      </c>
      <c r="BE9" s="40">
        <v>90</v>
      </c>
      <c r="BF9" s="40">
        <v>90</v>
      </c>
      <c r="BG9" s="40">
        <v>90</v>
      </c>
      <c r="BH9" s="40">
        <v>90</v>
      </c>
      <c r="BI9" s="40">
        <v>90</v>
      </c>
    </row>
    <row r="10" spans="1:61" x14ac:dyDescent="0.2">
      <c r="A10" s="38" t="s">
        <v>46</v>
      </c>
      <c r="B10" s="39" t="s">
        <v>570</v>
      </c>
      <c r="C10" s="39" t="s">
        <v>571</v>
      </c>
      <c r="D10" s="39" t="s">
        <v>572</v>
      </c>
      <c r="E10" s="39" t="s">
        <v>573</v>
      </c>
      <c r="F10" s="39" t="s">
        <v>574</v>
      </c>
      <c r="G10" s="39" t="s">
        <v>575</v>
      </c>
      <c r="H10" s="39" t="s">
        <v>576</v>
      </c>
      <c r="I10" s="39" t="s">
        <v>577</v>
      </c>
      <c r="J10" s="39" t="s">
        <v>578</v>
      </c>
      <c r="K10" s="39" t="s">
        <v>579</v>
      </c>
      <c r="L10" s="39" t="s">
        <v>580</v>
      </c>
      <c r="M10" s="39" t="s">
        <v>581</v>
      </c>
      <c r="N10" s="39" t="s">
        <v>582</v>
      </c>
      <c r="O10" s="39" t="s">
        <v>583</v>
      </c>
      <c r="P10" s="39" t="s">
        <v>584</v>
      </c>
      <c r="Q10" s="39" t="s">
        <v>585</v>
      </c>
      <c r="R10" s="39" t="s">
        <v>586</v>
      </c>
      <c r="S10" s="39" t="s">
        <v>587</v>
      </c>
      <c r="T10" s="39" t="s">
        <v>588</v>
      </c>
      <c r="U10" s="39" t="s">
        <v>589</v>
      </c>
      <c r="V10" s="39" t="s">
        <v>590</v>
      </c>
      <c r="W10" s="39" t="s">
        <v>591</v>
      </c>
      <c r="X10" s="39" t="s">
        <v>592</v>
      </c>
      <c r="Y10" s="39" t="s">
        <v>593</v>
      </c>
      <c r="Z10" s="39" t="s">
        <v>594</v>
      </c>
      <c r="AA10" s="39" t="s">
        <v>595</v>
      </c>
      <c r="AB10" s="39" t="s">
        <v>596</v>
      </c>
      <c r="AC10" s="39" t="s">
        <v>597</v>
      </c>
      <c r="AD10" s="39" t="s">
        <v>598</v>
      </c>
      <c r="AE10" s="39" t="s">
        <v>599</v>
      </c>
      <c r="AF10" s="39" t="s">
        <v>600</v>
      </c>
      <c r="AG10" s="39" t="s">
        <v>601</v>
      </c>
      <c r="AH10" s="39" t="s">
        <v>602</v>
      </c>
      <c r="AI10" s="39" t="s">
        <v>603</v>
      </c>
      <c r="AJ10" s="39" t="s">
        <v>604</v>
      </c>
      <c r="AK10" s="39" t="s">
        <v>605</v>
      </c>
      <c r="AL10" s="39" t="s">
        <v>606</v>
      </c>
      <c r="AM10" s="39" t="s">
        <v>607</v>
      </c>
      <c r="AN10" s="39" t="s">
        <v>608</v>
      </c>
      <c r="AO10" s="39" t="s">
        <v>609</v>
      </c>
      <c r="AP10" s="39" t="s">
        <v>610</v>
      </c>
      <c r="AQ10" s="39" t="s">
        <v>611</v>
      </c>
      <c r="AR10" s="39" t="s">
        <v>612</v>
      </c>
      <c r="AS10" s="39" t="s">
        <v>613</v>
      </c>
      <c r="AT10" s="39" t="s">
        <v>614</v>
      </c>
      <c r="AU10" s="39" t="s">
        <v>615</v>
      </c>
      <c r="AV10" s="39" t="s">
        <v>616</v>
      </c>
      <c r="AW10" s="39" t="s">
        <v>617</v>
      </c>
      <c r="AX10" s="39" t="s">
        <v>618</v>
      </c>
      <c r="AY10" s="39" t="s">
        <v>619</v>
      </c>
      <c r="AZ10" s="39" t="s">
        <v>620</v>
      </c>
      <c r="BA10" s="39" t="s">
        <v>621</v>
      </c>
      <c r="BB10" s="39" t="s">
        <v>622</v>
      </c>
      <c r="BC10" s="39" t="s">
        <v>623</v>
      </c>
      <c r="BD10" s="39" t="s">
        <v>624</v>
      </c>
      <c r="BE10" s="39" t="s">
        <v>625</v>
      </c>
      <c r="BF10" s="39" t="s">
        <v>626</v>
      </c>
      <c r="BG10" s="39" t="s">
        <v>627</v>
      </c>
      <c r="BH10" s="39" t="s">
        <v>628</v>
      </c>
      <c r="BI10" s="39" t="s">
        <v>629</v>
      </c>
    </row>
    <row r="11" spans="1:61" x14ac:dyDescent="0.2">
      <c r="A11" s="43">
        <v>37316</v>
      </c>
      <c r="B11" s="44">
        <v>365</v>
      </c>
      <c r="D11" s="44">
        <v>241</v>
      </c>
      <c r="F11" s="44">
        <v>185</v>
      </c>
      <c r="H11" s="44">
        <v>166</v>
      </c>
      <c r="J11" s="44">
        <v>190</v>
      </c>
      <c r="L11" s="44">
        <v>123.3</v>
      </c>
      <c r="N11" s="44">
        <v>190</v>
      </c>
      <c r="P11" s="44">
        <v>245</v>
      </c>
      <c r="AF11" s="45">
        <v>13078</v>
      </c>
      <c r="AH11" s="45">
        <v>16024</v>
      </c>
      <c r="AJ11" s="45">
        <v>11042</v>
      </c>
      <c r="AL11" s="45">
        <v>5534</v>
      </c>
      <c r="AN11" s="45">
        <v>8929</v>
      </c>
      <c r="AP11" s="45">
        <v>1482</v>
      </c>
      <c r="AR11" s="45">
        <v>432</v>
      </c>
      <c r="AT11" s="45">
        <v>1553</v>
      </c>
    </row>
    <row r="12" spans="1:61" x14ac:dyDescent="0.2">
      <c r="A12" s="43">
        <v>37408</v>
      </c>
      <c r="B12" s="44">
        <v>393.5</v>
      </c>
      <c r="D12" s="44">
        <v>260</v>
      </c>
      <c r="F12" s="44">
        <v>182.6</v>
      </c>
      <c r="H12" s="44">
        <v>175</v>
      </c>
      <c r="J12" s="44">
        <v>190</v>
      </c>
      <c r="L12" s="44">
        <v>117</v>
      </c>
      <c r="N12" s="44">
        <v>188.3</v>
      </c>
      <c r="P12" s="44">
        <v>258</v>
      </c>
      <c r="AF12" s="45">
        <v>15569</v>
      </c>
      <c r="AH12" s="45">
        <v>17304</v>
      </c>
      <c r="AJ12" s="45">
        <v>11948</v>
      </c>
      <c r="AL12" s="45">
        <v>5574</v>
      </c>
      <c r="AN12" s="45">
        <v>8286</v>
      </c>
      <c r="AP12" s="45">
        <v>1475</v>
      </c>
      <c r="AR12" s="45">
        <v>472</v>
      </c>
      <c r="AT12" s="45">
        <v>1773</v>
      </c>
    </row>
    <row r="13" spans="1:61" x14ac:dyDescent="0.2">
      <c r="A13" s="43">
        <v>37500</v>
      </c>
      <c r="B13" s="44">
        <v>413</v>
      </c>
      <c r="D13" s="44">
        <v>265</v>
      </c>
      <c r="F13" s="44">
        <v>198</v>
      </c>
      <c r="H13" s="44">
        <v>181</v>
      </c>
      <c r="J13" s="44">
        <v>195</v>
      </c>
      <c r="L13" s="44">
        <v>124</v>
      </c>
      <c r="N13" s="44">
        <v>190</v>
      </c>
      <c r="P13" s="44">
        <v>275</v>
      </c>
      <c r="AF13" s="45">
        <v>16761</v>
      </c>
      <c r="AH13" s="45">
        <v>15888</v>
      </c>
      <c r="AJ13" s="45">
        <v>11772</v>
      </c>
      <c r="AL13" s="45">
        <v>4983</v>
      </c>
      <c r="AN13" s="45">
        <v>7340</v>
      </c>
      <c r="AP13" s="45">
        <v>1491</v>
      </c>
      <c r="AR13" s="45">
        <v>512</v>
      </c>
      <c r="AT13" s="45">
        <v>1411</v>
      </c>
    </row>
    <row r="14" spans="1:61" x14ac:dyDescent="0.2">
      <c r="A14" s="43">
        <v>37591</v>
      </c>
      <c r="B14" s="44">
        <v>444</v>
      </c>
      <c r="D14" s="44">
        <v>280</v>
      </c>
      <c r="F14" s="44">
        <v>208</v>
      </c>
      <c r="H14" s="44">
        <v>195</v>
      </c>
      <c r="J14" s="44">
        <v>206</v>
      </c>
      <c r="L14" s="44">
        <v>128</v>
      </c>
      <c r="N14" s="44">
        <v>195</v>
      </c>
      <c r="P14" s="44">
        <v>291</v>
      </c>
      <c r="AF14" s="45">
        <v>15447</v>
      </c>
      <c r="AH14" s="45">
        <v>16320</v>
      </c>
      <c r="AJ14" s="45">
        <v>11552</v>
      </c>
      <c r="AL14" s="45">
        <v>5139</v>
      </c>
      <c r="AN14" s="45">
        <v>7673</v>
      </c>
      <c r="AP14" s="45">
        <v>1474</v>
      </c>
      <c r="AR14" s="45">
        <v>469</v>
      </c>
      <c r="AT14" s="45">
        <v>1504</v>
      </c>
    </row>
    <row r="15" spans="1:61" x14ac:dyDescent="0.2">
      <c r="A15" s="43">
        <v>37681</v>
      </c>
      <c r="B15" s="44">
        <v>434.5</v>
      </c>
      <c r="D15" s="44">
        <v>270</v>
      </c>
      <c r="F15" s="44">
        <v>225</v>
      </c>
      <c r="H15" s="44">
        <v>209.4</v>
      </c>
      <c r="J15" s="44">
        <v>216</v>
      </c>
      <c r="L15" s="44">
        <v>145</v>
      </c>
      <c r="N15" s="44">
        <v>198</v>
      </c>
      <c r="P15" s="44">
        <v>300</v>
      </c>
      <c r="AF15" s="45">
        <v>13734</v>
      </c>
      <c r="AH15" s="45">
        <v>14699</v>
      </c>
      <c r="AJ15" s="45">
        <v>13572</v>
      </c>
      <c r="AL15" s="45">
        <v>5229</v>
      </c>
      <c r="AN15" s="45">
        <v>9446</v>
      </c>
      <c r="AP15" s="45">
        <v>1607</v>
      </c>
      <c r="AR15" s="45">
        <v>497</v>
      </c>
      <c r="AT15" s="45">
        <v>1386</v>
      </c>
    </row>
    <row r="16" spans="1:61" x14ac:dyDescent="0.2">
      <c r="A16" s="43">
        <v>37773</v>
      </c>
      <c r="B16" s="44">
        <v>460</v>
      </c>
      <c r="D16" s="44">
        <v>287.5</v>
      </c>
      <c r="F16" s="44">
        <v>240</v>
      </c>
      <c r="H16" s="44">
        <v>220.5</v>
      </c>
      <c r="J16" s="44">
        <v>225</v>
      </c>
      <c r="L16" s="44">
        <v>149</v>
      </c>
      <c r="N16" s="44">
        <v>200.5</v>
      </c>
      <c r="P16" s="44">
        <v>334.5</v>
      </c>
      <c r="AF16" s="45">
        <v>16415</v>
      </c>
      <c r="AH16" s="45">
        <v>16655</v>
      </c>
      <c r="AJ16" s="45">
        <v>13095</v>
      </c>
      <c r="AL16" s="45">
        <v>5317</v>
      </c>
      <c r="AN16" s="45">
        <v>9902</v>
      </c>
      <c r="AP16" s="45">
        <v>1561</v>
      </c>
      <c r="AR16" s="45">
        <v>562</v>
      </c>
      <c r="AT16" s="45">
        <v>1617</v>
      </c>
    </row>
    <row r="17" spans="1:61" x14ac:dyDescent="0.2">
      <c r="A17" s="43">
        <v>37865</v>
      </c>
      <c r="B17" s="44">
        <v>480</v>
      </c>
      <c r="C17" s="44">
        <v>247.3</v>
      </c>
      <c r="D17" s="44">
        <v>295</v>
      </c>
      <c r="E17" s="44">
        <v>176</v>
      </c>
      <c r="F17" s="44">
        <v>269</v>
      </c>
      <c r="G17" s="44">
        <v>197</v>
      </c>
      <c r="H17" s="44">
        <v>235</v>
      </c>
      <c r="I17" s="44">
        <v>150</v>
      </c>
      <c r="J17" s="44">
        <v>236</v>
      </c>
      <c r="K17" s="44">
        <v>160</v>
      </c>
      <c r="L17" s="44">
        <v>165</v>
      </c>
      <c r="M17" s="44">
        <v>125</v>
      </c>
      <c r="N17" s="44">
        <v>214</v>
      </c>
      <c r="O17" s="44">
        <v>195</v>
      </c>
      <c r="P17" s="44">
        <v>360</v>
      </c>
      <c r="Q17" s="44">
        <v>371</v>
      </c>
      <c r="R17" s="44">
        <v>240</v>
      </c>
      <c r="S17" s="44">
        <v>276</v>
      </c>
      <c r="T17" s="44">
        <v>160</v>
      </c>
      <c r="U17" s="44">
        <v>221</v>
      </c>
      <c r="V17" s="44">
        <v>230</v>
      </c>
      <c r="W17" s="44">
        <v>182.5</v>
      </c>
      <c r="X17" s="44">
        <v>82</v>
      </c>
      <c r="Y17" s="44">
        <v>195</v>
      </c>
      <c r="Z17" s="44">
        <v>135.5</v>
      </c>
      <c r="AA17" s="44">
        <v>165</v>
      </c>
      <c r="AB17" s="44">
        <v>130</v>
      </c>
      <c r="AC17" s="44">
        <v>130</v>
      </c>
      <c r="AD17" s="44">
        <v>136</v>
      </c>
      <c r="AE17" s="44">
        <v>290</v>
      </c>
      <c r="AF17" s="45">
        <v>17027</v>
      </c>
      <c r="AG17" s="45">
        <v>15816</v>
      </c>
      <c r="AH17" s="45">
        <v>17317</v>
      </c>
      <c r="AI17" s="45">
        <v>9910</v>
      </c>
      <c r="AJ17" s="45">
        <v>14494</v>
      </c>
      <c r="AK17" s="45">
        <v>17000</v>
      </c>
      <c r="AL17" s="45">
        <v>4831</v>
      </c>
      <c r="AM17" s="45">
        <v>2254</v>
      </c>
      <c r="AN17" s="45">
        <v>8247</v>
      </c>
      <c r="AO17" s="45">
        <v>3277</v>
      </c>
      <c r="AP17" s="45">
        <v>1594</v>
      </c>
      <c r="AQ17" s="45">
        <v>2968</v>
      </c>
      <c r="AR17" s="45">
        <v>642</v>
      </c>
      <c r="AS17" s="45">
        <v>191</v>
      </c>
      <c r="AT17" s="45">
        <v>1437</v>
      </c>
      <c r="AU17" s="45">
        <v>13969</v>
      </c>
      <c r="AV17" s="45">
        <v>3383</v>
      </c>
      <c r="AW17" s="45">
        <v>8010</v>
      </c>
      <c r="AX17" s="45">
        <v>1163</v>
      </c>
      <c r="AY17" s="45">
        <v>5754</v>
      </c>
      <c r="AZ17" s="45">
        <v>9466</v>
      </c>
      <c r="BA17" s="45">
        <v>1935</v>
      </c>
      <c r="BB17" s="45">
        <v>301</v>
      </c>
      <c r="BC17" s="45">
        <v>2927</v>
      </c>
      <c r="BD17" s="45">
        <v>497</v>
      </c>
      <c r="BE17" s="45">
        <v>477</v>
      </c>
      <c r="BF17" s="45">
        <v>319</v>
      </c>
      <c r="BG17" s="45">
        <v>367</v>
      </c>
      <c r="BH17" s="45">
        <v>86</v>
      </c>
      <c r="BI17" s="45">
        <v>1023</v>
      </c>
    </row>
    <row r="18" spans="1:61" x14ac:dyDescent="0.2">
      <c r="A18" s="43">
        <v>37956</v>
      </c>
      <c r="B18" s="44">
        <v>520</v>
      </c>
      <c r="C18" s="44">
        <v>255</v>
      </c>
      <c r="D18" s="44">
        <v>320</v>
      </c>
      <c r="E18" s="44">
        <v>185</v>
      </c>
      <c r="F18" s="44">
        <v>296.39999999999998</v>
      </c>
      <c r="G18" s="44">
        <v>205</v>
      </c>
      <c r="H18" s="44">
        <v>247.5</v>
      </c>
      <c r="I18" s="44">
        <v>162</v>
      </c>
      <c r="J18" s="44">
        <v>250</v>
      </c>
      <c r="K18" s="44">
        <v>164</v>
      </c>
      <c r="L18" s="44">
        <v>182.3</v>
      </c>
      <c r="M18" s="44">
        <v>139.30000000000001</v>
      </c>
      <c r="N18" s="44">
        <v>226</v>
      </c>
      <c r="O18" s="44">
        <v>204.5</v>
      </c>
      <c r="P18" s="44">
        <v>375</v>
      </c>
      <c r="Q18" s="44">
        <v>387</v>
      </c>
      <c r="R18" s="44">
        <v>250</v>
      </c>
      <c r="S18" s="44">
        <v>285</v>
      </c>
      <c r="T18" s="44">
        <v>170</v>
      </c>
      <c r="U18" s="44">
        <v>241.6</v>
      </c>
      <c r="V18" s="44">
        <v>240</v>
      </c>
      <c r="W18" s="44">
        <v>191</v>
      </c>
      <c r="X18" s="44">
        <v>85</v>
      </c>
      <c r="Y18" s="44">
        <v>198</v>
      </c>
      <c r="Z18" s="44">
        <v>138</v>
      </c>
      <c r="AA18" s="44">
        <v>175</v>
      </c>
      <c r="AB18" s="44">
        <v>120</v>
      </c>
      <c r="AC18" s="44">
        <v>135.5</v>
      </c>
      <c r="AD18" s="44">
        <v>129</v>
      </c>
      <c r="AE18" s="44">
        <v>300</v>
      </c>
      <c r="AF18" s="45">
        <v>11847</v>
      </c>
      <c r="AG18" s="45">
        <v>13175</v>
      </c>
      <c r="AH18" s="45">
        <v>14573</v>
      </c>
      <c r="AI18" s="45">
        <v>8962</v>
      </c>
      <c r="AJ18" s="45">
        <v>9212</v>
      </c>
      <c r="AK18" s="45">
        <v>15007</v>
      </c>
      <c r="AL18" s="45">
        <v>4597</v>
      </c>
      <c r="AM18" s="45">
        <v>2101</v>
      </c>
      <c r="AN18" s="45">
        <v>6893</v>
      </c>
      <c r="AO18" s="45">
        <v>2985</v>
      </c>
      <c r="AP18" s="45">
        <v>1258</v>
      </c>
      <c r="AQ18" s="45">
        <v>2050</v>
      </c>
      <c r="AR18" s="45">
        <v>630</v>
      </c>
      <c r="AS18" s="45">
        <v>194</v>
      </c>
      <c r="AT18" s="45">
        <v>1232</v>
      </c>
      <c r="AU18" s="45">
        <v>9830</v>
      </c>
      <c r="AV18" s="45">
        <v>2730</v>
      </c>
      <c r="AW18" s="45">
        <v>6753</v>
      </c>
      <c r="AX18" s="45">
        <v>1101</v>
      </c>
      <c r="AY18" s="45">
        <v>3663</v>
      </c>
      <c r="AZ18" s="45">
        <v>6382</v>
      </c>
      <c r="BA18" s="45">
        <v>1684</v>
      </c>
      <c r="BB18" s="45">
        <v>297</v>
      </c>
      <c r="BC18" s="45">
        <v>2517</v>
      </c>
      <c r="BD18" s="45">
        <v>461</v>
      </c>
      <c r="BE18" s="45">
        <v>329</v>
      </c>
      <c r="BF18" s="45">
        <v>293</v>
      </c>
      <c r="BG18" s="45">
        <v>372</v>
      </c>
      <c r="BH18" s="45">
        <v>95</v>
      </c>
      <c r="BI18" s="45">
        <v>921</v>
      </c>
    </row>
    <row r="19" spans="1:61" x14ac:dyDescent="0.2">
      <c r="A19" s="43">
        <v>38047</v>
      </c>
      <c r="B19" s="44">
        <v>523</v>
      </c>
      <c r="C19" s="44">
        <v>265</v>
      </c>
      <c r="D19" s="44">
        <v>305</v>
      </c>
      <c r="E19" s="44">
        <v>190</v>
      </c>
      <c r="F19" s="44">
        <v>302.7</v>
      </c>
      <c r="G19" s="44">
        <v>224</v>
      </c>
      <c r="H19" s="44">
        <v>250</v>
      </c>
      <c r="I19" s="44">
        <v>166.6</v>
      </c>
      <c r="J19" s="44">
        <v>255</v>
      </c>
      <c r="K19" s="44">
        <v>178</v>
      </c>
      <c r="L19" s="44">
        <v>200</v>
      </c>
      <c r="M19" s="44">
        <v>156</v>
      </c>
      <c r="N19" s="44">
        <v>239.5</v>
      </c>
      <c r="O19" s="44">
        <v>217.8</v>
      </c>
      <c r="P19" s="44">
        <v>375</v>
      </c>
      <c r="Q19" s="44">
        <v>380</v>
      </c>
      <c r="R19" s="44">
        <v>269</v>
      </c>
      <c r="S19" s="44">
        <v>272.5</v>
      </c>
      <c r="T19" s="44">
        <v>173</v>
      </c>
      <c r="U19" s="44">
        <v>249</v>
      </c>
      <c r="V19" s="44">
        <v>257</v>
      </c>
      <c r="W19" s="44">
        <v>193.5</v>
      </c>
      <c r="X19" s="44">
        <v>82.9</v>
      </c>
      <c r="Y19" s="44">
        <v>208</v>
      </c>
      <c r="Z19" s="44">
        <v>139</v>
      </c>
      <c r="AA19" s="44">
        <v>192</v>
      </c>
      <c r="AB19" s="44">
        <v>145</v>
      </c>
      <c r="AC19" s="44">
        <v>147.1</v>
      </c>
      <c r="AD19" s="44">
        <v>150</v>
      </c>
      <c r="AE19" s="44">
        <v>295</v>
      </c>
      <c r="AF19" s="45">
        <v>10210</v>
      </c>
      <c r="AG19" s="45">
        <v>11193</v>
      </c>
      <c r="AH19" s="45">
        <v>12802</v>
      </c>
      <c r="AI19" s="45">
        <v>8553</v>
      </c>
      <c r="AJ19" s="45">
        <v>9169</v>
      </c>
      <c r="AK19" s="45">
        <v>14930</v>
      </c>
      <c r="AL19" s="45">
        <v>4648</v>
      </c>
      <c r="AM19" s="45">
        <v>2198</v>
      </c>
      <c r="AN19" s="45">
        <v>7688</v>
      </c>
      <c r="AO19" s="45">
        <v>3296</v>
      </c>
      <c r="AP19" s="45">
        <v>1262</v>
      </c>
      <c r="AQ19" s="45">
        <v>2047</v>
      </c>
      <c r="AR19" s="45">
        <v>542</v>
      </c>
      <c r="AS19" s="45">
        <v>182</v>
      </c>
      <c r="AT19" s="45">
        <v>1031</v>
      </c>
      <c r="AU19" s="45">
        <v>7610</v>
      </c>
      <c r="AV19" s="45">
        <v>2369</v>
      </c>
      <c r="AW19" s="45">
        <v>5546</v>
      </c>
      <c r="AX19" s="45">
        <v>1125</v>
      </c>
      <c r="AY19" s="45">
        <v>3160</v>
      </c>
      <c r="AZ19" s="45">
        <v>5802</v>
      </c>
      <c r="BA19" s="45">
        <v>1770</v>
      </c>
      <c r="BB19" s="45">
        <v>294</v>
      </c>
      <c r="BC19" s="45">
        <v>2811</v>
      </c>
      <c r="BD19" s="45">
        <v>455</v>
      </c>
      <c r="BE19" s="45">
        <v>407</v>
      </c>
      <c r="BF19" s="45">
        <v>278</v>
      </c>
      <c r="BG19" s="45">
        <v>272</v>
      </c>
      <c r="BH19" s="45">
        <v>77</v>
      </c>
      <c r="BI19" s="45">
        <v>789</v>
      </c>
    </row>
    <row r="20" spans="1:61" x14ac:dyDescent="0.2">
      <c r="A20" s="43">
        <v>38139</v>
      </c>
      <c r="B20" s="44">
        <v>498</v>
      </c>
      <c r="C20" s="44">
        <v>270</v>
      </c>
      <c r="D20" s="44">
        <v>307.5</v>
      </c>
      <c r="E20" s="44">
        <v>195</v>
      </c>
      <c r="F20" s="44">
        <v>305</v>
      </c>
      <c r="G20" s="44">
        <v>235</v>
      </c>
      <c r="H20" s="44">
        <v>257.5</v>
      </c>
      <c r="I20" s="44">
        <v>169</v>
      </c>
      <c r="J20" s="44">
        <v>262</v>
      </c>
      <c r="K20" s="44">
        <v>178</v>
      </c>
      <c r="L20" s="44">
        <v>225</v>
      </c>
      <c r="M20" s="44">
        <v>156</v>
      </c>
      <c r="N20" s="44">
        <v>248.8</v>
      </c>
      <c r="O20" s="44">
        <v>215</v>
      </c>
      <c r="P20" s="44">
        <v>375</v>
      </c>
      <c r="Q20" s="44">
        <v>380</v>
      </c>
      <c r="R20" s="44">
        <v>265</v>
      </c>
      <c r="S20" s="44">
        <v>280</v>
      </c>
      <c r="T20" s="44">
        <v>172</v>
      </c>
      <c r="U20" s="44">
        <v>249</v>
      </c>
      <c r="V20" s="44">
        <v>264</v>
      </c>
      <c r="W20" s="44">
        <v>200</v>
      </c>
      <c r="X20" s="44">
        <v>81.5</v>
      </c>
      <c r="Y20" s="44">
        <v>215</v>
      </c>
      <c r="Z20" s="44">
        <v>148.5</v>
      </c>
      <c r="AA20" s="44">
        <v>192.8</v>
      </c>
      <c r="AB20" s="44">
        <v>149</v>
      </c>
      <c r="AC20" s="44">
        <v>152</v>
      </c>
      <c r="AD20" s="44">
        <v>130</v>
      </c>
      <c r="AE20" s="44">
        <v>300</v>
      </c>
      <c r="AF20" s="45">
        <v>11922</v>
      </c>
      <c r="AG20" s="45">
        <v>11226</v>
      </c>
      <c r="AH20" s="45">
        <v>13623</v>
      </c>
      <c r="AI20" s="45">
        <v>8079</v>
      </c>
      <c r="AJ20" s="45">
        <v>8421</v>
      </c>
      <c r="AK20" s="45">
        <v>13054</v>
      </c>
      <c r="AL20" s="45">
        <v>4499</v>
      </c>
      <c r="AM20" s="45">
        <v>2074</v>
      </c>
      <c r="AN20" s="45">
        <v>6773</v>
      </c>
      <c r="AO20" s="45">
        <v>2869</v>
      </c>
      <c r="AP20" s="45">
        <v>1094</v>
      </c>
      <c r="AQ20" s="45">
        <v>1654</v>
      </c>
      <c r="AR20" s="45">
        <v>536</v>
      </c>
      <c r="AS20" s="45">
        <v>207</v>
      </c>
      <c r="AT20" s="45">
        <v>1145</v>
      </c>
      <c r="AU20" s="45">
        <v>10106</v>
      </c>
      <c r="AV20" s="45">
        <v>2331</v>
      </c>
      <c r="AW20" s="45">
        <v>6178</v>
      </c>
      <c r="AX20" s="45">
        <v>1027</v>
      </c>
      <c r="AY20" s="45">
        <v>2924</v>
      </c>
      <c r="AZ20" s="45">
        <v>4890</v>
      </c>
      <c r="BA20" s="45">
        <v>1694</v>
      </c>
      <c r="BB20" s="45">
        <v>297</v>
      </c>
      <c r="BC20" s="45">
        <v>2262</v>
      </c>
      <c r="BD20" s="45">
        <v>406</v>
      </c>
      <c r="BE20" s="45">
        <v>336</v>
      </c>
      <c r="BF20" s="45">
        <v>235</v>
      </c>
      <c r="BG20" s="45">
        <v>341</v>
      </c>
      <c r="BH20" s="45">
        <v>69</v>
      </c>
      <c r="BI20" s="45">
        <v>655</v>
      </c>
    </row>
    <row r="21" spans="1:61" x14ac:dyDescent="0.2">
      <c r="A21" s="43">
        <v>38231</v>
      </c>
      <c r="B21" s="44">
        <v>500</v>
      </c>
      <c r="C21" s="44">
        <v>275</v>
      </c>
      <c r="D21" s="44">
        <v>302</v>
      </c>
      <c r="E21" s="44">
        <v>195</v>
      </c>
      <c r="F21" s="44">
        <v>305</v>
      </c>
      <c r="G21" s="44">
        <v>244</v>
      </c>
      <c r="H21" s="44">
        <v>261</v>
      </c>
      <c r="I21" s="44">
        <v>175</v>
      </c>
      <c r="J21" s="44">
        <v>259</v>
      </c>
      <c r="K21" s="44">
        <v>185</v>
      </c>
      <c r="L21" s="44">
        <v>230</v>
      </c>
      <c r="M21" s="44">
        <v>160</v>
      </c>
      <c r="N21" s="44">
        <v>245</v>
      </c>
      <c r="O21" s="44">
        <v>227.5</v>
      </c>
      <c r="P21" s="44">
        <v>352.5</v>
      </c>
      <c r="Q21" s="44">
        <v>380</v>
      </c>
      <c r="R21" s="44">
        <v>260</v>
      </c>
      <c r="S21" s="44">
        <v>276</v>
      </c>
      <c r="T21" s="44">
        <v>175</v>
      </c>
      <c r="U21" s="44">
        <v>264</v>
      </c>
      <c r="V21" s="44">
        <v>269</v>
      </c>
      <c r="W21" s="44">
        <v>220</v>
      </c>
      <c r="X21" s="44">
        <v>90.8</v>
      </c>
      <c r="Y21" s="44">
        <v>215</v>
      </c>
      <c r="Z21" s="44">
        <v>156</v>
      </c>
      <c r="AA21" s="44">
        <v>195</v>
      </c>
      <c r="AB21" s="44">
        <v>155</v>
      </c>
      <c r="AC21" s="44">
        <v>156.5</v>
      </c>
      <c r="AD21" s="44">
        <v>170.3</v>
      </c>
      <c r="AE21" s="44">
        <v>280</v>
      </c>
      <c r="AF21" s="45">
        <v>10240</v>
      </c>
      <c r="AG21" s="45">
        <v>9570</v>
      </c>
      <c r="AH21" s="45">
        <v>13974</v>
      </c>
      <c r="AI21" s="45">
        <v>8461</v>
      </c>
      <c r="AJ21" s="45">
        <v>8546</v>
      </c>
      <c r="AK21" s="45">
        <v>13264</v>
      </c>
      <c r="AL21" s="45">
        <v>4462</v>
      </c>
      <c r="AM21" s="45">
        <v>2016</v>
      </c>
      <c r="AN21" s="45">
        <v>8522</v>
      </c>
      <c r="AO21" s="45">
        <v>3517</v>
      </c>
      <c r="AP21" s="45">
        <v>976</v>
      </c>
      <c r="AQ21" s="45">
        <v>1601</v>
      </c>
      <c r="AR21" s="45">
        <v>586</v>
      </c>
      <c r="AS21" s="45">
        <v>214</v>
      </c>
      <c r="AT21" s="45">
        <v>843</v>
      </c>
      <c r="AU21" s="45">
        <v>8179</v>
      </c>
      <c r="AV21" s="45">
        <v>1758</v>
      </c>
      <c r="AW21" s="45">
        <v>6658</v>
      </c>
      <c r="AX21" s="45">
        <v>1156</v>
      </c>
      <c r="AY21" s="45">
        <v>3188</v>
      </c>
      <c r="AZ21" s="45">
        <v>5176</v>
      </c>
      <c r="BA21" s="45">
        <v>1990</v>
      </c>
      <c r="BB21" s="45">
        <v>272</v>
      </c>
      <c r="BC21" s="45">
        <v>3193</v>
      </c>
      <c r="BD21" s="45">
        <v>454</v>
      </c>
      <c r="BE21" s="45">
        <v>287</v>
      </c>
      <c r="BF21" s="45">
        <v>215</v>
      </c>
      <c r="BG21" s="45">
        <v>387</v>
      </c>
      <c r="BH21" s="45">
        <v>86</v>
      </c>
      <c r="BI21" s="45">
        <v>727</v>
      </c>
    </row>
    <row r="22" spans="1:61" x14ac:dyDescent="0.2">
      <c r="A22" s="43">
        <v>38322</v>
      </c>
      <c r="B22" s="44">
        <v>515</v>
      </c>
      <c r="C22" s="44">
        <v>278</v>
      </c>
      <c r="D22" s="44">
        <v>321</v>
      </c>
      <c r="E22" s="44">
        <v>205</v>
      </c>
      <c r="F22" s="44">
        <v>310</v>
      </c>
      <c r="G22" s="44">
        <v>255</v>
      </c>
      <c r="H22" s="44">
        <v>270</v>
      </c>
      <c r="I22" s="44">
        <v>182</v>
      </c>
      <c r="J22" s="44">
        <v>280</v>
      </c>
      <c r="K22" s="44">
        <v>199.8</v>
      </c>
      <c r="L22" s="44">
        <v>237.3</v>
      </c>
      <c r="M22" s="44">
        <v>166.5</v>
      </c>
      <c r="N22" s="44">
        <v>259</v>
      </c>
      <c r="O22" s="44">
        <v>227</v>
      </c>
      <c r="P22" s="44">
        <v>372</v>
      </c>
      <c r="Q22" s="44">
        <v>390</v>
      </c>
      <c r="R22" s="44">
        <v>265</v>
      </c>
      <c r="S22" s="44">
        <v>281</v>
      </c>
      <c r="T22" s="44">
        <v>180</v>
      </c>
      <c r="U22" s="44">
        <v>267</v>
      </c>
      <c r="V22" s="44">
        <v>278</v>
      </c>
      <c r="W22" s="44">
        <v>220</v>
      </c>
      <c r="X22" s="44">
        <v>112</v>
      </c>
      <c r="Y22" s="44">
        <v>229</v>
      </c>
      <c r="Z22" s="44">
        <v>165</v>
      </c>
      <c r="AA22" s="44">
        <v>200</v>
      </c>
      <c r="AB22" s="44">
        <v>158</v>
      </c>
      <c r="AC22" s="44">
        <v>171</v>
      </c>
      <c r="AD22" s="44">
        <v>175</v>
      </c>
      <c r="AE22" s="44">
        <v>289</v>
      </c>
      <c r="AF22" s="45">
        <v>10843</v>
      </c>
      <c r="AG22" s="45">
        <v>10303</v>
      </c>
      <c r="AH22" s="45">
        <v>14959</v>
      </c>
      <c r="AI22" s="45">
        <v>8369</v>
      </c>
      <c r="AJ22" s="45">
        <v>8295</v>
      </c>
      <c r="AK22" s="45">
        <v>13349</v>
      </c>
      <c r="AL22" s="45">
        <v>4588</v>
      </c>
      <c r="AM22" s="45">
        <v>2066</v>
      </c>
      <c r="AN22" s="45">
        <v>7680</v>
      </c>
      <c r="AO22" s="45">
        <v>3352</v>
      </c>
      <c r="AP22" s="45">
        <v>1000</v>
      </c>
      <c r="AQ22" s="45">
        <v>1518</v>
      </c>
      <c r="AR22" s="45">
        <v>573</v>
      </c>
      <c r="AS22" s="45">
        <v>233</v>
      </c>
      <c r="AT22" s="45">
        <v>1168</v>
      </c>
      <c r="AU22" s="45">
        <v>8506</v>
      </c>
      <c r="AV22" s="45">
        <v>2006</v>
      </c>
      <c r="AW22" s="45">
        <v>7071</v>
      </c>
      <c r="AX22" s="45">
        <v>1123</v>
      </c>
      <c r="AY22" s="45">
        <v>3031</v>
      </c>
      <c r="AZ22" s="45">
        <v>5136</v>
      </c>
      <c r="BA22" s="45">
        <v>1693</v>
      </c>
      <c r="BB22" s="45">
        <v>241</v>
      </c>
      <c r="BC22" s="45">
        <v>2887</v>
      </c>
      <c r="BD22" s="45">
        <v>433</v>
      </c>
      <c r="BE22" s="45">
        <v>267</v>
      </c>
      <c r="BF22" s="45">
        <v>159</v>
      </c>
      <c r="BG22" s="45">
        <v>337</v>
      </c>
      <c r="BH22" s="45">
        <v>93</v>
      </c>
      <c r="BI22" s="45">
        <v>770</v>
      </c>
    </row>
    <row r="23" spans="1:61" x14ac:dyDescent="0.2">
      <c r="A23" s="43">
        <v>38412</v>
      </c>
      <c r="B23" s="44">
        <v>486</v>
      </c>
      <c r="C23" s="44">
        <v>280</v>
      </c>
      <c r="D23" s="44">
        <v>310</v>
      </c>
      <c r="E23" s="44">
        <v>210</v>
      </c>
      <c r="F23" s="44">
        <v>312</v>
      </c>
      <c r="G23" s="44">
        <v>270</v>
      </c>
      <c r="H23" s="44">
        <v>270</v>
      </c>
      <c r="I23" s="44">
        <v>187</v>
      </c>
      <c r="J23" s="44">
        <v>290</v>
      </c>
      <c r="K23" s="44">
        <v>225</v>
      </c>
      <c r="L23" s="44">
        <v>240</v>
      </c>
      <c r="M23" s="44">
        <v>179</v>
      </c>
      <c r="N23" s="44">
        <v>275</v>
      </c>
      <c r="O23" s="44">
        <v>231</v>
      </c>
      <c r="P23" s="44">
        <v>374.7</v>
      </c>
      <c r="Q23" s="44">
        <v>385</v>
      </c>
      <c r="R23" s="44">
        <v>270</v>
      </c>
      <c r="S23" s="44">
        <v>285</v>
      </c>
      <c r="T23" s="44">
        <v>190</v>
      </c>
      <c r="U23" s="44">
        <v>257</v>
      </c>
      <c r="V23" s="44">
        <v>282.5</v>
      </c>
      <c r="W23" s="44">
        <v>212</v>
      </c>
      <c r="X23" s="44">
        <v>125</v>
      </c>
      <c r="Y23" s="44">
        <v>235</v>
      </c>
      <c r="Z23" s="44">
        <v>183</v>
      </c>
      <c r="AA23" s="44">
        <v>220</v>
      </c>
      <c r="AB23" s="44">
        <v>166</v>
      </c>
      <c r="AC23" s="44">
        <v>175</v>
      </c>
      <c r="AD23" s="44">
        <v>170.5</v>
      </c>
      <c r="AE23" s="44">
        <v>304.5</v>
      </c>
      <c r="AF23" s="45">
        <v>8967</v>
      </c>
      <c r="AG23" s="45">
        <v>9110</v>
      </c>
      <c r="AH23" s="45">
        <v>13292</v>
      </c>
      <c r="AI23" s="45">
        <v>8020</v>
      </c>
      <c r="AJ23" s="45">
        <v>8731</v>
      </c>
      <c r="AK23" s="45">
        <v>13591</v>
      </c>
      <c r="AL23" s="45">
        <v>4412</v>
      </c>
      <c r="AM23" s="45">
        <v>2045</v>
      </c>
      <c r="AN23" s="45">
        <v>8619</v>
      </c>
      <c r="AO23" s="45">
        <v>3851</v>
      </c>
      <c r="AP23" s="45">
        <v>875</v>
      </c>
      <c r="AQ23" s="45">
        <v>1514</v>
      </c>
      <c r="AR23" s="45">
        <v>596</v>
      </c>
      <c r="AS23" s="45">
        <v>199</v>
      </c>
      <c r="AT23" s="45">
        <v>1002</v>
      </c>
      <c r="AU23" s="45">
        <v>6743</v>
      </c>
      <c r="AV23" s="45">
        <v>1862</v>
      </c>
      <c r="AW23" s="45">
        <v>6617</v>
      </c>
      <c r="AX23" s="45">
        <v>1188</v>
      </c>
      <c r="AY23" s="45">
        <v>2761</v>
      </c>
      <c r="AZ23" s="45">
        <v>5073</v>
      </c>
      <c r="BA23" s="45">
        <v>1785</v>
      </c>
      <c r="BB23" s="45">
        <v>216</v>
      </c>
      <c r="BC23" s="45">
        <v>3289</v>
      </c>
      <c r="BD23" s="45">
        <v>457</v>
      </c>
      <c r="BE23" s="45">
        <v>239</v>
      </c>
      <c r="BF23" s="45">
        <v>217</v>
      </c>
      <c r="BG23" s="45">
        <v>374</v>
      </c>
      <c r="BH23" s="45">
        <v>102</v>
      </c>
      <c r="BI23" s="45">
        <v>705</v>
      </c>
    </row>
    <row r="24" spans="1:61" x14ac:dyDescent="0.2">
      <c r="A24" s="43">
        <v>38504</v>
      </c>
      <c r="B24" s="44">
        <v>500</v>
      </c>
      <c r="C24" s="44">
        <v>280</v>
      </c>
      <c r="D24" s="44">
        <v>320</v>
      </c>
      <c r="E24" s="44">
        <v>205</v>
      </c>
      <c r="F24" s="44">
        <v>312</v>
      </c>
      <c r="G24" s="44">
        <v>280</v>
      </c>
      <c r="H24" s="44">
        <v>271</v>
      </c>
      <c r="I24" s="44">
        <v>192</v>
      </c>
      <c r="J24" s="44">
        <v>300</v>
      </c>
      <c r="K24" s="44">
        <v>230</v>
      </c>
      <c r="L24" s="44">
        <v>250</v>
      </c>
      <c r="M24" s="44">
        <v>178.3</v>
      </c>
      <c r="N24" s="44">
        <v>280</v>
      </c>
      <c r="O24" s="44">
        <v>230</v>
      </c>
      <c r="P24" s="44">
        <v>373.5</v>
      </c>
      <c r="Q24" s="44">
        <v>387</v>
      </c>
      <c r="R24" s="44">
        <v>262</v>
      </c>
      <c r="S24" s="44">
        <v>287</v>
      </c>
      <c r="T24" s="44">
        <v>190</v>
      </c>
      <c r="U24" s="44">
        <v>265</v>
      </c>
      <c r="V24" s="44">
        <v>282</v>
      </c>
      <c r="W24" s="44">
        <v>216.5</v>
      </c>
      <c r="X24" s="44">
        <v>124.8</v>
      </c>
      <c r="Y24" s="44">
        <v>247.5</v>
      </c>
      <c r="Z24" s="44">
        <v>175</v>
      </c>
      <c r="AA24" s="44">
        <v>233.5</v>
      </c>
      <c r="AB24" s="44">
        <v>170</v>
      </c>
      <c r="AC24" s="44">
        <v>207</v>
      </c>
      <c r="AD24" s="44">
        <v>180</v>
      </c>
      <c r="AE24" s="44">
        <v>307.8</v>
      </c>
      <c r="AF24" s="45">
        <v>10272</v>
      </c>
      <c r="AG24" s="45">
        <v>9338</v>
      </c>
      <c r="AH24" s="45">
        <v>15115</v>
      </c>
      <c r="AI24" s="45">
        <v>8235</v>
      </c>
      <c r="AJ24" s="45">
        <v>8287</v>
      </c>
      <c r="AK24" s="45">
        <v>12026</v>
      </c>
      <c r="AL24" s="45">
        <v>4424</v>
      </c>
      <c r="AM24" s="45">
        <v>1907</v>
      </c>
      <c r="AN24" s="45">
        <v>8604</v>
      </c>
      <c r="AO24" s="45">
        <v>3416</v>
      </c>
      <c r="AP24" s="45">
        <v>852</v>
      </c>
      <c r="AQ24" s="45">
        <v>1256</v>
      </c>
      <c r="AR24" s="45">
        <v>567</v>
      </c>
      <c r="AS24" s="45">
        <v>194</v>
      </c>
      <c r="AT24" s="45">
        <v>1071</v>
      </c>
      <c r="AU24" s="45">
        <v>8076</v>
      </c>
      <c r="AV24" s="45">
        <v>1745</v>
      </c>
      <c r="AW24" s="45">
        <v>7434</v>
      </c>
      <c r="AX24" s="45">
        <v>1078</v>
      </c>
      <c r="AY24" s="45">
        <v>2789</v>
      </c>
      <c r="AZ24" s="45">
        <v>4502</v>
      </c>
      <c r="BA24" s="45">
        <v>1665</v>
      </c>
      <c r="BB24" s="45">
        <v>238</v>
      </c>
      <c r="BC24" s="45">
        <v>3194</v>
      </c>
      <c r="BD24" s="45">
        <v>429</v>
      </c>
      <c r="BE24" s="45">
        <v>242</v>
      </c>
      <c r="BF24" s="45">
        <v>163</v>
      </c>
      <c r="BG24" s="45">
        <v>322</v>
      </c>
      <c r="BH24" s="45">
        <v>82</v>
      </c>
      <c r="BI24" s="45">
        <v>832</v>
      </c>
    </row>
    <row r="25" spans="1:61" x14ac:dyDescent="0.2">
      <c r="A25" s="43">
        <v>38596</v>
      </c>
      <c r="B25" s="44">
        <v>490</v>
      </c>
      <c r="C25" s="44">
        <v>280</v>
      </c>
      <c r="D25" s="44">
        <v>320</v>
      </c>
      <c r="E25" s="44">
        <v>210</v>
      </c>
      <c r="F25" s="44">
        <v>314.89999999999998</v>
      </c>
      <c r="G25" s="44">
        <v>285</v>
      </c>
      <c r="H25" s="44">
        <v>275</v>
      </c>
      <c r="I25" s="44">
        <v>189.3</v>
      </c>
      <c r="J25" s="44">
        <v>315</v>
      </c>
      <c r="K25" s="44">
        <v>245</v>
      </c>
      <c r="L25" s="44">
        <v>245</v>
      </c>
      <c r="M25" s="44">
        <v>180</v>
      </c>
      <c r="N25" s="44">
        <v>295</v>
      </c>
      <c r="O25" s="44">
        <v>232</v>
      </c>
      <c r="P25" s="44">
        <v>365</v>
      </c>
      <c r="Q25" s="44">
        <v>380</v>
      </c>
      <c r="R25" s="44">
        <v>268</v>
      </c>
      <c r="S25" s="44">
        <v>286</v>
      </c>
      <c r="T25" s="44">
        <v>191.3</v>
      </c>
      <c r="U25" s="44">
        <v>271.7</v>
      </c>
      <c r="V25" s="44">
        <v>282</v>
      </c>
      <c r="W25" s="44">
        <v>225.3</v>
      </c>
      <c r="X25" s="44">
        <v>131</v>
      </c>
      <c r="Y25" s="44">
        <v>255</v>
      </c>
      <c r="Z25" s="44">
        <v>190</v>
      </c>
      <c r="AA25" s="44">
        <v>200</v>
      </c>
      <c r="AB25" s="44">
        <v>175</v>
      </c>
      <c r="AC25" s="44">
        <v>195</v>
      </c>
      <c r="AD25" s="44">
        <v>188.5</v>
      </c>
      <c r="AE25" s="44">
        <v>305</v>
      </c>
      <c r="AF25" s="45">
        <v>10834</v>
      </c>
      <c r="AG25" s="45">
        <v>9838</v>
      </c>
      <c r="AH25" s="45">
        <v>14188</v>
      </c>
      <c r="AI25" s="45">
        <v>7820</v>
      </c>
      <c r="AJ25" s="45">
        <v>8955</v>
      </c>
      <c r="AK25" s="45">
        <v>12954</v>
      </c>
      <c r="AL25" s="45">
        <v>4516</v>
      </c>
      <c r="AM25" s="45">
        <v>1950</v>
      </c>
      <c r="AN25" s="45">
        <v>8947</v>
      </c>
      <c r="AO25" s="45">
        <v>3655</v>
      </c>
      <c r="AP25" s="45">
        <v>980</v>
      </c>
      <c r="AQ25" s="45">
        <v>1536</v>
      </c>
      <c r="AR25" s="45">
        <v>586</v>
      </c>
      <c r="AS25" s="45">
        <v>232</v>
      </c>
      <c r="AT25" s="45">
        <v>1037</v>
      </c>
      <c r="AU25" s="45">
        <v>8566</v>
      </c>
      <c r="AV25" s="45">
        <v>2055</v>
      </c>
      <c r="AW25" s="45">
        <v>7295</v>
      </c>
      <c r="AX25" s="45">
        <v>1043</v>
      </c>
      <c r="AY25" s="45">
        <v>2842</v>
      </c>
      <c r="AZ25" s="45">
        <v>4991</v>
      </c>
      <c r="BA25" s="45">
        <v>1704</v>
      </c>
      <c r="BB25" s="45">
        <v>251</v>
      </c>
      <c r="BC25" s="45">
        <v>3396</v>
      </c>
      <c r="BD25" s="45">
        <v>495</v>
      </c>
      <c r="BE25" s="45">
        <v>297</v>
      </c>
      <c r="BF25" s="45">
        <v>174</v>
      </c>
      <c r="BG25" s="45">
        <v>361</v>
      </c>
      <c r="BH25" s="45">
        <v>84</v>
      </c>
      <c r="BI25" s="45">
        <v>778</v>
      </c>
    </row>
    <row r="26" spans="1:61" x14ac:dyDescent="0.2">
      <c r="A26" s="43">
        <v>38687</v>
      </c>
      <c r="B26" s="44">
        <v>500</v>
      </c>
      <c r="C26" s="44">
        <v>285</v>
      </c>
      <c r="D26" s="44">
        <v>332</v>
      </c>
      <c r="E26" s="44">
        <v>220</v>
      </c>
      <c r="F26" s="44">
        <v>320</v>
      </c>
      <c r="G26" s="44">
        <v>290</v>
      </c>
      <c r="H26" s="44">
        <v>280</v>
      </c>
      <c r="I26" s="44">
        <v>199</v>
      </c>
      <c r="J26" s="44">
        <v>340</v>
      </c>
      <c r="K26" s="44">
        <v>265</v>
      </c>
      <c r="L26" s="44">
        <v>252.5</v>
      </c>
      <c r="M26" s="44">
        <v>192</v>
      </c>
      <c r="N26" s="44">
        <v>320</v>
      </c>
      <c r="O26" s="44">
        <v>246</v>
      </c>
      <c r="P26" s="44">
        <v>387</v>
      </c>
      <c r="Q26" s="44">
        <v>383</v>
      </c>
      <c r="R26" s="44">
        <v>270</v>
      </c>
      <c r="S26" s="44">
        <v>290</v>
      </c>
      <c r="T26" s="44">
        <v>195</v>
      </c>
      <c r="U26" s="44">
        <v>280</v>
      </c>
      <c r="V26" s="44">
        <v>290</v>
      </c>
      <c r="W26" s="44">
        <v>228.8</v>
      </c>
      <c r="X26" s="44">
        <v>145</v>
      </c>
      <c r="Y26" s="44">
        <v>276</v>
      </c>
      <c r="Z26" s="44">
        <v>220</v>
      </c>
      <c r="AA26" s="44">
        <v>215</v>
      </c>
      <c r="AB26" s="44">
        <v>165</v>
      </c>
      <c r="AC26" s="44">
        <v>225</v>
      </c>
      <c r="AD26" s="44">
        <v>197.8</v>
      </c>
      <c r="AE26" s="44">
        <v>308</v>
      </c>
      <c r="AF26" s="45">
        <v>9786</v>
      </c>
      <c r="AG26" s="45">
        <v>10586</v>
      </c>
      <c r="AH26" s="45">
        <v>15709</v>
      </c>
      <c r="AI26" s="45">
        <v>8773</v>
      </c>
      <c r="AJ26" s="45">
        <v>8485</v>
      </c>
      <c r="AK26" s="45">
        <v>12749</v>
      </c>
      <c r="AL26" s="45">
        <v>4512</v>
      </c>
      <c r="AM26" s="45">
        <v>2032</v>
      </c>
      <c r="AN26" s="45">
        <v>9147</v>
      </c>
      <c r="AO26" s="45">
        <v>3715</v>
      </c>
      <c r="AP26" s="45">
        <v>1020</v>
      </c>
      <c r="AQ26" s="45">
        <v>1500</v>
      </c>
      <c r="AR26" s="45">
        <v>566</v>
      </c>
      <c r="AS26" s="45">
        <v>253</v>
      </c>
      <c r="AT26" s="45">
        <v>1205</v>
      </c>
      <c r="AU26" s="45">
        <v>7810</v>
      </c>
      <c r="AV26" s="45">
        <v>2081</v>
      </c>
      <c r="AW26" s="45">
        <v>7369</v>
      </c>
      <c r="AX26" s="45">
        <v>1126</v>
      </c>
      <c r="AY26" s="45">
        <v>2706</v>
      </c>
      <c r="AZ26" s="45">
        <v>4559</v>
      </c>
      <c r="BA26" s="45">
        <v>1840</v>
      </c>
      <c r="BB26" s="45">
        <v>281</v>
      </c>
      <c r="BC26" s="45">
        <v>3304</v>
      </c>
      <c r="BD26" s="45">
        <v>492</v>
      </c>
      <c r="BE26" s="45">
        <v>301</v>
      </c>
      <c r="BF26" s="45">
        <v>207</v>
      </c>
      <c r="BG26" s="45">
        <v>399</v>
      </c>
      <c r="BH26" s="45">
        <v>82</v>
      </c>
      <c r="BI26" s="45">
        <v>845</v>
      </c>
    </row>
    <row r="27" spans="1:61" x14ac:dyDescent="0.2">
      <c r="A27" s="43">
        <v>38777</v>
      </c>
      <c r="B27" s="44">
        <v>470</v>
      </c>
      <c r="C27" s="44">
        <v>290</v>
      </c>
      <c r="D27" s="44">
        <v>330</v>
      </c>
      <c r="E27" s="44">
        <v>224</v>
      </c>
      <c r="F27" s="44">
        <v>325</v>
      </c>
      <c r="G27" s="44">
        <v>309</v>
      </c>
      <c r="H27" s="44">
        <v>280</v>
      </c>
      <c r="I27" s="44">
        <v>210</v>
      </c>
      <c r="J27" s="44">
        <v>370</v>
      </c>
      <c r="K27" s="44">
        <v>295</v>
      </c>
      <c r="L27" s="44">
        <v>260</v>
      </c>
      <c r="M27" s="44">
        <v>192</v>
      </c>
      <c r="N27" s="44">
        <v>341.5</v>
      </c>
      <c r="O27" s="44">
        <v>215</v>
      </c>
      <c r="P27" s="44">
        <v>385</v>
      </c>
      <c r="Q27" s="44">
        <v>375</v>
      </c>
      <c r="R27" s="44">
        <v>280</v>
      </c>
      <c r="S27" s="44">
        <v>299.5</v>
      </c>
      <c r="T27" s="44">
        <v>200</v>
      </c>
      <c r="U27" s="44">
        <v>280</v>
      </c>
      <c r="V27" s="44">
        <v>292.60000000000002</v>
      </c>
      <c r="W27" s="44">
        <v>225</v>
      </c>
      <c r="X27" s="44">
        <v>151.30000000000001</v>
      </c>
      <c r="Y27" s="44">
        <v>292</v>
      </c>
      <c r="Z27" s="44">
        <v>235</v>
      </c>
      <c r="AA27" s="44">
        <v>225</v>
      </c>
      <c r="AB27" s="44">
        <v>170</v>
      </c>
      <c r="AC27" s="44">
        <v>235</v>
      </c>
      <c r="AD27" s="44">
        <v>170</v>
      </c>
      <c r="AE27" s="44">
        <v>310</v>
      </c>
      <c r="AF27" s="45">
        <v>10484</v>
      </c>
      <c r="AG27" s="45">
        <v>10290</v>
      </c>
      <c r="AH27" s="45">
        <v>12882</v>
      </c>
      <c r="AI27" s="45">
        <v>7811</v>
      </c>
      <c r="AJ27" s="45">
        <v>10005</v>
      </c>
      <c r="AK27" s="45">
        <v>14329</v>
      </c>
      <c r="AL27" s="45">
        <v>4842</v>
      </c>
      <c r="AM27" s="45">
        <v>2199</v>
      </c>
      <c r="AN27" s="45">
        <v>10203</v>
      </c>
      <c r="AO27" s="45">
        <v>4111</v>
      </c>
      <c r="AP27" s="45">
        <v>1243</v>
      </c>
      <c r="AQ27" s="45">
        <v>1848</v>
      </c>
      <c r="AR27" s="45">
        <v>554</v>
      </c>
      <c r="AS27" s="45">
        <v>271</v>
      </c>
      <c r="AT27" s="45">
        <v>1141</v>
      </c>
      <c r="AU27" s="45">
        <v>7690</v>
      </c>
      <c r="AV27" s="45">
        <v>2185</v>
      </c>
      <c r="AW27" s="45">
        <v>6237</v>
      </c>
      <c r="AX27" s="45">
        <v>1164</v>
      </c>
      <c r="AY27" s="45">
        <v>3157</v>
      </c>
      <c r="AZ27" s="45">
        <v>5372</v>
      </c>
      <c r="BA27" s="45">
        <v>1778</v>
      </c>
      <c r="BB27" s="45">
        <v>300</v>
      </c>
      <c r="BC27" s="45">
        <v>3499</v>
      </c>
      <c r="BD27" s="45">
        <v>455</v>
      </c>
      <c r="BE27" s="45">
        <v>365</v>
      </c>
      <c r="BF27" s="45">
        <v>203</v>
      </c>
      <c r="BG27" s="45">
        <v>354</v>
      </c>
      <c r="BH27" s="45">
        <v>103</v>
      </c>
      <c r="BI27" s="45">
        <v>793</v>
      </c>
    </row>
    <row r="28" spans="1:61" x14ac:dyDescent="0.2">
      <c r="A28" s="43">
        <v>38869</v>
      </c>
      <c r="B28" s="44">
        <v>495</v>
      </c>
      <c r="C28" s="44">
        <v>290</v>
      </c>
      <c r="D28" s="44">
        <v>345</v>
      </c>
      <c r="E28" s="44">
        <v>220</v>
      </c>
      <c r="F28" s="44">
        <v>330</v>
      </c>
      <c r="G28" s="44">
        <v>312.5</v>
      </c>
      <c r="H28" s="44">
        <v>286</v>
      </c>
      <c r="I28" s="44">
        <v>210</v>
      </c>
      <c r="J28" s="44">
        <v>415</v>
      </c>
      <c r="K28" s="44">
        <v>324</v>
      </c>
      <c r="L28" s="44">
        <v>270</v>
      </c>
      <c r="M28" s="44">
        <v>200</v>
      </c>
      <c r="N28" s="44">
        <v>349.5</v>
      </c>
      <c r="O28" s="44">
        <v>240</v>
      </c>
      <c r="P28" s="44">
        <v>399.5</v>
      </c>
      <c r="Q28" s="44">
        <v>390</v>
      </c>
      <c r="R28" s="44">
        <v>277.5</v>
      </c>
      <c r="S28" s="44">
        <v>306.60000000000002</v>
      </c>
      <c r="T28" s="44">
        <v>197.8</v>
      </c>
      <c r="U28" s="44">
        <v>295</v>
      </c>
      <c r="V28" s="44">
        <v>295</v>
      </c>
      <c r="W28" s="44">
        <v>235</v>
      </c>
      <c r="X28" s="44">
        <v>145</v>
      </c>
      <c r="Y28" s="44">
        <v>332.5</v>
      </c>
      <c r="Z28" s="44">
        <v>230</v>
      </c>
      <c r="AA28" s="44">
        <v>229</v>
      </c>
      <c r="AB28" s="44">
        <v>178.5</v>
      </c>
      <c r="AC28" s="44">
        <v>245</v>
      </c>
      <c r="AD28" s="44">
        <v>198</v>
      </c>
      <c r="AE28" s="44">
        <v>325</v>
      </c>
      <c r="AF28" s="45">
        <v>11867</v>
      </c>
      <c r="AG28" s="45">
        <v>10371</v>
      </c>
      <c r="AH28" s="45">
        <v>14022</v>
      </c>
      <c r="AI28" s="45">
        <v>7700</v>
      </c>
      <c r="AJ28" s="45">
        <v>9189</v>
      </c>
      <c r="AK28" s="45">
        <v>13152</v>
      </c>
      <c r="AL28" s="45">
        <v>4928</v>
      </c>
      <c r="AM28" s="45">
        <v>2111</v>
      </c>
      <c r="AN28" s="45">
        <v>8864</v>
      </c>
      <c r="AO28" s="45">
        <v>3574</v>
      </c>
      <c r="AP28" s="45">
        <v>1124</v>
      </c>
      <c r="AQ28" s="45">
        <v>1569</v>
      </c>
      <c r="AR28" s="45">
        <v>514</v>
      </c>
      <c r="AS28" s="45">
        <v>229</v>
      </c>
      <c r="AT28" s="45">
        <v>1294</v>
      </c>
      <c r="AU28" s="45">
        <v>9547</v>
      </c>
      <c r="AV28" s="45">
        <v>2233</v>
      </c>
      <c r="AW28" s="45">
        <v>7092</v>
      </c>
      <c r="AX28" s="45">
        <v>1072</v>
      </c>
      <c r="AY28" s="45">
        <v>3246</v>
      </c>
      <c r="AZ28" s="45">
        <v>4764</v>
      </c>
      <c r="BA28" s="45">
        <v>1988</v>
      </c>
      <c r="BB28" s="45">
        <v>236</v>
      </c>
      <c r="BC28" s="45">
        <v>2903</v>
      </c>
      <c r="BD28" s="45">
        <v>478</v>
      </c>
      <c r="BE28" s="45">
        <v>317</v>
      </c>
      <c r="BF28" s="45">
        <v>226</v>
      </c>
      <c r="BG28" s="45">
        <v>324</v>
      </c>
      <c r="BH28" s="45">
        <v>77</v>
      </c>
      <c r="BI28" s="45">
        <v>1006</v>
      </c>
    </row>
    <row r="29" spans="1:61" x14ac:dyDescent="0.2">
      <c r="A29" s="43">
        <v>38961</v>
      </c>
      <c r="B29" s="44">
        <v>482</v>
      </c>
      <c r="C29" s="44">
        <v>285</v>
      </c>
      <c r="D29" s="44">
        <v>346</v>
      </c>
      <c r="E29" s="44">
        <v>222</v>
      </c>
      <c r="F29" s="44">
        <v>335</v>
      </c>
      <c r="G29" s="44">
        <v>318.39999999999998</v>
      </c>
      <c r="H29" s="44">
        <v>290</v>
      </c>
      <c r="I29" s="44">
        <v>200</v>
      </c>
      <c r="J29" s="44">
        <v>450</v>
      </c>
      <c r="K29" s="44">
        <v>335</v>
      </c>
      <c r="L29" s="44">
        <v>270</v>
      </c>
      <c r="M29" s="44">
        <v>195</v>
      </c>
      <c r="N29" s="44">
        <v>360</v>
      </c>
      <c r="O29" s="44">
        <v>247.5</v>
      </c>
      <c r="P29" s="44">
        <v>413</v>
      </c>
      <c r="Q29" s="44">
        <v>380</v>
      </c>
      <c r="R29" s="44">
        <v>275</v>
      </c>
      <c r="S29" s="44">
        <v>315</v>
      </c>
      <c r="T29" s="44">
        <v>191</v>
      </c>
      <c r="U29" s="44">
        <v>292</v>
      </c>
      <c r="V29" s="44">
        <v>300</v>
      </c>
      <c r="W29" s="44">
        <v>240</v>
      </c>
      <c r="X29" s="44">
        <v>131</v>
      </c>
      <c r="Y29" s="44">
        <v>350</v>
      </c>
      <c r="Z29" s="44">
        <v>260</v>
      </c>
      <c r="AA29" s="44">
        <v>230</v>
      </c>
      <c r="AB29" s="44">
        <v>180.8</v>
      </c>
      <c r="AC29" s="44">
        <v>246.5</v>
      </c>
      <c r="AD29" s="44">
        <v>213.5</v>
      </c>
      <c r="AE29" s="44">
        <v>312</v>
      </c>
      <c r="AF29" s="45">
        <v>11078</v>
      </c>
      <c r="AG29" s="45">
        <v>10226</v>
      </c>
      <c r="AH29" s="45">
        <v>14401</v>
      </c>
      <c r="AI29" s="45">
        <v>7954</v>
      </c>
      <c r="AJ29" s="45">
        <v>9954</v>
      </c>
      <c r="AK29" s="45">
        <v>14102</v>
      </c>
      <c r="AL29" s="45">
        <v>4774</v>
      </c>
      <c r="AM29" s="45">
        <v>2103</v>
      </c>
      <c r="AN29" s="45">
        <v>7184</v>
      </c>
      <c r="AO29" s="45">
        <v>3070</v>
      </c>
      <c r="AP29" s="45">
        <v>956</v>
      </c>
      <c r="AQ29" s="45">
        <v>1619</v>
      </c>
      <c r="AR29" s="45">
        <v>535</v>
      </c>
      <c r="AS29" s="45">
        <v>200</v>
      </c>
      <c r="AT29" s="45">
        <v>1136</v>
      </c>
      <c r="AU29" s="45">
        <v>8849</v>
      </c>
      <c r="AV29" s="45">
        <v>2229</v>
      </c>
      <c r="AW29" s="45">
        <v>7461</v>
      </c>
      <c r="AX29" s="45">
        <v>1136</v>
      </c>
      <c r="AY29" s="45">
        <v>3397</v>
      </c>
      <c r="AZ29" s="45">
        <v>5049</v>
      </c>
      <c r="BA29" s="45">
        <v>2011</v>
      </c>
      <c r="BB29" s="45">
        <v>238</v>
      </c>
      <c r="BC29" s="45">
        <v>2810</v>
      </c>
      <c r="BD29" s="45">
        <v>442</v>
      </c>
      <c r="BE29" s="45">
        <v>337</v>
      </c>
      <c r="BF29" s="45">
        <v>240</v>
      </c>
      <c r="BG29" s="45">
        <v>340</v>
      </c>
      <c r="BH29" s="45">
        <v>91</v>
      </c>
      <c r="BI29" s="45">
        <v>915</v>
      </c>
    </row>
    <row r="30" spans="1:61" x14ac:dyDescent="0.2">
      <c r="A30" s="43">
        <v>39052</v>
      </c>
      <c r="B30" s="44">
        <v>500</v>
      </c>
      <c r="C30" s="44">
        <v>290</v>
      </c>
      <c r="D30" s="44">
        <v>360</v>
      </c>
      <c r="E30" s="44">
        <v>230</v>
      </c>
      <c r="F30" s="44">
        <v>343.5</v>
      </c>
      <c r="G30" s="44">
        <v>330</v>
      </c>
      <c r="H30" s="44">
        <v>300</v>
      </c>
      <c r="I30" s="44">
        <v>215</v>
      </c>
      <c r="J30" s="44">
        <v>470</v>
      </c>
      <c r="K30" s="44">
        <v>350</v>
      </c>
      <c r="L30" s="44">
        <v>278</v>
      </c>
      <c r="M30" s="44">
        <v>199</v>
      </c>
      <c r="N30" s="44">
        <v>380</v>
      </c>
      <c r="O30" s="44">
        <v>260</v>
      </c>
      <c r="P30" s="44">
        <v>420.8</v>
      </c>
      <c r="Q30" s="44">
        <v>393.1</v>
      </c>
      <c r="R30" s="44">
        <v>277</v>
      </c>
      <c r="S30" s="44">
        <v>315</v>
      </c>
      <c r="T30" s="44">
        <v>192</v>
      </c>
      <c r="U30" s="44">
        <v>298</v>
      </c>
      <c r="V30" s="44">
        <v>310</v>
      </c>
      <c r="W30" s="44">
        <v>246</v>
      </c>
      <c r="X30" s="44">
        <v>150</v>
      </c>
      <c r="Y30" s="44">
        <v>362.5</v>
      </c>
      <c r="Z30" s="44">
        <v>297</v>
      </c>
      <c r="AA30" s="44">
        <v>231</v>
      </c>
      <c r="AB30" s="44">
        <v>185.5</v>
      </c>
      <c r="AC30" s="44">
        <v>260</v>
      </c>
      <c r="AD30" s="44">
        <v>198</v>
      </c>
      <c r="AE30" s="44">
        <v>317.5</v>
      </c>
      <c r="AF30" s="45">
        <v>11450</v>
      </c>
      <c r="AG30" s="45">
        <v>10374</v>
      </c>
      <c r="AH30" s="45">
        <v>15088</v>
      </c>
      <c r="AI30" s="45">
        <v>7533</v>
      </c>
      <c r="AJ30" s="45">
        <v>9627</v>
      </c>
      <c r="AK30" s="45">
        <v>13529</v>
      </c>
      <c r="AL30" s="45">
        <v>4955</v>
      </c>
      <c r="AM30" s="45">
        <v>2235</v>
      </c>
      <c r="AN30" s="45">
        <v>5860</v>
      </c>
      <c r="AO30" s="45">
        <v>2513</v>
      </c>
      <c r="AP30" s="45">
        <v>971</v>
      </c>
      <c r="AQ30" s="45">
        <v>1556</v>
      </c>
      <c r="AR30" s="45">
        <v>495</v>
      </c>
      <c r="AS30" s="45">
        <v>204</v>
      </c>
      <c r="AT30" s="45">
        <v>1318</v>
      </c>
      <c r="AU30" s="45">
        <v>8884</v>
      </c>
      <c r="AV30" s="45">
        <v>2166</v>
      </c>
      <c r="AW30" s="45">
        <v>7587</v>
      </c>
      <c r="AX30" s="45">
        <v>1107</v>
      </c>
      <c r="AY30" s="45">
        <v>3314</v>
      </c>
      <c r="AZ30" s="45">
        <v>5026</v>
      </c>
      <c r="BA30" s="45">
        <v>1886</v>
      </c>
      <c r="BB30" s="45">
        <v>259</v>
      </c>
      <c r="BC30" s="45">
        <v>2226</v>
      </c>
      <c r="BD30" s="45">
        <v>362</v>
      </c>
      <c r="BE30" s="45">
        <v>318</v>
      </c>
      <c r="BF30" s="45">
        <v>236</v>
      </c>
      <c r="BG30" s="45">
        <v>306</v>
      </c>
      <c r="BH30" s="45">
        <v>71</v>
      </c>
      <c r="BI30" s="45">
        <v>945</v>
      </c>
    </row>
    <row r="31" spans="1:61" x14ac:dyDescent="0.2">
      <c r="A31" s="43">
        <v>39142</v>
      </c>
      <c r="B31" s="44">
        <v>480</v>
      </c>
      <c r="C31" s="44">
        <v>300</v>
      </c>
      <c r="D31" s="44">
        <v>345</v>
      </c>
      <c r="E31" s="44">
        <v>230</v>
      </c>
      <c r="F31" s="44">
        <v>352</v>
      </c>
      <c r="G31" s="44">
        <v>347</v>
      </c>
      <c r="H31" s="44">
        <v>305</v>
      </c>
      <c r="I31" s="44">
        <v>223</v>
      </c>
      <c r="J31" s="44">
        <v>475</v>
      </c>
      <c r="K31" s="44">
        <v>370</v>
      </c>
      <c r="L31" s="44">
        <v>280</v>
      </c>
      <c r="M31" s="44">
        <v>210</v>
      </c>
      <c r="N31" s="44">
        <v>389.5</v>
      </c>
      <c r="O31" s="44">
        <v>250</v>
      </c>
      <c r="P31" s="44">
        <v>430</v>
      </c>
      <c r="Q31" s="44">
        <v>380</v>
      </c>
      <c r="R31" s="44">
        <v>270</v>
      </c>
      <c r="S31" s="44">
        <v>320</v>
      </c>
      <c r="T31" s="44">
        <v>200</v>
      </c>
      <c r="U31" s="44">
        <v>305</v>
      </c>
      <c r="V31" s="44">
        <v>320</v>
      </c>
      <c r="W31" s="44">
        <v>245</v>
      </c>
      <c r="X31" s="44">
        <v>150</v>
      </c>
      <c r="Y31" s="44">
        <v>370</v>
      </c>
      <c r="Z31" s="44">
        <v>285</v>
      </c>
      <c r="AA31" s="44">
        <v>240</v>
      </c>
      <c r="AB31" s="44">
        <v>184</v>
      </c>
      <c r="AC31" s="44">
        <v>280</v>
      </c>
      <c r="AD31" s="44">
        <v>232.8</v>
      </c>
      <c r="AE31" s="44">
        <v>325</v>
      </c>
      <c r="AF31" s="45">
        <v>11641</v>
      </c>
      <c r="AG31" s="45">
        <v>10605</v>
      </c>
      <c r="AH31" s="45">
        <v>15291</v>
      </c>
      <c r="AI31" s="45">
        <v>8528</v>
      </c>
      <c r="AJ31" s="45">
        <v>12341</v>
      </c>
      <c r="AK31" s="45">
        <v>15869</v>
      </c>
      <c r="AL31" s="45">
        <v>5396</v>
      </c>
      <c r="AM31" s="45">
        <v>2363</v>
      </c>
      <c r="AN31" s="45">
        <v>6548</v>
      </c>
      <c r="AO31" s="45">
        <v>2693</v>
      </c>
      <c r="AP31" s="45">
        <v>1210</v>
      </c>
      <c r="AQ31" s="45">
        <v>1775</v>
      </c>
      <c r="AR31" s="45">
        <v>496</v>
      </c>
      <c r="AS31" s="45">
        <v>183</v>
      </c>
      <c r="AT31" s="45">
        <v>1308</v>
      </c>
      <c r="AU31" s="45">
        <v>9065</v>
      </c>
      <c r="AV31" s="45">
        <v>2339</v>
      </c>
      <c r="AW31" s="45">
        <v>8296</v>
      </c>
      <c r="AX31" s="45">
        <v>1267</v>
      </c>
      <c r="AY31" s="45">
        <v>4020</v>
      </c>
      <c r="AZ31" s="45">
        <v>6339</v>
      </c>
      <c r="BA31" s="45">
        <v>2135</v>
      </c>
      <c r="BB31" s="45">
        <v>303</v>
      </c>
      <c r="BC31" s="45">
        <v>2428</v>
      </c>
      <c r="BD31" s="45">
        <v>362</v>
      </c>
      <c r="BE31" s="45">
        <v>406</v>
      </c>
      <c r="BF31" s="45">
        <v>285</v>
      </c>
      <c r="BG31" s="45">
        <v>406</v>
      </c>
      <c r="BH31" s="45">
        <v>86</v>
      </c>
      <c r="BI31" s="45">
        <v>1076</v>
      </c>
    </row>
    <row r="32" spans="1:61" x14ac:dyDescent="0.2">
      <c r="A32" s="43">
        <v>39234</v>
      </c>
      <c r="B32" s="44">
        <v>512.29999999999995</v>
      </c>
      <c r="C32" s="44">
        <v>300</v>
      </c>
      <c r="D32" s="44">
        <v>362</v>
      </c>
      <c r="E32" s="44">
        <v>230</v>
      </c>
      <c r="F32" s="44">
        <v>375</v>
      </c>
      <c r="G32" s="44">
        <v>365</v>
      </c>
      <c r="H32" s="44">
        <v>315</v>
      </c>
      <c r="I32" s="44">
        <v>223.3</v>
      </c>
      <c r="J32" s="44">
        <v>465</v>
      </c>
      <c r="K32" s="44">
        <v>374</v>
      </c>
      <c r="L32" s="44">
        <v>291.5</v>
      </c>
      <c r="M32" s="44">
        <v>220</v>
      </c>
      <c r="N32" s="44">
        <v>395</v>
      </c>
      <c r="O32" s="44">
        <v>278.8</v>
      </c>
      <c r="P32" s="44">
        <v>445</v>
      </c>
      <c r="Q32" s="44">
        <v>395</v>
      </c>
      <c r="R32" s="44">
        <v>280</v>
      </c>
      <c r="S32" s="44">
        <v>340</v>
      </c>
      <c r="T32" s="44">
        <v>201</v>
      </c>
      <c r="U32" s="44">
        <v>325</v>
      </c>
      <c r="V32" s="44">
        <v>327</v>
      </c>
      <c r="W32" s="44">
        <v>265</v>
      </c>
      <c r="X32" s="44">
        <v>156</v>
      </c>
      <c r="Y32" s="44">
        <v>370</v>
      </c>
      <c r="Z32" s="44">
        <v>299</v>
      </c>
      <c r="AA32" s="44">
        <v>240</v>
      </c>
      <c r="AB32" s="44">
        <v>191</v>
      </c>
      <c r="AC32" s="44">
        <v>302.5</v>
      </c>
      <c r="AD32" s="44">
        <v>213</v>
      </c>
      <c r="AE32" s="44">
        <v>355</v>
      </c>
      <c r="AF32" s="45">
        <v>13978</v>
      </c>
      <c r="AG32" s="45">
        <v>11810</v>
      </c>
      <c r="AH32" s="45">
        <v>17528</v>
      </c>
      <c r="AI32" s="45">
        <v>8752</v>
      </c>
      <c r="AJ32" s="45">
        <v>11698</v>
      </c>
      <c r="AK32" s="45">
        <v>14731</v>
      </c>
      <c r="AL32" s="45">
        <v>5762</v>
      </c>
      <c r="AM32" s="45">
        <v>2464</v>
      </c>
      <c r="AN32" s="45">
        <v>6139</v>
      </c>
      <c r="AO32" s="45">
        <v>2753</v>
      </c>
      <c r="AP32" s="45">
        <v>1195</v>
      </c>
      <c r="AQ32" s="45">
        <v>1665</v>
      </c>
      <c r="AR32" s="45">
        <v>450</v>
      </c>
      <c r="AS32" s="45">
        <v>172</v>
      </c>
      <c r="AT32" s="45">
        <v>1260</v>
      </c>
      <c r="AU32" s="45">
        <v>11923</v>
      </c>
      <c r="AV32" s="45">
        <v>2541</v>
      </c>
      <c r="AW32" s="45">
        <v>10408</v>
      </c>
      <c r="AX32" s="45">
        <v>1188</v>
      </c>
      <c r="AY32" s="45">
        <v>4227</v>
      </c>
      <c r="AZ32" s="45">
        <v>6132</v>
      </c>
      <c r="BA32" s="45">
        <v>2196</v>
      </c>
      <c r="BB32" s="45">
        <v>348</v>
      </c>
      <c r="BC32" s="45">
        <v>2206</v>
      </c>
      <c r="BD32" s="45">
        <v>339</v>
      </c>
      <c r="BE32" s="45">
        <v>394</v>
      </c>
      <c r="BF32" s="45">
        <v>253</v>
      </c>
      <c r="BG32" s="45">
        <v>450</v>
      </c>
      <c r="BH32" s="45">
        <v>85</v>
      </c>
      <c r="BI32" s="45">
        <v>1136</v>
      </c>
    </row>
    <row r="33" spans="1:61" x14ac:dyDescent="0.2">
      <c r="A33" s="43">
        <v>39326</v>
      </c>
      <c r="B33" s="44">
        <v>514</v>
      </c>
      <c r="C33" s="44">
        <v>300</v>
      </c>
      <c r="D33" s="44">
        <v>370</v>
      </c>
      <c r="E33" s="44">
        <v>233.5</v>
      </c>
      <c r="F33" s="44">
        <v>390</v>
      </c>
      <c r="G33" s="44">
        <v>376</v>
      </c>
      <c r="H33" s="44">
        <v>335</v>
      </c>
      <c r="I33" s="44">
        <v>228</v>
      </c>
      <c r="J33" s="44">
        <v>475</v>
      </c>
      <c r="K33" s="44">
        <v>376.4</v>
      </c>
      <c r="L33" s="44">
        <v>285</v>
      </c>
      <c r="M33" s="44">
        <v>220</v>
      </c>
      <c r="N33" s="44">
        <v>400</v>
      </c>
      <c r="O33" s="44">
        <v>270</v>
      </c>
      <c r="P33" s="44">
        <v>460</v>
      </c>
      <c r="Q33" s="44">
        <v>400</v>
      </c>
      <c r="R33" s="44">
        <v>275</v>
      </c>
      <c r="S33" s="44">
        <v>345</v>
      </c>
      <c r="T33" s="44">
        <v>205</v>
      </c>
      <c r="U33" s="44">
        <v>340</v>
      </c>
      <c r="V33" s="44">
        <v>330</v>
      </c>
      <c r="W33" s="44">
        <v>285</v>
      </c>
      <c r="X33" s="44">
        <v>166.6</v>
      </c>
      <c r="Y33" s="44">
        <v>376</v>
      </c>
      <c r="Z33" s="44">
        <v>307.3</v>
      </c>
      <c r="AA33" s="44">
        <v>250</v>
      </c>
      <c r="AB33" s="44">
        <v>190</v>
      </c>
      <c r="AC33" s="44">
        <v>310</v>
      </c>
      <c r="AD33" s="44">
        <v>219</v>
      </c>
      <c r="AE33" s="44">
        <v>365</v>
      </c>
      <c r="AF33" s="45">
        <v>13014</v>
      </c>
      <c r="AG33" s="45">
        <v>11531</v>
      </c>
      <c r="AH33" s="45">
        <v>17375</v>
      </c>
      <c r="AI33" s="45">
        <v>8675</v>
      </c>
      <c r="AJ33" s="45">
        <v>11840</v>
      </c>
      <c r="AK33" s="45">
        <v>15139</v>
      </c>
      <c r="AL33" s="45">
        <v>5457</v>
      </c>
      <c r="AM33" s="45">
        <v>2394</v>
      </c>
      <c r="AN33" s="45">
        <v>6151</v>
      </c>
      <c r="AO33" s="45">
        <v>2813</v>
      </c>
      <c r="AP33" s="45">
        <v>1062</v>
      </c>
      <c r="AQ33" s="45">
        <v>1738</v>
      </c>
      <c r="AR33" s="45">
        <v>464</v>
      </c>
      <c r="AS33" s="45">
        <v>211</v>
      </c>
      <c r="AT33" s="45">
        <v>1259</v>
      </c>
      <c r="AU33" s="45">
        <v>11817</v>
      </c>
      <c r="AV33" s="45">
        <v>2552</v>
      </c>
      <c r="AW33" s="45">
        <v>11507</v>
      </c>
      <c r="AX33" s="45">
        <v>1369</v>
      </c>
      <c r="AY33" s="45">
        <v>4321</v>
      </c>
      <c r="AZ33" s="45">
        <v>6512</v>
      </c>
      <c r="BA33" s="45">
        <v>2136</v>
      </c>
      <c r="BB33" s="45">
        <v>324</v>
      </c>
      <c r="BC33" s="45">
        <v>2041</v>
      </c>
      <c r="BD33" s="45">
        <v>426</v>
      </c>
      <c r="BE33" s="45">
        <v>414</v>
      </c>
      <c r="BF33" s="45">
        <v>301</v>
      </c>
      <c r="BG33" s="45">
        <v>452</v>
      </c>
      <c r="BH33" s="45">
        <v>95</v>
      </c>
      <c r="BI33" s="45">
        <v>959</v>
      </c>
    </row>
    <row r="34" spans="1:61" x14ac:dyDescent="0.2">
      <c r="A34" s="43">
        <v>39417</v>
      </c>
      <c r="B34" s="44">
        <v>540</v>
      </c>
      <c r="C34" s="44">
        <v>310</v>
      </c>
      <c r="D34" s="44">
        <v>410</v>
      </c>
      <c r="E34" s="44">
        <v>245</v>
      </c>
      <c r="F34" s="44">
        <v>415</v>
      </c>
      <c r="G34" s="44">
        <v>380</v>
      </c>
      <c r="H34" s="44">
        <v>358</v>
      </c>
      <c r="I34" s="44">
        <v>245</v>
      </c>
      <c r="J34" s="44">
        <v>480</v>
      </c>
      <c r="K34" s="44">
        <v>379.5</v>
      </c>
      <c r="L34" s="44">
        <v>310</v>
      </c>
      <c r="M34" s="44">
        <v>230</v>
      </c>
      <c r="N34" s="44">
        <v>418.5</v>
      </c>
      <c r="O34" s="44">
        <v>289</v>
      </c>
      <c r="P34" s="44">
        <v>468</v>
      </c>
      <c r="Q34" s="44">
        <v>410</v>
      </c>
      <c r="R34" s="44">
        <v>292</v>
      </c>
      <c r="S34" s="44">
        <v>365</v>
      </c>
      <c r="T34" s="44">
        <v>210</v>
      </c>
      <c r="U34" s="44">
        <v>357</v>
      </c>
      <c r="V34" s="44">
        <v>348</v>
      </c>
      <c r="W34" s="44">
        <v>290</v>
      </c>
      <c r="X34" s="44">
        <v>169.5</v>
      </c>
      <c r="Y34" s="44">
        <v>385</v>
      </c>
      <c r="Z34" s="44">
        <v>319.5</v>
      </c>
      <c r="AA34" s="44">
        <v>260</v>
      </c>
      <c r="AB34" s="44">
        <v>196.3</v>
      </c>
      <c r="AC34" s="44">
        <v>307.5</v>
      </c>
      <c r="AD34" s="44">
        <v>210</v>
      </c>
      <c r="AE34" s="44">
        <v>365</v>
      </c>
      <c r="AF34" s="45">
        <v>12960</v>
      </c>
      <c r="AG34" s="45">
        <v>11322</v>
      </c>
      <c r="AH34" s="45">
        <v>18143</v>
      </c>
      <c r="AI34" s="45">
        <v>8973</v>
      </c>
      <c r="AJ34" s="45">
        <v>10406</v>
      </c>
      <c r="AK34" s="45">
        <v>13608</v>
      </c>
      <c r="AL34" s="45">
        <v>5334</v>
      </c>
      <c r="AM34" s="45">
        <v>2373</v>
      </c>
      <c r="AN34" s="45">
        <v>6314</v>
      </c>
      <c r="AO34" s="45">
        <v>2500</v>
      </c>
      <c r="AP34" s="45">
        <v>1096</v>
      </c>
      <c r="AQ34" s="45">
        <v>1669</v>
      </c>
      <c r="AR34" s="45">
        <v>411</v>
      </c>
      <c r="AS34" s="45">
        <v>187</v>
      </c>
      <c r="AT34" s="45">
        <v>1380</v>
      </c>
      <c r="AU34" s="45">
        <v>11523</v>
      </c>
      <c r="AV34" s="45">
        <v>2470</v>
      </c>
      <c r="AW34" s="45">
        <v>11227</v>
      </c>
      <c r="AX34" s="45">
        <v>1372</v>
      </c>
      <c r="AY34" s="45">
        <v>3686</v>
      </c>
      <c r="AZ34" s="45">
        <v>5485</v>
      </c>
      <c r="BA34" s="45">
        <v>2029</v>
      </c>
      <c r="BB34" s="45">
        <v>330</v>
      </c>
      <c r="BC34" s="45">
        <v>2106</v>
      </c>
      <c r="BD34" s="45">
        <v>320</v>
      </c>
      <c r="BE34" s="45">
        <v>311</v>
      </c>
      <c r="BF34" s="45">
        <v>252</v>
      </c>
      <c r="BG34" s="45">
        <v>375</v>
      </c>
      <c r="BH34" s="45">
        <v>73</v>
      </c>
      <c r="BI34" s="45">
        <v>1022</v>
      </c>
    </row>
    <row r="35" spans="1:61" x14ac:dyDescent="0.2">
      <c r="A35" s="43">
        <v>39508</v>
      </c>
      <c r="B35" s="44">
        <v>495</v>
      </c>
      <c r="C35" s="44">
        <v>308</v>
      </c>
      <c r="D35" s="44">
        <v>385</v>
      </c>
      <c r="E35" s="44">
        <v>243.5</v>
      </c>
      <c r="F35" s="44">
        <v>425</v>
      </c>
      <c r="G35" s="44">
        <v>380</v>
      </c>
      <c r="H35" s="44">
        <v>360</v>
      </c>
      <c r="I35" s="44">
        <v>250</v>
      </c>
      <c r="J35" s="44">
        <v>470</v>
      </c>
      <c r="K35" s="44">
        <v>390</v>
      </c>
      <c r="L35" s="44">
        <v>308.5</v>
      </c>
      <c r="M35" s="44">
        <v>239.5</v>
      </c>
      <c r="N35" s="44">
        <v>420</v>
      </c>
      <c r="O35" s="44">
        <v>285</v>
      </c>
      <c r="P35" s="44">
        <v>470</v>
      </c>
      <c r="Q35" s="44">
        <v>397.5</v>
      </c>
      <c r="R35" s="44">
        <v>288.3</v>
      </c>
      <c r="S35" s="44">
        <v>360</v>
      </c>
      <c r="T35" s="44">
        <v>229</v>
      </c>
      <c r="U35" s="44">
        <v>360</v>
      </c>
      <c r="V35" s="44">
        <v>355</v>
      </c>
      <c r="W35" s="44">
        <v>295</v>
      </c>
      <c r="X35" s="44">
        <v>175</v>
      </c>
      <c r="Y35" s="44">
        <v>380</v>
      </c>
      <c r="Z35" s="44">
        <v>320</v>
      </c>
      <c r="AA35" s="44">
        <v>245</v>
      </c>
      <c r="AB35" s="44">
        <v>200</v>
      </c>
      <c r="AC35" s="44">
        <v>306.3</v>
      </c>
      <c r="AD35" s="44">
        <v>225</v>
      </c>
      <c r="AE35" s="44">
        <v>370</v>
      </c>
      <c r="AF35" s="45">
        <v>9631</v>
      </c>
      <c r="AG35" s="45">
        <v>9338</v>
      </c>
      <c r="AH35" s="45">
        <v>13154</v>
      </c>
      <c r="AI35" s="45">
        <v>7639</v>
      </c>
      <c r="AJ35" s="45">
        <v>8405</v>
      </c>
      <c r="AK35" s="45">
        <v>10820</v>
      </c>
      <c r="AL35" s="45">
        <v>4567</v>
      </c>
      <c r="AM35" s="45">
        <v>2156</v>
      </c>
      <c r="AN35" s="45">
        <v>5487</v>
      </c>
      <c r="AO35" s="45">
        <v>2139</v>
      </c>
      <c r="AP35" s="45">
        <v>939</v>
      </c>
      <c r="AQ35" s="45">
        <v>1488</v>
      </c>
      <c r="AR35" s="45">
        <v>357</v>
      </c>
      <c r="AS35" s="45">
        <v>174</v>
      </c>
      <c r="AT35" s="45">
        <v>960</v>
      </c>
      <c r="AU35" s="45">
        <v>8753</v>
      </c>
      <c r="AV35" s="45">
        <v>2166</v>
      </c>
      <c r="AW35" s="45">
        <v>7886</v>
      </c>
      <c r="AX35" s="45">
        <v>1159</v>
      </c>
      <c r="AY35" s="45">
        <v>2691</v>
      </c>
      <c r="AZ35" s="45">
        <v>4622</v>
      </c>
      <c r="BA35" s="45">
        <v>1834</v>
      </c>
      <c r="BB35" s="45">
        <v>307</v>
      </c>
      <c r="BC35" s="45">
        <v>1901</v>
      </c>
      <c r="BD35" s="45">
        <v>308</v>
      </c>
      <c r="BE35" s="45">
        <v>325</v>
      </c>
      <c r="BF35" s="45">
        <v>223</v>
      </c>
      <c r="BG35" s="45">
        <v>348</v>
      </c>
      <c r="BH35" s="45">
        <v>87</v>
      </c>
      <c r="BI35" s="45">
        <v>776</v>
      </c>
    </row>
    <row r="36" spans="1:61" x14ac:dyDescent="0.2">
      <c r="A36" s="43">
        <v>39600</v>
      </c>
      <c r="B36" s="44">
        <v>517</v>
      </c>
      <c r="C36" s="44">
        <v>305</v>
      </c>
      <c r="D36" s="44">
        <v>400</v>
      </c>
      <c r="E36" s="44">
        <v>239</v>
      </c>
      <c r="F36" s="44">
        <v>425</v>
      </c>
      <c r="G36" s="44">
        <v>380</v>
      </c>
      <c r="H36" s="44">
        <v>365</v>
      </c>
      <c r="I36" s="44">
        <v>240</v>
      </c>
      <c r="J36" s="44">
        <v>455</v>
      </c>
      <c r="K36" s="44">
        <v>360</v>
      </c>
      <c r="L36" s="44">
        <v>305</v>
      </c>
      <c r="M36" s="44">
        <v>230</v>
      </c>
      <c r="N36" s="44">
        <v>422.3</v>
      </c>
      <c r="O36" s="44">
        <v>285</v>
      </c>
      <c r="P36" s="44">
        <v>474</v>
      </c>
      <c r="Q36" s="44">
        <v>395</v>
      </c>
      <c r="R36" s="44">
        <v>272.3</v>
      </c>
      <c r="S36" s="44">
        <v>360</v>
      </c>
      <c r="T36" s="44">
        <v>210</v>
      </c>
      <c r="U36" s="44">
        <v>367</v>
      </c>
      <c r="V36" s="44">
        <v>355</v>
      </c>
      <c r="W36" s="44">
        <v>290</v>
      </c>
      <c r="X36" s="44">
        <v>173.8</v>
      </c>
      <c r="Y36" s="44">
        <v>372.3</v>
      </c>
      <c r="Z36" s="44">
        <v>313</v>
      </c>
      <c r="AA36" s="44">
        <v>257</v>
      </c>
      <c r="AB36" s="44">
        <v>205</v>
      </c>
      <c r="AC36" s="44">
        <v>310</v>
      </c>
      <c r="AD36" s="44">
        <v>222.5</v>
      </c>
      <c r="AE36" s="44">
        <v>352</v>
      </c>
      <c r="AF36" s="45">
        <v>10618</v>
      </c>
      <c r="AG36" s="45">
        <v>8501</v>
      </c>
      <c r="AH36" s="45">
        <v>14039</v>
      </c>
      <c r="AI36" s="45">
        <v>7134</v>
      </c>
      <c r="AJ36" s="45">
        <v>6616</v>
      </c>
      <c r="AK36" s="45">
        <v>7770</v>
      </c>
      <c r="AL36" s="45">
        <v>4437</v>
      </c>
      <c r="AM36" s="45">
        <v>1703</v>
      </c>
      <c r="AN36" s="45">
        <v>4356</v>
      </c>
      <c r="AO36" s="45">
        <v>1738</v>
      </c>
      <c r="AP36" s="45">
        <v>811</v>
      </c>
      <c r="AQ36" s="45">
        <v>1369</v>
      </c>
      <c r="AR36" s="45">
        <v>388</v>
      </c>
      <c r="AS36" s="45">
        <v>175</v>
      </c>
      <c r="AT36" s="45">
        <v>1021</v>
      </c>
      <c r="AU36" s="45">
        <v>9971</v>
      </c>
      <c r="AV36" s="45">
        <v>1842</v>
      </c>
      <c r="AW36" s="45">
        <v>8465</v>
      </c>
      <c r="AX36" s="45">
        <v>1082</v>
      </c>
      <c r="AY36" s="45">
        <v>2198</v>
      </c>
      <c r="AZ36" s="45">
        <v>3266</v>
      </c>
      <c r="BA36" s="45">
        <v>1662</v>
      </c>
      <c r="BB36" s="45">
        <v>202</v>
      </c>
      <c r="BC36" s="45">
        <v>1478</v>
      </c>
      <c r="BD36" s="45">
        <v>240</v>
      </c>
      <c r="BE36" s="45">
        <v>267</v>
      </c>
      <c r="BF36" s="45">
        <v>172</v>
      </c>
      <c r="BG36" s="45">
        <v>296</v>
      </c>
      <c r="BH36" s="45">
        <v>80</v>
      </c>
      <c r="BI36" s="45">
        <v>965</v>
      </c>
    </row>
    <row r="37" spans="1:61" x14ac:dyDescent="0.2">
      <c r="A37" s="43">
        <v>39692</v>
      </c>
      <c r="B37" s="44">
        <v>482</v>
      </c>
      <c r="C37" s="44">
        <v>297.5</v>
      </c>
      <c r="D37" s="44">
        <v>385</v>
      </c>
      <c r="E37" s="44">
        <v>235</v>
      </c>
      <c r="F37" s="44">
        <v>410</v>
      </c>
      <c r="G37" s="44">
        <v>365</v>
      </c>
      <c r="H37" s="44">
        <v>360</v>
      </c>
      <c r="I37" s="44">
        <v>245</v>
      </c>
      <c r="J37" s="44">
        <v>440</v>
      </c>
      <c r="K37" s="44">
        <v>365</v>
      </c>
      <c r="L37" s="44">
        <v>292.5</v>
      </c>
      <c r="M37" s="44">
        <v>235</v>
      </c>
      <c r="N37" s="44">
        <v>430</v>
      </c>
      <c r="O37" s="44">
        <v>285</v>
      </c>
      <c r="P37" s="44">
        <v>447</v>
      </c>
      <c r="Q37" s="44">
        <v>385</v>
      </c>
      <c r="R37" s="44">
        <v>280</v>
      </c>
      <c r="S37" s="44">
        <v>365</v>
      </c>
      <c r="T37" s="44">
        <v>198</v>
      </c>
      <c r="U37" s="44">
        <v>350</v>
      </c>
      <c r="V37" s="44">
        <v>340</v>
      </c>
      <c r="W37" s="44">
        <v>315.10000000000002</v>
      </c>
      <c r="X37" s="44">
        <v>190</v>
      </c>
      <c r="Y37" s="44">
        <v>360</v>
      </c>
      <c r="Z37" s="44">
        <v>300</v>
      </c>
      <c r="AA37" s="44">
        <v>240</v>
      </c>
      <c r="AB37" s="44">
        <v>200</v>
      </c>
      <c r="AC37" s="44">
        <v>348</v>
      </c>
      <c r="AD37" s="44">
        <v>220</v>
      </c>
      <c r="AE37" s="44">
        <v>365</v>
      </c>
      <c r="AF37" s="45">
        <v>10653</v>
      </c>
      <c r="AG37" s="45">
        <v>8156</v>
      </c>
      <c r="AH37" s="45">
        <v>13119</v>
      </c>
      <c r="AI37" s="45">
        <v>6418</v>
      </c>
      <c r="AJ37" s="45">
        <v>7103</v>
      </c>
      <c r="AK37" s="45">
        <v>9421</v>
      </c>
      <c r="AL37" s="45">
        <v>4166</v>
      </c>
      <c r="AM37" s="45">
        <v>1542</v>
      </c>
      <c r="AN37" s="45">
        <v>5020</v>
      </c>
      <c r="AO37" s="45">
        <v>1929</v>
      </c>
      <c r="AP37" s="45">
        <v>782</v>
      </c>
      <c r="AQ37" s="45">
        <v>1220</v>
      </c>
      <c r="AR37" s="45">
        <v>439</v>
      </c>
      <c r="AS37" s="45">
        <v>162</v>
      </c>
      <c r="AT37" s="45">
        <v>1000</v>
      </c>
      <c r="AU37" s="45">
        <v>9828</v>
      </c>
      <c r="AV37" s="45">
        <v>1761</v>
      </c>
      <c r="AW37" s="45">
        <v>7748</v>
      </c>
      <c r="AX37" s="45">
        <v>1003</v>
      </c>
      <c r="AY37" s="45">
        <v>2450</v>
      </c>
      <c r="AZ37" s="45">
        <v>3392</v>
      </c>
      <c r="BA37" s="45">
        <v>1788</v>
      </c>
      <c r="BB37" s="45">
        <v>181</v>
      </c>
      <c r="BC37" s="45">
        <v>1643</v>
      </c>
      <c r="BD37" s="45">
        <v>259</v>
      </c>
      <c r="BE37" s="45">
        <v>251</v>
      </c>
      <c r="BF37" s="45">
        <v>185</v>
      </c>
      <c r="BG37" s="45">
        <v>367</v>
      </c>
      <c r="BH37" s="45">
        <v>72</v>
      </c>
      <c r="BI37" s="45">
        <v>758</v>
      </c>
    </row>
    <row r="38" spans="1:61" x14ac:dyDescent="0.2">
      <c r="A38" s="43">
        <v>39783</v>
      </c>
      <c r="B38" s="44">
        <v>468</v>
      </c>
      <c r="C38" s="44">
        <v>290</v>
      </c>
      <c r="D38" s="44">
        <v>385</v>
      </c>
      <c r="E38" s="44">
        <v>236</v>
      </c>
      <c r="F38" s="44">
        <v>399</v>
      </c>
      <c r="G38" s="44">
        <v>365</v>
      </c>
      <c r="H38" s="44">
        <v>355</v>
      </c>
      <c r="I38" s="44">
        <v>245</v>
      </c>
      <c r="J38" s="44">
        <v>425</v>
      </c>
      <c r="K38" s="44">
        <v>351</v>
      </c>
      <c r="L38" s="44">
        <v>300</v>
      </c>
      <c r="M38" s="44">
        <v>225</v>
      </c>
      <c r="N38" s="44">
        <v>445</v>
      </c>
      <c r="O38" s="44">
        <v>296.8</v>
      </c>
      <c r="P38" s="44">
        <v>450</v>
      </c>
      <c r="Q38" s="44">
        <v>373</v>
      </c>
      <c r="R38" s="44">
        <v>280</v>
      </c>
      <c r="S38" s="44">
        <v>350</v>
      </c>
      <c r="T38" s="44">
        <v>195</v>
      </c>
      <c r="U38" s="44">
        <v>350</v>
      </c>
      <c r="V38" s="44">
        <v>316</v>
      </c>
      <c r="W38" s="44">
        <v>300.8</v>
      </c>
      <c r="X38" s="44">
        <v>202</v>
      </c>
      <c r="Y38" s="44">
        <v>350</v>
      </c>
      <c r="Z38" s="44">
        <v>300</v>
      </c>
      <c r="AA38" s="44">
        <v>245</v>
      </c>
      <c r="AB38" s="44">
        <v>200</v>
      </c>
      <c r="AC38" s="44">
        <v>329</v>
      </c>
      <c r="AD38" s="44">
        <v>240</v>
      </c>
      <c r="AE38" s="44">
        <v>360.5</v>
      </c>
      <c r="AF38" s="45">
        <v>11240</v>
      </c>
      <c r="AG38" s="45">
        <v>8893</v>
      </c>
      <c r="AH38" s="45">
        <v>13092</v>
      </c>
      <c r="AI38" s="45">
        <v>6793</v>
      </c>
      <c r="AJ38" s="45">
        <v>6938</v>
      </c>
      <c r="AK38" s="45">
        <v>9240</v>
      </c>
      <c r="AL38" s="45">
        <v>4225</v>
      </c>
      <c r="AM38" s="45">
        <v>1670</v>
      </c>
      <c r="AN38" s="45">
        <v>4254</v>
      </c>
      <c r="AO38" s="45">
        <v>1707</v>
      </c>
      <c r="AP38" s="45">
        <v>860</v>
      </c>
      <c r="AQ38" s="45">
        <v>1353</v>
      </c>
      <c r="AR38" s="45">
        <v>459</v>
      </c>
      <c r="AS38" s="45">
        <v>169</v>
      </c>
      <c r="AT38" s="45">
        <v>988</v>
      </c>
      <c r="AU38" s="45">
        <v>10127</v>
      </c>
      <c r="AV38" s="45">
        <v>1907</v>
      </c>
      <c r="AW38" s="45">
        <v>7470</v>
      </c>
      <c r="AX38" s="45">
        <v>1029</v>
      </c>
      <c r="AY38" s="45">
        <v>2463</v>
      </c>
      <c r="AZ38" s="45">
        <v>3233</v>
      </c>
      <c r="BA38" s="45">
        <v>1720</v>
      </c>
      <c r="BB38" s="45">
        <v>228</v>
      </c>
      <c r="BC38" s="45">
        <v>1406</v>
      </c>
      <c r="BD38" s="45">
        <v>217</v>
      </c>
      <c r="BE38" s="45">
        <v>320</v>
      </c>
      <c r="BF38" s="45">
        <v>215</v>
      </c>
      <c r="BG38" s="45">
        <v>328</v>
      </c>
      <c r="BH38" s="45">
        <v>71</v>
      </c>
      <c r="BI38" s="45">
        <v>715</v>
      </c>
    </row>
    <row r="39" spans="1:61" x14ac:dyDescent="0.2">
      <c r="A39" s="43">
        <v>39873</v>
      </c>
      <c r="B39" s="44">
        <v>448</v>
      </c>
      <c r="C39" s="44">
        <v>300</v>
      </c>
      <c r="D39" s="44">
        <v>375</v>
      </c>
      <c r="E39" s="44">
        <v>238</v>
      </c>
      <c r="F39" s="44">
        <v>400</v>
      </c>
      <c r="G39" s="44">
        <v>370</v>
      </c>
      <c r="H39" s="44">
        <v>353.5</v>
      </c>
      <c r="I39" s="44">
        <v>248</v>
      </c>
      <c r="J39" s="44">
        <v>439</v>
      </c>
      <c r="K39" s="44">
        <v>360</v>
      </c>
      <c r="L39" s="44">
        <v>296.5</v>
      </c>
      <c r="M39" s="44">
        <v>235</v>
      </c>
      <c r="N39" s="44">
        <v>455</v>
      </c>
      <c r="O39" s="44">
        <v>321</v>
      </c>
      <c r="P39" s="44">
        <v>459.5</v>
      </c>
      <c r="Q39" s="44">
        <v>380</v>
      </c>
      <c r="R39" s="44">
        <v>270.5</v>
      </c>
      <c r="S39" s="44">
        <v>348</v>
      </c>
      <c r="T39" s="44">
        <v>210</v>
      </c>
      <c r="U39" s="44">
        <v>349.8</v>
      </c>
      <c r="V39" s="44">
        <v>324</v>
      </c>
      <c r="W39" s="44">
        <v>300</v>
      </c>
      <c r="X39" s="44">
        <v>175</v>
      </c>
      <c r="Y39" s="44">
        <v>350</v>
      </c>
      <c r="Z39" s="44">
        <v>315</v>
      </c>
      <c r="AA39" s="44">
        <v>255</v>
      </c>
      <c r="AB39" s="44">
        <v>213</v>
      </c>
      <c r="AC39" s="44">
        <v>370</v>
      </c>
      <c r="AD39" s="44">
        <v>249</v>
      </c>
      <c r="AE39" s="44">
        <v>372.5</v>
      </c>
      <c r="AF39" s="45">
        <v>12259</v>
      </c>
      <c r="AG39" s="45">
        <v>10211</v>
      </c>
      <c r="AH39" s="45">
        <v>13091</v>
      </c>
      <c r="AI39" s="45">
        <v>7329</v>
      </c>
      <c r="AJ39" s="45">
        <v>9329</v>
      </c>
      <c r="AK39" s="45">
        <v>11278</v>
      </c>
      <c r="AL39" s="45">
        <v>4585</v>
      </c>
      <c r="AM39" s="45">
        <v>2048</v>
      </c>
      <c r="AN39" s="45">
        <v>5916</v>
      </c>
      <c r="AO39" s="45">
        <v>2164</v>
      </c>
      <c r="AP39" s="45">
        <v>1100</v>
      </c>
      <c r="AQ39" s="45">
        <v>1634</v>
      </c>
      <c r="AR39" s="45">
        <v>425</v>
      </c>
      <c r="AS39" s="45">
        <v>198</v>
      </c>
      <c r="AT39" s="45">
        <v>1122</v>
      </c>
      <c r="AU39" s="45">
        <v>11641</v>
      </c>
      <c r="AV39" s="45">
        <v>2324</v>
      </c>
      <c r="AW39" s="45">
        <v>7684</v>
      </c>
      <c r="AX39" s="45">
        <v>1270</v>
      </c>
      <c r="AY39" s="45">
        <v>3162</v>
      </c>
      <c r="AZ39" s="45">
        <v>4165</v>
      </c>
      <c r="BA39" s="45">
        <v>1865</v>
      </c>
      <c r="BB39" s="45">
        <v>223</v>
      </c>
      <c r="BC39" s="45">
        <v>1989</v>
      </c>
      <c r="BD39" s="45">
        <v>288</v>
      </c>
      <c r="BE39" s="45">
        <v>436</v>
      </c>
      <c r="BF39" s="45">
        <v>312</v>
      </c>
      <c r="BG39" s="45">
        <v>421</v>
      </c>
      <c r="BH39" s="45">
        <v>87</v>
      </c>
      <c r="BI39" s="45">
        <v>849</v>
      </c>
    </row>
    <row r="40" spans="1:61" x14ac:dyDescent="0.2">
      <c r="A40" s="43">
        <v>39965</v>
      </c>
      <c r="B40" s="44">
        <v>490</v>
      </c>
      <c r="C40" s="44">
        <v>300</v>
      </c>
      <c r="D40" s="44">
        <v>400</v>
      </c>
      <c r="E40" s="44">
        <v>245</v>
      </c>
      <c r="F40" s="44">
        <v>420</v>
      </c>
      <c r="G40" s="44">
        <v>372.8</v>
      </c>
      <c r="H40" s="44">
        <v>363</v>
      </c>
      <c r="I40" s="44">
        <v>245</v>
      </c>
      <c r="J40" s="44">
        <v>455</v>
      </c>
      <c r="K40" s="44">
        <v>370</v>
      </c>
      <c r="L40" s="44">
        <v>310</v>
      </c>
      <c r="M40" s="44">
        <v>240</v>
      </c>
      <c r="N40" s="44">
        <v>465</v>
      </c>
      <c r="O40" s="44">
        <v>335</v>
      </c>
      <c r="P40" s="44">
        <v>455</v>
      </c>
      <c r="Q40" s="44">
        <v>398</v>
      </c>
      <c r="R40" s="44">
        <v>280</v>
      </c>
      <c r="S40" s="44">
        <v>379.5</v>
      </c>
      <c r="T40" s="44">
        <v>217.8</v>
      </c>
      <c r="U40" s="44">
        <v>365</v>
      </c>
      <c r="V40" s="44">
        <v>330</v>
      </c>
      <c r="W40" s="44">
        <v>310</v>
      </c>
      <c r="X40" s="44">
        <v>174.5</v>
      </c>
      <c r="Y40" s="44">
        <v>380</v>
      </c>
      <c r="Z40" s="44">
        <v>325</v>
      </c>
      <c r="AA40" s="44">
        <v>260</v>
      </c>
      <c r="AB40" s="44">
        <v>220</v>
      </c>
      <c r="AC40" s="44">
        <v>360</v>
      </c>
      <c r="AD40" s="44">
        <v>300</v>
      </c>
      <c r="AE40" s="44">
        <v>375</v>
      </c>
      <c r="AF40" s="45">
        <v>14318</v>
      </c>
      <c r="AG40" s="45">
        <v>9672</v>
      </c>
      <c r="AH40" s="45">
        <v>15315</v>
      </c>
      <c r="AI40" s="45">
        <v>8359</v>
      </c>
      <c r="AJ40" s="45">
        <v>8806</v>
      </c>
      <c r="AK40" s="45">
        <v>9924</v>
      </c>
      <c r="AL40" s="45">
        <v>4877</v>
      </c>
      <c r="AM40" s="45">
        <v>1885</v>
      </c>
      <c r="AN40" s="45">
        <v>7148</v>
      </c>
      <c r="AO40" s="45">
        <v>2136</v>
      </c>
      <c r="AP40" s="45">
        <v>1001</v>
      </c>
      <c r="AQ40" s="45">
        <v>1609</v>
      </c>
      <c r="AR40" s="45">
        <v>469</v>
      </c>
      <c r="AS40" s="45">
        <v>174</v>
      </c>
      <c r="AT40" s="45">
        <v>1319</v>
      </c>
      <c r="AU40" s="45">
        <v>13995</v>
      </c>
      <c r="AV40" s="45">
        <v>2296</v>
      </c>
      <c r="AW40" s="45">
        <v>9685</v>
      </c>
      <c r="AX40" s="45">
        <v>1402</v>
      </c>
      <c r="AY40" s="45">
        <v>3246</v>
      </c>
      <c r="AZ40" s="45">
        <v>3966</v>
      </c>
      <c r="BA40" s="45">
        <v>1898</v>
      </c>
      <c r="BB40" s="45">
        <v>262</v>
      </c>
      <c r="BC40" s="45">
        <v>2376</v>
      </c>
      <c r="BD40" s="45">
        <v>278</v>
      </c>
      <c r="BE40" s="45">
        <v>348</v>
      </c>
      <c r="BF40" s="45">
        <v>272</v>
      </c>
      <c r="BG40" s="45">
        <v>441</v>
      </c>
      <c r="BH40" s="45">
        <v>91</v>
      </c>
      <c r="BI40" s="45">
        <v>1165</v>
      </c>
    </row>
    <row r="41" spans="1:61" x14ac:dyDescent="0.2">
      <c r="A41" s="43">
        <v>40057</v>
      </c>
      <c r="B41" s="44">
        <v>500</v>
      </c>
      <c r="C41" s="44">
        <v>310</v>
      </c>
      <c r="D41" s="44">
        <v>422</v>
      </c>
      <c r="E41" s="44">
        <v>250</v>
      </c>
      <c r="F41" s="44">
        <v>430</v>
      </c>
      <c r="G41" s="44">
        <v>380</v>
      </c>
      <c r="H41" s="44">
        <v>370</v>
      </c>
      <c r="I41" s="44">
        <v>260</v>
      </c>
      <c r="J41" s="44">
        <v>473</v>
      </c>
      <c r="K41" s="44">
        <v>375</v>
      </c>
      <c r="L41" s="44">
        <v>310.10000000000002</v>
      </c>
      <c r="M41" s="44">
        <v>245</v>
      </c>
      <c r="N41" s="44">
        <v>490</v>
      </c>
      <c r="O41" s="44">
        <v>345</v>
      </c>
      <c r="P41" s="44">
        <v>456</v>
      </c>
      <c r="Q41" s="44">
        <v>423</v>
      </c>
      <c r="R41" s="44">
        <v>289</v>
      </c>
      <c r="S41" s="44">
        <v>392</v>
      </c>
      <c r="T41" s="44">
        <v>221</v>
      </c>
      <c r="U41" s="44">
        <v>370</v>
      </c>
      <c r="V41" s="44">
        <v>345</v>
      </c>
      <c r="W41" s="44">
        <v>310</v>
      </c>
      <c r="X41" s="44">
        <v>170</v>
      </c>
      <c r="Y41" s="44">
        <v>390</v>
      </c>
      <c r="Z41" s="44">
        <v>331</v>
      </c>
      <c r="AA41" s="44">
        <v>270</v>
      </c>
      <c r="AB41" s="44">
        <v>220</v>
      </c>
      <c r="AC41" s="44">
        <v>377</v>
      </c>
      <c r="AD41" s="44">
        <v>307.5</v>
      </c>
      <c r="AE41" s="44">
        <v>378</v>
      </c>
      <c r="AF41" s="45">
        <v>14816</v>
      </c>
      <c r="AG41" s="45">
        <v>12211</v>
      </c>
      <c r="AH41" s="45">
        <v>16313</v>
      </c>
      <c r="AI41" s="45">
        <v>8296</v>
      </c>
      <c r="AJ41" s="45">
        <v>9068</v>
      </c>
      <c r="AK41" s="45">
        <v>10999</v>
      </c>
      <c r="AL41" s="45">
        <v>4473</v>
      </c>
      <c r="AM41" s="45">
        <v>1922</v>
      </c>
      <c r="AN41" s="45">
        <v>7701</v>
      </c>
      <c r="AO41" s="45">
        <v>2348</v>
      </c>
      <c r="AP41" s="45">
        <v>1033</v>
      </c>
      <c r="AQ41" s="45">
        <v>1528</v>
      </c>
      <c r="AR41" s="45">
        <v>436</v>
      </c>
      <c r="AS41" s="45">
        <v>199</v>
      </c>
      <c r="AT41" s="45">
        <v>1381</v>
      </c>
      <c r="AU41" s="45">
        <v>16289</v>
      </c>
      <c r="AV41" s="45">
        <v>2959</v>
      </c>
      <c r="AW41" s="45">
        <v>11517</v>
      </c>
      <c r="AX41" s="45">
        <v>1499</v>
      </c>
      <c r="AY41" s="45">
        <v>3820</v>
      </c>
      <c r="AZ41" s="45">
        <v>4622</v>
      </c>
      <c r="BA41" s="45">
        <v>1818</v>
      </c>
      <c r="BB41" s="45">
        <v>253</v>
      </c>
      <c r="BC41" s="45">
        <v>2842</v>
      </c>
      <c r="BD41" s="45">
        <v>390</v>
      </c>
      <c r="BE41" s="45">
        <v>418</v>
      </c>
      <c r="BF41" s="45">
        <v>288</v>
      </c>
      <c r="BG41" s="45">
        <v>463</v>
      </c>
      <c r="BH41" s="45">
        <v>90</v>
      </c>
      <c r="BI41" s="45">
        <v>1347</v>
      </c>
    </row>
    <row r="42" spans="1:61" x14ac:dyDescent="0.2">
      <c r="A42" s="43">
        <v>40148</v>
      </c>
      <c r="B42" s="44">
        <v>595</v>
      </c>
      <c r="C42" s="44">
        <v>340</v>
      </c>
      <c r="D42" s="44">
        <v>477.5</v>
      </c>
      <c r="E42" s="44">
        <v>266.5</v>
      </c>
      <c r="F42" s="44">
        <v>455</v>
      </c>
      <c r="G42" s="44">
        <v>395</v>
      </c>
      <c r="H42" s="44">
        <v>398.8</v>
      </c>
      <c r="I42" s="44">
        <v>267</v>
      </c>
      <c r="J42" s="44">
        <v>505</v>
      </c>
      <c r="K42" s="44">
        <v>400</v>
      </c>
      <c r="L42" s="44">
        <v>350</v>
      </c>
      <c r="M42" s="44">
        <v>252.3</v>
      </c>
      <c r="N42" s="44">
        <v>520</v>
      </c>
      <c r="O42" s="44">
        <v>368</v>
      </c>
      <c r="P42" s="44">
        <v>509</v>
      </c>
      <c r="Q42" s="44">
        <v>450</v>
      </c>
      <c r="R42" s="44">
        <v>310</v>
      </c>
      <c r="S42" s="44">
        <v>421</v>
      </c>
      <c r="T42" s="44">
        <v>232</v>
      </c>
      <c r="U42" s="44">
        <v>381</v>
      </c>
      <c r="V42" s="44">
        <v>356.1</v>
      </c>
      <c r="W42" s="44">
        <v>326.8</v>
      </c>
      <c r="X42" s="44">
        <v>196</v>
      </c>
      <c r="Y42" s="44">
        <v>415</v>
      </c>
      <c r="Z42" s="44">
        <v>339</v>
      </c>
      <c r="AA42" s="44">
        <v>285</v>
      </c>
      <c r="AB42" s="44">
        <v>220</v>
      </c>
      <c r="AC42" s="44">
        <v>400</v>
      </c>
      <c r="AD42" s="44">
        <v>332.5</v>
      </c>
      <c r="AE42" s="44">
        <v>402.5</v>
      </c>
      <c r="AF42" s="45">
        <v>12786</v>
      </c>
      <c r="AG42" s="45">
        <v>10119</v>
      </c>
      <c r="AH42" s="45">
        <v>16586</v>
      </c>
      <c r="AI42" s="45">
        <v>7422</v>
      </c>
      <c r="AJ42" s="45">
        <v>7844</v>
      </c>
      <c r="AK42" s="45">
        <v>9791</v>
      </c>
      <c r="AL42" s="45">
        <v>4234</v>
      </c>
      <c r="AM42" s="45">
        <v>1718</v>
      </c>
      <c r="AN42" s="45">
        <v>6635</v>
      </c>
      <c r="AO42" s="45">
        <v>2017</v>
      </c>
      <c r="AP42" s="45">
        <v>921</v>
      </c>
      <c r="AQ42" s="45">
        <v>1286</v>
      </c>
      <c r="AR42" s="45">
        <v>363</v>
      </c>
      <c r="AS42" s="45">
        <v>157</v>
      </c>
      <c r="AT42" s="45">
        <v>1297</v>
      </c>
      <c r="AU42" s="45">
        <v>11800</v>
      </c>
      <c r="AV42" s="45">
        <v>2643</v>
      </c>
      <c r="AW42" s="45">
        <v>9724</v>
      </c>
      <c r="AX42" s="45">
        <v>1298</v>
      </c>
      <c r="AY42" s="45">
        <v>3206</v>
      </c>
      <c r="AZ42" s="45">
        <v>3772</v>
      </c>
      <c r="BA42" s="45">
        <v>1770</v>
      </c>
      <c r="BB42" s="45">
        <v>229</v>
      </c>
      <c r="BC42" s="45">
        <v>2383</v>
      </c>
      <c r="BD42" s="45">
        <v>375</v>
      </c>
      <c r="BE42" s="45">
        <v>335</v>
      </c>
      <c r="BF42" s="45">
        <v>230</v>
      </c>
      <c r="BG42" s="45">
        <v>316</v>
      </c>
      <c r="BH42" s="45">
        <v>60</v>
      </c>
      <c r="BI42" s="45">
        <v>1043</v>
      </c>
    </row>
    <row r="43" spans="1:61" x14ac:dyDescent="0.2">
      <c r="A43" s="43">
        <v>40238</v>
      </c>
      <c r="B43" s="44">
        <v>583</v>
      </c>
      <c r="C43" s="44">
        <v>340</v>
      </c>
      <c r="D43" s="44">
        <v>468</v>
      </c>
      <c r="E43" s="44">
        <v>275</v>
      </c>
      <c r="F43" s="44">
        <v>460</v>
      </c>
      <c r="G43" s="44">
        <v>400</v>
      </c>
      <c r="H43" s="44">
        <v>402</v>
      </c>
      <c r="I43" s="44">
        <v>280</v>
      </c>
      <c r="J43" s="44">
        <v>518</v>
      </c>
      <c r="K43" s="44">
        <v>410</v>
      </c>
      <c r="L43" s="44">
        <v>350.5</v>
      </c>
      <c r="M43" s="44">
        <v>262</v>
      </c>
      <c r="N43" s="44">
        <v>529</v>
      </c>
      <c r="O43" s="44">
        <v>364</v>
      </c>
      <c r="P43" s="44">
        <v>530</v>
      </c>
      <c r="Q43" s="44">
        <v>450</v>
      </c>
      <c r="R43" s="44">
        <v>306</v>
      </c>
      <c r="S43" s="44">
        <v>424</v>
      </c>
      <c r="T43" s="44">
        <v>235</v>
      </c>
      <c r="U43" s="44">
        <v>385</v>
      </c>
      <c r="V43" s="44">
        <v>360</v>
      </c>
      <c r="W43" s="44">
        <v>333</v>
      </c>
      <c r="X43" s="44">
        <v>199.5</v>
      </c>
      <c r="Y43" s="44">
        <v>420</v>
      </c>
      <c r="Z43" s="44">
        <v>347.5</v>
      </c>
      <c r="AA43" s="44">
        <v>278.5</v>
      </c>
      <c r="AB43" s="44">
        <v>226.5</v>
      </c>
      <c r="AC43" s="44">
        <v>430.2</v>
      </c>
      <c r="AD43" s="44">
        <v>335</v>
      </c>
      <c r="AE43" s="44">
        <v>410</v>
      </c>
      <c r="AF43" s="45">
        <v>11091</v>
      </c>
      <c r="AG43" s="45">
        <v>8729</v>
      </c>
      <c r="AH43" s="45">
        <v>14148</v>
      </c>
      <c r="AI43" s="45">
        <v>7161</v>
      </c>
      <c r="AJ43" s="45">
        <v>7640</v>
      </c>
      <c r="AK43" s="45">
        <v>9304</v>
      </c>
      <c r="AL43" s="45">
        <v>3993</v>
      </c>
      <c r="AM43" s="45">
        <v>1681</v>
      </c>
      <c r="AN43" s="45">
        <v>6401</v>
      </c>
      <c r="AO43" s="45">
        <v>2010</v>
      </c>
      <c r="AP43" s="45">
        <v>976</v>
      </c>
      <c r="AQ43" s="45">
        <v>1333</v>
      </c>
      <c r="AR43" s="45">
        <v>339</v>
      </c>
      <c r="AS43" s="45">
        <v>86</v>
      </c>
      <c r="AT43" s="45">
        <v>971</v>
      </c>
      <c r="AU43" s="45">
        <v>9925</v>
      </c>
      <c r="AV43" s="45">
        <v>2093</v>
      </c>
      <c r="AW43" s="45">
        <v>9015</v>
      </c>
      <c r="AX43" s="45">
        <v>1271</v>
      </c>
      <c r="AY43" s="45">
        <v>2960</v>
      </c>
      <c r="AZ43" s="45">
        <v>3793</v>
      </c>
      <c r="BA43" s="45">
        <v>1605</v>
      </c>
      <c r="BB43" s="45">
        <v>191</v>
      </c>
      <c r="BC43" s="45">
        <v>2496</v>
      </c>
      <c r="BD43" s="45">
        <v>328</v>
      </c>
      <c r="BE43" s="45">
        <v>296</v>
      </c>
      <c r="BF43" s="45">
        <v>211</v>
      </c>
      <c r="BG43" s="45">
        <v>285</v>
      </c>
      <c r="BH43" s="45">
        <v>23</v>
      </c>
      <c r="BI43" s="45">
        <v>878</v>
      </c>
    </row>
    <row r="44" spans="1:61" x14ac:dyDescent="0.2">
      <c r="A44" s="43">
        <v>40330</v>
      </c>
      <c r="B44" s="44">
        <v>612.5</v>
      </c>
      <c r="C44" s="44">
        <v>340</v>
      </c>
      <c r="D44" s="44">
        <v>500</v>
      </c>
      <c r="E44" s="44">
        <v>278.2</v>
      </c>
      <c r="F44" s="44">
        <v>465</v>
      </c>
      <c r="G44" s="44">
        <v>395</v>
      </c>
      <c r="H44" s="44">
        <v>410</v>
      </c>
      <c r="I44" s="44">
        <v>278</v>
      </c>
      <c r="J44" s="44">
        <v>510</v>
      </c>
      <c r="K44" s="44">
        <v>385</v>
      </c>
      <c r="L44" s="44">
        <v>343.8</v>
      </c>
      <c r="M44" s="44">
        <v>257</v>
      </c>
      <c r="N44" s="44">
        <v>530</v>
      </c>
      <c r="O44" s="44">
        <v>395</v>
      </c>
      <c r="P44" s="44">
        <v>516.20000000000005</v>
      </c>
      <c r="Q44" s="44">
        <v>480</v>
      </c>
      <c r="R44" s="44">
        <v>305</v>
      </c>
      <c r="S44" s="44">
        <v>450</v>
      </c>
      <c r="T44" s="44">
        <v>229.8</v>
      </c>
      <c r="U44" s="44">
        <v>392.5</v>
      </c>
      <c r="V44" s="44">
        <v>355</v>
      </c>
      <c r="W44" s="44">
        <v>337.5</v>
      </c>
      <c r="X44" s="44">
        <v>172.5</v>
      </c>
      <c r="Y44" s="44">
        <v>417</v>
      </c>
      <c r="Z44" s="44">
        <v>348.5</v>
      </c>
      <c r="AA44" s="44">
        <v>280</v>
      </c>
      <c r="AB44" s="44">
        <v>235</v>
      </c>
      <c r="AC44" s="44">
        <v>430</v>
      </c>
      <c r="AD44" s="44">
        <v>320</v>
      </c>
      <c r="AE44" s="44">
        <v>413.5</v>
      </c>
      <c r="AF44" s="45">
        <v>12610</v>
      </c>
      <c r="AG44" s="45">
        <v>9551</v>
      </c>
      <c r="AH44" s="45">
        <v>15641</v>
      </c>
      <c r="AI44" s="45">
        <v>7249</v>
      </c>
      <c r="AJ44" s="45">
        <v>6869</v>
      </c>
      <c r="AK44" s="45">
        <v>8203</v>
      </c>
      <c r="AL44" s="45">
        <v>4197</v>
      </c>
      <c r="AM44" s="45">
        <v>1461</v>
      </c>
      <c r="AN44" s="45">
        <v>5064</v>
      </c>
      <c r="AO44" s="45">
        <v>1468</v>
      </c>
      <c r="AP44" s="45">
        <v>841</v>
      </c>
      <c r="AQ44" s="45">
        <v>1214</v>
      </c>
      <c r="AR44" s="45">
        <v>310</v>
      </c>
      <c r="AS44" s="45">
        <v>122</v>
      </c>
      <c r="AT44" s="45">
        <v>1234</v>
      </c>
      <c r="AU44" s="45">
        <v>12183</v>
      </c>
      <c r="AV44" s="45">
        <v>2379</v>
      </c>
      <c r="AW44" s="45">
        <v>9884</v>
      </c>
      <c r="AX44" s="45">
        <v>1206</v>
      </c>
      <c r="AY44" s="45">
        <v>2823</v>
      </c>
      <c r="AZ44" s="45">
        <v>3224</v>
      </c>
      <c r="BA44" s="45">
        <v>1665</v>
      </c>
      <c r="BB44" s="45">
        <v>150</v>
      </c>
      <c r="BC44" s="45">
        <v>1815</v>
      </c>
      <c r="BD44" s="45">
        <v>196</v>
      </c>
      <c r="BE44" s="45">
        <v>279</v>
      </c>
      <c r="BF44" s="45">
        <v>180</v>
      </c>
      <c r="BG44" s="45">
        <v>296</v>
      </c>
      <c r="BH44" s="45">
        <v>71</v>
      </c>
      <c r="BI44" s="45">
        <v>1509</v>
      </c>
    </row>
    <row r="45" spans="1:61" x14ac:dyDescent="0.2">
      <c r="A45" s="43">
        <v>40422</v>
      </c>
      <c r="B45" s="44">
        <v>598</v>
      </c>
      <c r="C45" s="44">
        <v>340</v>
      </c>
      <c r="D45" s="44">
        <v>488.3</v>
      </c>
      <c r="E45" s="44">
        <v>280</v>
      </c>
      <c r="F45" s="44">
        <v>460</v>
      </c>
      <c r="G45" s="44">
        <v>388</v>
      </c>
      <c r="H45" s="44">
        <v>400</v>
      </c>
      <c r="I45" s="44">
        <v>275</v>
      </c>
      <c r="J45" s="44">
        <v>500</v>
      </c>
      <c r="K45" s="44">
        <v>380</v>
      </c>
      <c r="L45" s="44">
        <v>340</v>
      </c>
      <c r="M45" s="44">
        <v>260</v>
      </c>
      <c r="N45" s="44">
        <v>535</v>
      </c>
      <c r="O45" s="44">
        <v>421.5</v>
      </c>
      <c r="P45" s="44">
        <v>530</v>
      </c>
      <c r="Q45" s="44">
        <v>477</v>
      </c>
      <c r="R45" s="44">
        <v>300</v>
      </c>
      <c r="S45" s="44">
        <v>445</v>
      </c>
      <c r="T45" s="44">
        <v>235</v>
      </c>
      <c r="U45" s="44">
        <v>383.8</v>
      </c>
      <c r="V45" s="44">
        <v>347.5</v>
      </c>
      <c r="W45" s="44">
        <v>330.5</v>
      </c>
      <c r="X45" s="44">
        <v>200</v>
      </c>
      <c r="Y45" s="44">
        <v>410</v>
      </c>
      <c r="Z45" s="44">
        <v>329</v>
      </c>
      <c r="AA45" s="44">
        <v>287.5</v>
      </c>
      <c r="AB45" s="44">
        <v>235</v>
      </c>
      <c r="AC45" s="44">
        <v>400</v>
      </c>
      <c r="AD45" s="44">
        <v>307.3</v>
      </c>
      <c r="AE45" s="44">
        <v>425</v>
      </c>
      <c r="AF45" s="45">
        <v>11334</v>
      </c>
      <c r="AG45" s="45">
        <v>9204</v>
      </c>
      <c r="AH45" s="45">
        <v>13632</v>
      </c>
      <c r="AI45" s="45">
        <v>6607</v>
      </c>
      <c r="AJ45" s="45">
        <v>6930</v>
      </c>
      <c r="AK45" s="45">
        <v>8490</v>
      </c>
      <c r="AL45" s="45">
        <v>4128</v>
      </c>
      <c r="AM45" s="45">
        <v>1513</v>
      </c>
      <c r="AN45" s="45">
        <v>5131</v>
      </c>
      <c r="AO45" s="45">
        <v>1561</v>
      </c>
      <c r="AP45" s="45">
        <v>840</v>
      </c>
      <c r="AQ45" s="45">
        <v>1176</v>
      </c>
      <c r="AR45" s="45">
        <v>278</v>
      </c>
      <c r="AS45" s="45">
        <v>159</v>
      </c>
      <c r="AT45" s="45">
        <v>1042</v>
      </c>
      <c r="AU45" s="45">
        <v>11407</v>
      </c>
      <c r="AV45" s="45">
        <v>2169</v>
      </c>
      <c r="AW45" s="45">
        <v>9544</v>
      </c>
      <c r="AX45" s="45">
        <v>1164</v>
      </c>
      <c r="AY45" s="45">
        <v>2618</v>
      </c>
      <c r="AZ45" s="45">
        <v>2951</v>
      </c>
      <c r="BA45" s="45">
        <v>1615</v>
      </c>
      <c r="BB45" s="45">
        <v>190</v>
      </c>
      <c r="BC45" s="45">
        <v>1810</v>
      </c>
      <c r="BD45" s="45">
        <v>207</v>
      </c>
      <c r="BE45" s="45">
        <v>276</v>
      </c>
      <c r="BF45" s="45">
        <v>241</v>
      </c>
      <c r="BG45" s="45">
        <v>276</v>
      </c>
      <c r="BH45" s="45">
        <v>64</v>
      </c>
      <c r="BI45" s="45">
        <v>955</v>
      </c>
    </row>
    <row r="46" spans="1:61" x14ac:dyDescent="0.2">
      <c r="A46" s="43">
        <v>40513</v>
      </c>
      <c r="B46" s="44">
        <v>620</v>
      </c>
      <c r="C46" s="44">
        <v>340</v>
      </c>
      <c r="D46" s="44">
        <v>520</v>
      </c>
      <c r="E46" s="44">
        <v>292.5</v>
      </c>
      <c r="F46" s="44">
        <v>460</v>
      </c>
      <c r="G46" s="44">
        <v>387.5</v>
      </c>
      <c r="H46" s="44">
        <v>410</v>
      </c>
      <c r="I46" s="44">
        <v>277.3</v>
      </c>
      <c r="J46" s="44">
        <v>500</v>
      </c>
      <c r="K46" s="44">
        <v>385</v>
      </c>
      <c r="L46" s="44">
        <v>345</v>
      </c>
      <c r="M46" s="44">
        <v>260</v>
      </c>
      <c r="N46" s="44">
        <v>545</v>
      </c>
      <c r="O46" s="44">
        <v>435</v>
      </c>
      <c r="P46" s="44">
        <v>534.5</v>
      </c>
      <c r="Q46" s="44">
        <v>487.6</v>
      </c>
      <c r="R46" s="44">
        <v>305</v>
      </c>
      <c r="S46" s="44">
        <v>460</v>
      </c>
      <c r="T46" s="44">
        <v>255</v>
      </c>
      <c r="U46" s="44">
        <v>385</v>
      </c>
      <c r="V46" s="44">
        <v>347.5</v>
      </c>
      <c r="W46" s="44">
        <v>335</v>
      </c>
      <c r="X46" s="44">
        <v>185</v>
      </c>
      <c r="Y46" s="44">
        <v>410</v>
      </c>
      <c r="Z46" s="44">
        <v>335</v>
      </c>
      <c r="AA46" s="44">
        <v>288</v>
      </c>
      <c r="AB46" s="44">
        <v>230</v>
      </c>
      <c r="AC46" s="44">
        <v>420.5</v>
      </c>
      <c r="AD46" s="44">
        <v>350</v>
      </c>
      <c r="AE46" s="44">
        <v>424.9</v>
      </c>
      <c r="AF46" s="45">
        <v>11704</v>
      </c>
      <c r="AG46" s="45">
        <v>9206</v>
      </c>
      <c r="AH46" s="45">
        <v>13141</v>
      </c>
      <c r="AI46" s="45">
        <v>5922</v>
      </c>
      <c r="AJ46" s="45">
        <v>6385</v>
      </c>
      <c r="AK46" s="45">
        <v>8115</v>
      </c>
      <c r="AL46" s="45">
        <v>4009</v>
      </c>
      <c r="AM46" s="45">
        <v>1410</v>
      </c>
      <c r="AN46" s="45">
        <v>4959</v>
      </c>
      <c r="AO46" s="45">
        <v>1585</v>
      </c>
      <c r="AP46" s="45">
        <v>837</v>
      </c>
      <c r="AQ46" s="45">
        <v>1184</v>
      </c>
      <c r="AR46" s="45">
        <v>277</v>
      </c>
      <c r="AS46" s="45">
        <v>139</v>
      </c>
      <c r="AT46" s="45">
        <v>1324</v>
      </c>
      <c r="AU46" s="45">
        <v>10797</v>
      </c>
      <c r="AV46" s="45">
        <v>2162</v>
      </c>
      <c r="AW46" s="45">
        <v>7410</v>
      </c>
      <c r="AX46" s="45">
        <v>876</v>
      </c>
      <c r="AY46" s="45">
        <v>2348</v>
      </c>
      <c r="AZ46" s="45">
        <v>2787</v>
      </c>
      <c r="BA46" s="45">
        <v>1554</v>
      </c>
      <c r="BB46" s="45">
        <v>161</v>
      </c>
      <c r="BC46" s="45">
        <v>1856</v>
      </c>
      <c r="BD46" s="45">
        <v>193</v>
      </c>
      <c r="BE46" s="45">
        <v>315</v>
      </c>
      <c r="BF46" s="45">
        <v>177</v>
      </c>
      <c r="BG46" s="45">
        <v>221</v>
      </c>
      <c r="BH46" s="45">
        <v>64</v>
      </c>
      <c r="BI46" s="45">
        <v>1108</v>
      </c>
    </row>
    <row r="47" spans="1:61" x14ac:dyDescent="0.2">
      <c r="A47" s="43">
        <v>40603</v>
      </c>
      <c r="B47" s="44">
        <v>575</v>
      </c>
      <c r="C47" s="44">
        <v>345</v>
      </c>
      <c r="D47" s="44">
        <v>485</v>
      </c>
      <c r="E47" s="44">
        <v>293</v>
      </c>
      <c r="F47" s="44">
        <v>450</v>
      </c>
      <c r="G47" s="44">
        <v>392.8</v>
      </c>
      <c r="H47" s="44">
        <v>400</v>
      </c>
      <c r="I47" s="44">
        <v>270</v>
      </c>
      <c r="J47" s="44">
        <v>500</v>
      </c>
      <c r="K47" s="44">
        <v>385.3</v>
      </c>
      <c r="L47" s="44">
        <v>338</v>
      </c>
      <c r="M47" s="44">
        <v>263.89999999999998</v>
      </c>
      <c r="N47" s="44">
        <v>510</v>
      </c>
      <c r="O47" s="44">
        <v>430</v>
      </c>
      <c r="P47" s="44">
        <v>530</v>
      </c>
      <c r="Q47" s="44">
        <v>479</v>
      </c>
      <c r="R47" s="44">
        <v>299</v>
      </c>
      <c r="S47" s="44">
        <v>445</v>
      </c>
      <c r="T47" s="44">
        <v>250</v>
      </c>
      <c r="U47" s="44">
        <v>379</v>
      </c>
      <c r="V47" s="44">
        <v>340</v>
      </c>
      <c r="W47" s="44">
        <v>339</v>
      </c>
      <c r="X47" s="44">
        <v>210</v>
      </c>
      <c r="Y47" s="44">
        <v>405</v>
      </c>
      <c r="Z47" s="44">
        <v>310</v>
      </c>
      <c r="AA47" s="44">
        <v>291.5</v>
      </c>
      <c r="AB47" s="44">
        <v>235</v>
      </c>
      <c r="AC47" s="44">
        <v>415</v>
      </c>
      <c r="AD47" s="44">
        <v>335</v>
      </c>
      <c r="AE47" s="44">
        <v>415</v>
      </c>
      <c r="AF47" s="45">
        <v>9917</v>
      </c>
      <c r="AG47" s="45">
        <v>8195</v>
      </c>
      <c r="AH47" s="45">
        <v>10767</v>
      </c>
      <c r="AI47" s="45">
        <v>5715</v>
      </c>
      <c r="AJ47" s="45">
        <v>5874</v>
      </c>
      <c r="AK47" s="45">
        <v>7438</v>
      </c>
      <c r="AL47" s="45">
        <v>3719</v>
      </c>
      <c r="AM47" s="45">
        <v>1437</v>
      </c>
      <c r="AN47" s="45">
        <v>5661</v>
      </c>
      <c r="AO47" s="45">
        <v>1670</v>
      </c>
      <c r="AP47" s="45">
        <v>849</v>
      </c>
      <c r="AQ47" s="45">
        <v>1236</v>
      </c>
      <c r="AR47" s="45">
        <v>270</v>
      </c>
      <c r="AS47" s="45">
        <v>123</v>
      </c>
      <c r="AT47" s="45">
        <v>1001</v>
      </c>
      <c r="AU47" s="45">
        <v>9188</v>
      </c>
      <c r="AV47" s="45">
        <v>1847</v>
      </c>
      <c r="AW47" s="45">
        <v>5680</v>
      </c>
      <c r="AX47" s="45">
        <v>764</v>
      </c>
      <c r="AY47" s="45">
        <v>2039</v>
      </c>
      <c r="AZ47" s="45">
        <v>2556</v>
      </c>
      <c r="BA47" s="45">
        <v>1519</v>
      </c>
      <c r="BB47" s="45">
        <v>154</v>
      </c>
      <c r="BC47" s="45">
        <v>1968</v>
      </c>
      <c r="BD47" s="45">
        <v>200</v>
      </c>
      <c r="BE47" s="45">
        <v>294</v>
      </c>
      <c r="BF47" s="45">
        <v>191</v>
      </c>
      <c r="BG47" s="45">
        <v>191</v>
      </c>
      <c r="BH47" s="45">
        <v>51</v>
      </c>
      <c r="BI47" s="45">
        <v>1103</v>
      </c>
    </row>
    <row r="48" spans="1:61" x14ac:dyDescent="0.2">
      <c r="A48" s="43">
        <v>40695</v>
      </c>
      <c r="B48" s="44">
        <v>592</v>
      </c>
      <c r="C48" s="44">
        <v>342</v>
      </c>
      <c r="D48" s="44">
        <v>502.5</v>
      </c>
      <c r="E48" s="44">
        <v>295</v>
      </c>
      <c r="F48" s="44">
        <v>442</v>
      </c>
      <c r="G48" s="44">
        <v>383</v>
      </c>
      <c r="H48" s="44">
        <v>395</v>
      </c>
      <c r="I48" s="44">
        <v>275</v>
      </c>
      <c r="J48" s="44">
        <v>485</v>
      </c>
      <c r="K48" s="44">
        <v>380</v>
      </c>
      <c r="L48" s="44">
        <v>330</v>
      </c>
      <c r="M48" s="44">
        <v>250</v>
      </c>
      <c r="N48" s="44">
        <v>500</v>
      </c>
      <c r="O48" s="44">
        <v>400</v>
      </c>
      <c r="P48" s="44">
        <v>533</v>
      </c>
      <c r="Q48" s="44">
        <v>485</v>
      </c>
      <c r="R48" s="44">
        <v>297.3</v>
      </c>
      <c r="S48" s="44">
        <v>450</v>
      </c>
      <c r="T48" s="44">
        <v>248.3</v>
      </c>
      <c r="U48" s="44">
        <v>382.5</v>
      </c>
      <c r="V48" s="44">
        <v>335</v>
      </c>
      <c r="W48" s="44">
        <v>328.5</v>
      </c>
      <c r="X48" s="44">
        <v>176.5</v>
      </c>
      <c r="Y48" s="44">
        <v>405</v>
      </c>
      <c r="Z48" s="44">
        <v>335</v>
      </c>
      <c r="AA48" s="44">
        <v>294</v>
      </c>
      <c r="AB48" s="44">
        <v>232.5</v>
      </c>
      <c r="AC48" s="44">
        <v>415</v>
      </c>
      <c r="AD48" s="44">
        <v>315</v>
      </c>
      <c r="AE48" s="44">
        <v>415</v>
      </c>
      <c r="AF48" s="45">
        <v>11165</v>
      </c>
      <c r="AG48" s="45">
        <v>8791</v>
      </c>
      <c r="AH48" s="45">
        <v>12686</v>
      </c>
      <c r="AI48" s="45">
        <v>6235</v>
      </c>
      <c r="AJ48" s="45">
        <v>5954</v>
      </c>
      <c r="AK48" s="45">
        <v>7524</v>
      </c>
      <c r="AL48" s="45">
        <v>3667</v>
      </c>
      <c r="AM48" s="45">
        <v>1329</v>
      </c>
      <c r="AN48" s="45">
        <v>5145</v>
      </c>
      <c r="AO48" s="45">
        <v>1695</v>
      </c>
      <c r="AP48" s="45">
        <v>708</v>
      </c>
      <c r="AQ48" s="45">
        <v>1062</v>
      </c>
      <c r="AR48" s="45">
        <v>315</v>
      </c>
      <c r="AS48" s="45">
        <v>130</v>
      </c>
      <c r="AT48" s="45">
        <v>1187</v>
      </c>
      <c r="AU48" s="45">
        <v>10384</v>
      </c>
      <c r="AV48" s="45">
        <v>1986</v>
      </c>
      <c r="AW48" s="45">
        <v>7118</v>
      </c>
      <c r="AX48" s="45">
        <v>846</v>
      </c>
      <c r="AY48" s="45">
        <v>2064</v>
      </c>
      <c r="AZ48" s="45">
        <v>2539</v>
      </c>
      <c r="BA48" s="45">
        <v>1522</v>
      </c>
      <c r="BB48" s="45">
        <v>162</v>
      </c>
      <c r="BC48" s="45">
        <v>1861</v>
      </c>
      <c r="BD48" s="45">
        <v>217</v>
      </c>
      <c r="BE48" s="45">
        <v>278</v>
      </c>
      <c r="BF48" s="45">
        <v>187</v>
      </c>
      <c r="BG48" s="45">
        <v>241</v>
      </c>
      <c r="BH48" s="45">
        <v>49</v>
      </c>
      <c r="BI48" s="45">
        <v>1146</v>
      </c>
    </row>
    <row r="49" spans="1:61" x14ac:dyDescent="0.2">
      <c r="A49" s="43">
        <v>40787</v>
      </c>
      <c r="B49" s="44">
        <v>567</v>
      </c>
      <c r="C49" s="44">
        <v>335</v>
      </c>
      <c r="D49" s="44">
        <v>487</v>
      </c>
      <c r="E49" s="44">
        <v>286.5</v>
      </c>
      <c r="F49" s="44">
        <v>433</v>
      </c>
      <c r="G49" s="44">
        <v>380</v>
      </c>
      <c r="H49" s="44">
        <v>390</v>
      </c>
      <c r="I49" s="44">
        <v>260</v>
      </c>
      <c r="J49" s="44">
        <v>470</v>
      </c>
      <c r="K49" s="44">
        <v>375</v>
      </c>
      <c r="L49" s="44">
        <v>335</v>
      </c>
      <c r="M49" s="44">
        <v>250</v>
      </c>
      <c r="N49" s="44">
        <v>497</v>
      </c>
      <c r="O49" s="44">
        <v>397</v>
      </c>
      <c r="P49" s="44">
        <v>490</v>
      </c>
      <c r="Q49" s="44">
        <v>480</v>
      </c>
      <c r="R49" s="44">
        <v>290</v>
      </c>
      <c r="S49" s="44">
        <v>437.5</v>
      </c>
      <c r="T49" s="44">
        <v>235</v>
      </c>
      <c r="U49" s="44">
        <v>370</v>
      </c>
      <c r="V49" s="44">
        <v>325.8</v>
      </c>
      <c r="W49" s="44">
        <v>320</v>
      </c>
      <c r="X49" s="44">
        <v>190</v>
      </c>
      <c r="Y49" s="44">
        <v>395</v>
      </c>
      <c r="Z49" s="44">
        <v>315</v>
      </c>
      <c r="AA49" s="44">
        <v>272.5</v>
      </c>
      <c r="AB49" s="44">
        <v>228.5</v>
      </c>
      <c r="AC49" s="44">
        <v>398</v>
      </c>
      <c r="AD49" s="44">
        <v>360.5</v>
      </c>
      <c r="AE49" s="44">
        <v>425</v>
      </c>
      <c r="AF49" s="45">
        <v>11397</v>
      </c>
      <c r="AG49" s="45">
        <v>8934</v>
      </c>
      <c r="AH49" s="45">
        <v>11960</v>
      </c>
      <c r="AI49" s="45">
        <v>5617</v>
      </c>
      <c r="AJ49" s="45">
        <v>6615</v>
      </c>
      <c r="AK49" s="45">
        <v>8598</v>
      </c>
      <c r="AL49" s="45">
        <v>3566</v>
      </c>
      <c r="AM49" s="45">
        <v>1317</v>
      </c>
      <c r="AN49" s="45">
        <v>5454</v>
      </c>
      <c r="AO49" s="45">
        <v>1661</v>
      </c>
      <c r="AP49" s="45">
        <v>680</v>
      </c>
      <c r="AQ49" s="45">
        <v>1025</v>
      </c>
      <c r="AR49" s="45">
        <v>335</v>
      </c>
      <c r="AS49" s="45">
        <v>123</v>
      </c>
      <c r="AT49" s="45">
        <v>1201</v>
      </c>
      <c r="AU49" s="45">
        <v>10565</v>
      </c>
      <c r="AV49" s="45">
        <v>1928</v>
      </c>
      <c r="AW49" s="45">
        <v>6375</v>
      </c>
      <c r="AX49" s="45">
        <v>805</v>
      </c>
      <c r="AY49" s="45">
        <v>2397</v>
      </c>
      <c r="AZ49" s="45">
        <v>2823</v>
      </c>
      <c r="BA49" s="45">
        <v>1371</v>
      </c>
      <c r="BB49" s="45">
        <v>153</v>
      </c>
      <c r="BC49" s="45">
        <v>1767</v>
      </c>
      <c r="BD49" s="45">
        <v>193</v>
      </c>
      <c r="BE49" s="45">
        <v>217</v>
      </c>
      <c r="BF49" s="45">
        <v>189</v>
      </c>
      <c r="BG49" s="45">
        <v>208</v>
      </c>
      <c r="BH49" s="45">
        <v>36</v>
      </c>
      <c r="BI49" s="45">
        <v>871</v>
      </c>
    </row>
    <row r="50" spans="1:61" x14ac:dyDescent="0.2">
      <c r="A50" s="43">
        <v>40878</v>
      </c>
      <c r="B50" s="44">
        <v>533</v>
      </c>
      <c r="C50" s="44">
        <v>330</v>
      </c>
      <c r="D50" s="44">
        <v>495</v>
      </c>
      <c r="E50" s="44">
        <v>290.5</v>
      </c>
      <c r="F50" s="44">
        <v>430</v>
      </c>
      <c r="G50" s="44">
        <v>380</v>
      </c>
      <c r="H50" s="44">
        <v>385</v>
      </c>
      <c r="I50" s="44">
        <v>270</v>
      </c>
      <c r="J50" s="44">
        <v>480</v>
      </c>
      <c r="K50" s="44">
        <v>372.5</v>
      </c>
      <c r="L50" s="44">
        <v>337.5</v>
      </c>
      <c r="M50" s="44">
        <v>250</v>
      </c>
      <c r="N50" s="44">
        <v>515</v>
      </c>
      <c r="O50" s="44">
        <v>410</v>
      </c>
      <c r="P50" s="44">
        <v>500</v>
      </c>
      <c r="Q50" s="44">
        <v>460</v>
      </c>
      <c r="R50" s="44">
        <v>297</v>
      </c>
      <c r="S50" s="44">
        <v>432.5</v>
      </c>
      <c r="T50" s="44">
        <v>245.3</v>
      </c>
      <c r="U50" s="44">
        <v>380</v>
      </c>
      <c r="V50" s="44">
        <v>327.10000000000002</v>
      </c>
      <c r="W50" s="44">
        <v>327.3</v>
      </c>
      <c r="X50" s="44">
        <v>176</v>
      </c>
      <c r="Y50" s="44">
        <v>400</v>
      </c>
      <c r="Z50" s="44">
        <v>328.3</v>
      </c>
      <c r="AA50" s="44">
        <v>275</v>
      </c>
      <c r="AB50" s="44">
        <v>240</v>
      </c>
      <c r="AC50" s="44">
        <v>399.5</v>
      </c>
      <c r="AD50" s="44">
        <v>336.5</v>
      </c>
      <c r="AE50" s="44">
        <v>415</v>
      </c>
      <c r="AF50" s="45">
        <v>13950</v>
      </c>
      <c r="AG50" s="45">
        <v>11050</v>
      </c>
      <c r="AH50" s="45">
        <v>12819</v>
      </c>
      <c r="AI50" s="45">
        <v>6335</v>
      </c>
      <c r="AJ50" s="45">
        <v>6447</v>
      </c>
      <c r="AK50" s="45">
        <v>8498</v>
      </c>
      <c r="AL50" s="45">
        <v>3566</v>
      </c>
      <c r="AM50" s="45">
        <v>1346</v>
      </c>
      <c r="AN50" s="45">
        <v>5784</v>
      </c>
      <c r="AO50" s="45">
        <v>1801</v>
      </c>
      <c r="AP50" s="45">
        <v>769</v>
      </c>
      <c r="AQ50" s="45">
        <v>959</v>
      </c>
      <c r="AR50" s="45">
        <v>425</v>
      </c>
      <c r="AS50" s="45">
        <v>122</v>
      </c>
      <c r="AT50" s="45">
        <v>1214</v>
      </c>
      <c r="AU50" s="45">
        <v>13108</v>
      </c>
      <c r="AV50" s="45">
        <v>2240</v>
      </c>
      <c r="AW50" s="45">
        <v>6840</v>
      </c>
      <c r="AX50" s="45">
        <v>834</v>
      </c>
      <c r="AY50" s="45">
        <v>2619</v>
      </c>
      <c r="AZ50" s="45">
        <v>2964</v>
      </c>
      <c r="BA50" s="45">
        <v>1276</v>
      </c>
      <c r="BB50" s="45">
        <v>170</v>
      </c>
      <c r="BC50" s="45">
        <v>1989</v>
      </c>
      <c r="BD50" s="45">
        <v>240</v>
      </c>
      <c r="BE50" s="45">
        <v>177</v>
      </c>
      <c r="BF50" s="45">
        <v>142</v>
      </c>
      <c r="BG50" s="45">
        <v>266</v>
      </c>
      <c r="BH50" s="45">
        <v>49</v>
      </c>
      <c r="BI50" s="45">
        <v>896</v>
      </c>
    </row>
    <row r="51" spans="1:61" x14ac:dyDescent="0.2">
      <c r="A51" s="43">
        <v>40969</v>
      </c>
      <c r="B51" s="44">
        <v>607.5</v>
      </c>
      <c r="C51" s="44">
        <v>345</v>
      </c>
      <c r="D51" s="44">
        <v>478</v>
      </c>
      <c r="E51" s="44">
        <v>297.5</v>
      </c>
      <c r="F51" s="44">
        <v>430</v>
      </c>
      <c r="G51" s="44">
        <v>380</v>
      </c>
      <c r="H51" s="44">
        <v>382</v>
      </c>
      <c r="I51" s="44">
        <v>270</v>
      </c>
      <c r="J51" s="44">
        <v>489.5</v>
      </c>
      <c r="K51" s="44">
        <v>385</v>
      </c>
      <c r="L51" s="44">
        <v>343</v>
      </c>
      <c r="M51" s="44">
        <v>250</v>
      </c>
      <c r="N51" s="44">
        <v>525</v>
      </c>
      <c r="O51" s="44">
        <v>395</v>
      </c>
      <c r="P51" s="44">
        <v>512.5</v>
      </c>
      <c r="Q51" s="44">
        <v>500</v>
      </c>
      <c r="R51" s="44">
        <v>298.5</v>
      </c>
      <c r="S51" s="44">
        <v>430</v>
      </c>
      <c r="T51" s="44">
        <v>245</v>
      </c>
      <c r="U51" s="44">
        <v>376</v>
      </c>
      <c r="V51" s="44">
        <v>330</v>
      </c>
      <c r="W51" s="44">
        <v>317</v>
      </c>
      <c r="X51" s="44">
        <v>180</v>
      </c>
      <c r="Y51" s="44">
        <v>406</v>
      </c>
      <c r="Z51" s="44">
        <v>325</v>
      </c>
      <c r="AA51" s="44">
        <v>268.8</v>
      </c>
      <c r="AB51" s="44">
        <v>228</v>
      </c>
      <c r="AC51" s="44">
        <v>420</v>
      </c>
      <c r="AD51" s="44">
        <v>310</v>
      </c>
      <c r="AE51" s="44">
        <v>415</v>
      </c>
      <c r="AF51" s="45">
        <v>9593</v>
      </c>
      <c r="AG51" s="45">
        <v>7811</v>
      </c>
      <c r="AH51" s="45">
        <v>11757</v>
      </c>
      <c r="AI51" s="45">
        <v>5919</v>
      </c>
      <c r="AJ51" s="45">
        <v>6811</v>
      </c>
      <c r="AK51" s="45">
        <v>9341</v>
      </c>
      <c r="AL51" s="45">
        <v>3681</v>
      </c>
      <c r="AM51" s="45">
        <v>1415</v>
      </c>
      <c r="AN51" s="45">
        <v>5995</v>
      </c>
      <c r="AO51" s="45">
        <v>1973</v>
      </c>
      <c r="AP51" s="45">
        <v>751</v>
      </c>
      <c r="AQ51" s="45">
        <v>1087</v>
      </c>
      <c r="AR51" s="45">
        <v>458</v>
      </c>
      <c r="AS51" s="45">
        <v>134</v>
      </c>
      <c r="AT51" s="45">
        <v>1099</v>
      </c>
      <c r="AU51" s="45">
        <v>7821</v>
      </c>
      <c r="AV51" s="45">
        <v>1878</v>
      </c>
      <c r="AW51" s="45">
        <v>5399</v>
      </c>
      <c r="AX51" s="45">
        <v>758</v>
      </c>
      <c r="AY51" s="45">
        <v>2858</v>
      </c>
      <c r="AZ51" s="45">
        <v>3103</v>
      </c>
      <c r="BA51" s="45">
        <v>1279</v>
      </c>
      <c r="BB51" s="45">
        <v>180</v>
      </c>
      <c r="BC51" s="45">
        <v>2143</v>
      </c>
      <c r="BD51" s="45">
        <v>203</v>
      </c>
      <c r="BE51" s="45">
        <v>242</v>
      </c>
      <c r="BF51" s="45">
        <v>155</v>
      </c>
      <c r="BG51" s="45">
        <v>323</v>
      </c>
      <c r="BH51" s="45">
        <v>52</v>
      </c>
      <c r="BI51" s="45">
        <v>816</v>
      </c>
    </row>
    <row r="52" spans="1:61" x14ac:dyDescent="0.2">
      <c r="A52" s="43">
        <v>41061</v>
      </c>
      <c r="B52" s="44">
        <v>600</v>
      </c>
      <c r="C52" s="44">
        <v>346</v>
      </c>
      <c r="D52" s="44">
        <v>485</v>
      </c>
      <c r="E52" s="44">
        <v>285</v>
      </c>
      <c r="F52" s="44">
        <v>435</v>
      </c>
      <c r="G52" s="44">
        <v>375</v>
      </c>
      <c r="H52" s="44">
        <v>385</v>
      </c>
      <c r="I52" s="44">
        <v>270</v>
      </c>
      <c r="J52" s="44">
        <v>499</v>
      </c>
      <c r="K52" s="44">
        <v>375</v>
      </c>
      <c r="L52" s="44">
        <v>327.5</v>
      </c>
      <c r="M52" s="44">
        <v>247</v>
      </c>
      <c r="N52" s="44">
        <v>543.5</v>
      </c>
      <c r="O52" s="44">
        <v>392.5</v>
      </c>
      <c r="P52" s="44">
        <v>482.5</v>
      </c>
      <c r="Q52" s="44">
        <v>510</v>
      </c>
      <c r="R52" s="44">
        <v>306.5</v>
      </c>
      <c r="S52" s="44">
        <v>430</v>
      </c>
      <c r="T52" s="44">
        <v>245</v>
      </c>
      <c r="U52" s="44">
        <v>381</v>
      </c>
      <c r="V52" s="44">
        <v>330</v>
      </c>
      <c r="W52" s="44">
        <v>315</v>
      </c>
      <c r="X52" s="44">
        <v>179</v>
      </c>
      <c r="Y52" s="44">
        <v>400</v>
      </c>
      <c r="Z52" s="44">
        <v>326.8</v>
      </c>
      <c r="AA52" s="44">
        <v>275</v>
      </c>
      <c r="AB52" s="44">
        <v>222.5</v>
      </c>
      <c r="AC52" s="44">
        <v>435</v>
      </c>
      <c r="AD52" s="44">
        <v>364.5</v>
      </c>
      <c r="AE52" s="44">
        <v>416.8</v>
      </c>
      <c r="AF52" s="45">
        <v>10923</v>
      </c>
      <c r="AG52" s="45">
        <v>8663</v>
      </c>
      <c r="AH52" s="45">
        <v>12839</v>
      </c>
      <c r="AI52" s="45">
        <v>6050</v>
      </c>
      <c r="AJ52" s="45">
        <v>6179</v>
      </c>
      <c r="AK52" s="45">
        <v>7755</v>
      </c>
      <c r="AL52" s="45">
        <v>3671</v>
      </c>
      <c r="AM52" s="45">
        <v>1283</v>
      </c>
      <c r="AN52" s="45">
        <v>5528</v>
      </c>
      <c r="AO52" s="45">
        <v>1652</v>
      </c>
      <c r="AP52" s="45">
        <v>682</v>
      </c>
      <c r="AQ52" s="45">
        <v>1010</v>
      </c>
      <c r="AR52" s="45">
        <v>388</v>
      </c>
      <c r="AS52" s="45">
        <v>112</v>
      </c>
      <c r="AT52" s="45">
        <v>1235</v>
      </c>
      <c r="AU52" s="45">
        <v>10331</v>
      </c>
      <c r="AV52" s="45">
        <v>1968</v>
      </c>
      <c r="AW52" s="45">
        <v>6314</v>
      </c>
      <c r="AX52" s="45">
        <v>768</v>
      </c>
      <c r="AY52" s="45">
        <v>2684</v>
      </c>
      <c r="AZ52" s="45">
        <v>2885</v>
      </c>
      <c r="BA52" s="45">
        <v>1254</v>
      </c>
      <c r="BB52" s="45">
        <v>165</v>
      </c>
      <c r="BC52" s="45">
        <v>1968</v>
      </c>
      <c r="BD52" s="45">
        <v>172</v>
      </c>
      <c r="BE52" s="45">
        <v>211</v>
      </c>
      <c r="BF52" s="45">
        <v>134</v>
      </c>
      <c r="BG52" s="45">
        <v>327</v>
      </c>
      <c r="BH52" s="45">
        <v>52</v>
      </c>
      <c r="BI52" s="45">
        <v>854</v>
      </c>
    </row>
    <row r="53" spans="1:61" x14ac:dyDescent="0.2">
      <c r="A53" s="43">
        <v>41153</v>
      </c>
      <c r="B53" s="44">
        <v>585</v>
      </c>
      <c r="C53" s="44">
        <v>335</v>
      </c>
      <c r="D53" s="44">
        <v>480</v>
      </c>
      <c r="E53" s="44">
        <v>290</v>
      </c>
      <c r="F53" s="44">
        <v>435</v>
      </c>
      <c r="G53" s="44">
        <v>380</v>
      </c>
      <c r="H53" s="44">
        <v>386</v>
      </c>
      <c r="I53" s="44">
        <v>265</v>
      </c>
      <c r="J53" s="44">
        <v>495</v>
      </c>
      <c r="K53" s="44">
        <v>380</v>
      </c>
      <c r="L53" s="44">
        <v>315</v>
      </c>
      <c r="M53" s="44">
        <v>249</v>
      </c>
      <c r="N53" s="44">
        <v>540</v>
      </c>
      <c r="O53" s="44">
        <v>385.5</v>
      </c>
      <c r="P53" s="44">
        <v>490</v>
      </c>
      <c r="Q53" s="44">
        <v>487</v>
      </c>
      <c r="R53" s="44">
        <v>290</v>
      </c>
      <c r="S53" s="44">
        <v>425</v>
      </c>
      <c r="T53" s="44">
        <v>235</v>
      </c>
      <c r="U53" s="44">
        <v>387.5</v>
      </c>
      <c r="V53" s="44">
        <v>315</v>
      </c>
      <c r="W53" s="44">
        <v>325</v>
      </c>
      <c r="X53" s="44">
        <v>156</v>
      </c>
      <c r="Y53" s="44">
        <v>400</v>
      </c>
      <c r="Z53" s="44">
        <v>322.5</v>
      </c>
      <c r="AA53" s="44">
        <v>275</v>
      </c>
      <c r="AB53" s="44">
        <v>225</v>
      </c>
      <c r="AC53" s="44">
        <v>410</v>
      </c>
      <c r="AD53" s="44">
        <v>315</v>
      </c>
      <c r="AE53" s="44">
        <v>411</v>
      </c>
      <c r="AF53" s="45">
        <v>11449</v>
      </c>
      <c r="AG53" s="45">
        <v>9665</v>
      </c>
      <c r="AH53" s="45">
        <v>12194</v>
      </c>
      <c r="AI53" s="45">
        <v>5676</v>
      </c>
      <c r="AJ53" s="45">
        <v>7809</v>
      </c>
      <c r="AK53" s="45">
        <v>9941</v>
      </c>
      <c r="AL53" s="45">
        <v>3641</v>
      </c>
      <c r="AM53" s="45">
        <v>1249</v>
      </c>
      <c r="AN53" s="45">
        <v>6091</v>
      </c>
      <c r="AO53" s="45">
        <v>1816</v>
      </c>
      <c r="AP53" s="45">
        <v>674</v>
      </c>
      <c r="AQ53" s="45">
        <v>1055</v>
      </c>
      <c r="AR53" s="45">
        <v>432</v>
      </c>
      <c r="AS53" s="45">
        <v>142</v>
      </c>
      <c r="AT53" s="45">
        <v>1125</v>
      </c>
      <c r="AU53" s="45">
        <v>9633</v>
      </c>
      <c r="AV53" s="45">
        <v>2102</v>
      </c>
      <c r="AW53" s="45">
        <v>6167</v>
      </c>
      <c r="AX53" s="45">
        <v>702</v>
      </c>
      <c r="AY53" s="45">
        <v>3008</v>
      </c>
      <c r="AZ53" s="45">
        <v>3320</v>
      </c>
      <c r="BA53" s="45">
        <v>1306</v>
      </c>
      <c r="BB53" s="45">
        <v>150</v>
      </c>
      <c r="BC53" s="45">
        <v>2201</v>
      </c>
      <c r="BD53" s="45">
        <v>218</v>
      </c>
      <c r="BE53" s="45">
        <v>260</v>
      </c>
      <c r="BF53" s="45">
        <v>187</v>
      </c>
      <c r="BG53" s="45">
        <v>422</v>
      </c>
      <c r="BH53" s="45">
        <v>55</v>
      </c>
      <c r="BI53" s="45">
        <v>885</v>
      </c>
    </row>
    <row r="54" spans="1:61" x14ac:dyDescent="0.2">
      <c r="A54" s="43">
        <v>41244</v>
      </c>
      <c r="B54" s="44">
        <v>640</v>
      </c>
      <c r="C54" s="44">
        <v>360</v>
      </c>
      <c r="D54" s="44">
        <v>508</v>
      </c>
      <c r="E54" s="44">
        <v>291.5</v>
      </c>
      <c r="F54" s="44">
        <v>440</v>
      </c>
      <c r="G54" s="44">
        <v>380</v>
      </c>
      <c r="H54" s="44">
        <v>395</v>
      </c>
      <c r="I54" s="44">
        <v>250</v>
      </c>
      <c r="J54" s="44">
        <v>510</v>
      </c>
      <c r="K54" s="44">
        <v>370</v>
      </c>
      <c r="L54" s="44">
        <v>331.3</v>
      </c>
      <c r="M54" s="44">
        <v>252.3</v>
      </c>
      <c r="N54" s="44">
        <v>561</v>
      </c>
      <c r="O54" s="44">
        <v>428</v>
      </c>
      <c r="P54" s="44">
        <v>519</v>
      </c>
      <c r="Q54" s="44">
        <v>525</v>
      </c>
      <c r="R54" s="44">
        <v>308.5</v>
      </c>
      <c r="S54" s="44">
        <v>440</v>
      </c>
      <c r="T54" s="44">
        <v>240</v>
      </c>
      <c r="U54" s="44">
        <v>385</v>
      </c>
      <c r="V54" s="44">
        <v>322.3</v>
      </c>
      <c r="W54" s="44">
        <v>325</v>
      </c>
      <c r="X54" s="44">
        <v>170</v>
      </c>
      <c r="Y54" s="44">
        <v>410</v>
      </c>
      <c r="Z54" s="44">
        <v>310</v>
      </c>
      <c r="AA54" s="44">
        <v>294</v>
      </c>
      <c r="AB54" s="44">
        <v>220</v>
      </c>
      <c r="AC54" s="44">
        <v>410.5</v>
      </c>
      <c r="AD54" s="44">
        <v>300</v>
      </c>
      <c r="AE54" s="44">
        <v>415.5</v>
      </c>
      <c r="AF54" s="45">
        <v>12333</v>
      </c>
      <c r="AG54" s="45">
        <v>8885</v>
      </c>
      <c r="AH54" s="45">
        <v>14223</v>
      </c>
      <c r="AI54" s="45">
        <v>6231</v>
      </c>
      <c r="AJ54" s="45">
        <v>7515</v>
      </c>
      <c r="AK54" s="45">
        <v>8806</v>
      </c>
      <c r="AL54" s="45">
        <v>3874</v>
      </c>
      <c r="AM54" s="45">
        <v>1345</v>
      </c>
      <c r="AN54" s="45">
        <v>6471</v>
      </c>
      <c r="AO54" s="45">
        <v>1515</v>
      </c>
      <c r="AP54" s="45">
        <v>790</v>
      </c>
      <c r="AQ54" s="45">
        <v>1086</v>
      </c>
      <c r="AR54" s="45">
        <v>424</v>
      </c>
      <c r="AS54" s="45">
        <v>167</v>
      </c>
      <c r="AT54" s="45">
        <v>1243</v>
      </c>
      <c r="AU54" s="45">
        <v>10716</v>
      </c>
      <c r="AV54" s="45">
        <v>2064</v>
      </c>
      <c r="AW54" s="45">
        <v>6785</v>
      </c>
      <c r="AX54" s="45">
        <v>787</v>
      </c>
      <c r="AY54" s="45">
        <v>2897</v>
      </c>
      <c r="AZ54" s="45">
        <v>3244</v>
      </c>
      <c r="BA54" s="45">
        <v>1400</v>
      </c>
      <c r="BB54" s="45">
        <v>147</v>
      </c>
      <c r="BC54" s="45">
        <v>2173</v>
      </c>
      <c r="BD54" s="45">
        <v>225</v>
      </c>
      <c r="BE54" s="45">
        <v>206</v>
      </c>
      <c r="BF54" s="45">
        <v>179</v>
      </c>
      <c r="BG54" s="45">
        <v>352</v>
      </c>
      <c r="BH54" s="45">
        <v>54</v>
      </c>
      <c r="BI54" s="45">
        <v>871</v>
      </c>
    </row>
    <row r="55" spans="1:61" x14ac:dyDescent="0.2">
      <c r="A55" s="43">
        <v>41334</v>
      </c>
      <c r="B55" s="44">
        <v>615</v>
      </c>
      <c r="C55" s="44">
        <v>357.5</v>
      </c>
      <c r="D55" s="44">
        <v>486</v>
      </c>
      <c r="E55" s="44">
        <v>298</v>
      </c>
      <c r="F55" s="44">
        <v>440</v>
      </c>
      <c r="G55" s="44">
        <v>390</v>
      </c>
      <c r="H55" s="44">
        <v>395</v>
      </c>
      <c r="I55" s="44">
        <v>247.5</v>
      </c>
      <c r="J55" s="44">
        <v>520</v>
      </c>
      <c r="K55" s="44">
        <v>380.5</v>
      </c>
      <c r="L55" s="44">
        <v>340</v>
      </c>
      <c r="M55" s="44">
        <v>250</v>
      </c>
      <c r="N55" s="44">
        <v>530</v>
      </c>
      <c r="O55" s="44">
        <v>415</v>
      </c>
      <c r="P55" s="44">
        <v>505</v>
      </c>
      <c r="Q55" s="44">
        <v>520</v>
      </c>
      <c r="R55" s="44">
        <v>300</v>
      </c>
      <c r="S55" s="44">
        <v>435</v>
      </c>
      <c r="T55" s="44">
        <v>235</v>
      </c>
      <c r="U55" s="44">
        <v>392</v>
      </c>
      <c r="V55" s="44">
        <v>327.8</v>
      </c>
      <c r="W55" s="44">
        <v>325</v>
      </c>
      <c r="X55" s="44">
        <v>185</v>
      </c>
      <c r="Y55" s="44">
        <v>430</v>
      </c>
      <c r="Z55" s="44">
        <v>315</v>
      </c>
      <c r="AA55" s="44">
        <v>276.8</v>
      </c>
      <c r="AB55" s="44">
        <v>227</v>
      </c>
      <c r="AC55" s="44">
        <v>445</v>
      </c>
      <c r="AD55" s="44">
        <v>331.3</v>
      </c>
      <c r="AE55" s="44">
        <v>410</v>
      </c>
      <c r="AF55" s="45">
        <v>10971</v>
      </c>
      <c r="AG55" s="45">
        <v>8665</v>
      </c>
      <c r="AH55" s="45">
        <v>12584</v>
      </c>
      <c r="AI55" s="45">
        <v>6050</v>
      </c>
      <c r="AJ55" s="45">
        <v>7588</v>
      </c>
      <c r="AK55" s="45">
        <v>8835</v>
      </c>
      <c r="AL55" s="45">
        <v>3851</v>
      </c>
      <c r="AM55" s="45">
        <v>1281</v>
      </c>
      <c r="AN55" s="45">
        <v>7931</v>
      </c>
      <c r="AO55" s="45">
        <v>1692</v>
      </c>
      <c r="AP55" s="45">
        <v>814</v>
      </c>
      <c r="AQ55" s="45">
        <v>1112</v>
      </c>
      <c r="AR55" s="45">
        <v>449</v>
      </c>
      <c r="AS55" s="45">
        <v>125</v>
      </c>
      <c r="AT55" s="45">
        <v>1123</v>
      </c>
      <c r="AU55" s="45">
        <v>10022</v>
      </c>
      <c r="AV55" s="45">
        <v>2088</v>
      </c>
      <c r="AW55" s="45">
        <v>5978</v>
      </c>
      <c r="AX55" s="45">
        <v>761</v>
      </c>
      <c r="AY55" s="45">
        <v>2888</v>
      </c>
      <c r="AZ55" s="45">
        <v>3408</v>
      </c>
      <c r="BA55" s="45">
        <v>1514</v>
      </c>
      <c r="BB55" s="45">
        <v>164</v>
      </c>
      <c r="BC55" s="45">
        <v>2537</v>
      </c>
      <c r="BD55" s="45">
        <v>279</v>
      </c>
      <c r="BE55" s="45">
        <v>272</v>
      </c>
      <c r="BF55" s="45">
        <v>191</v>
      </c>
      <c r="BG55" s="45">
        <v>346</v>
      </c>
      <c r="BH55" s="45">
        <v>56</v>
      </c>
      <c r="BI55" s="45">
        <v>760</v>
      </c>
    </row>
    <row r="56" spans="1:61" x14ac:dyDescent="0.2">
      <c r="A56" s="43">
        <v>41426</v>
      </c>
      <c r="B56" s="44">
        <v>650</v>
      </c>
      <c r="C56" s="44">
        <v>355</v>
      </c>
      <c r="D56" s="44">
        <v>500</v>
      </c>
      <c r="E56" s="44">
        <v>282.5</v>
      </c>
      <c r="F56" s="44">
        <v>445</v>
      </c>
      <c r="G56" s="44">
        <v>385.5</v>
      </c>
      <c r="H56" s="44">
        <v>395</v>
      </c>
      <c r="I56" s="44">
        <v>255</v>
      </c>
      <c r="J56" s="44">
        <v>529</v>
      </c>
      <c r="K56" s="44">
        <v>380</v>
      </c>
      <c r="L56" s="44">
        <v>330</v>
      </c>
      <c r="M56" s="44">
        <v>255</v>
      </c>
      <c r="N56" s="44">
        <v>540</v>
      </c>
      <c r="O56" s="44">
        <v>388</v>
      </c>
      <c r="P56" s="44">
        <v>510</v>
      </c>
      <c r="Q56" s="44">
        <v>530</v>
      </c>
      <c r="R56" s="44">
        <v>305</v>
      </c>
      <c r="S56" s="44">
        <v>442</v>
      </c>
      <c r="T56" s="44">
        <v>245</v>
      </c>
      <c r="U56" s="44">
        <v>395</v>
      </c>
      <c r="V56" s="44">
        <v>325</v>
      </c>
      <c r="W56" s="44">
        <v>330</v>
      </c>
      <c r="X56" s="44">
        <v>160.80000000000001</v>
      </c>
      <c r="Y56" s="44">
        <v>426</v>
      </c>
      <c r="Z56" s="44">
        <v>310</v>
      </c>
      <c r="AA56" s="44">
        <v>285</v>
      </c>
      <c r="AB56" s="44">
        <v>219</v>
      </c>
      <c r="AC56" s="44">
        <v>450</v>
      </c>
      <c r="AD56" s="44">
        <v>320</v>
      </c>
      <c r="AE56" s="44">
        <v>412.5</v>
      </c>
      <c r="AF56" s="45">
        <v>13403</v>
      </c>
      <c r="AG56" s="45">
        <v>9680</v>
      </c>
      <c r="AH56" s="45">
        <v>15568</v>
      </c>
      <c r="AI56" s="45">
        <v>6827</v>
      </c>
      <c r="AJ56" s="45">
        <v>8342</v>
      </c>
      <c r="AK56" s="45">
        <v>9303</v>
      </c>
      <c r="AL56" s="45">
        <v>4314</v>
      </c>
      <c r="AM56" s="45">
        <v>1329</v>
      </c>
      <c r="AN56" s="45">
        <v>7971</v>
      </c>
      <c r="AO56" s="45">
        <v>1656</v>
      </c>
      <c r="AP56" s="45">
        <v>817</v>
      </c>
      <c r="AQ56" s="45">
        <v>1145</v>
      </c>
      <c r="AR56" s="45">
        <v>436</v>
      </c>
      <c r="AS56" s="45">
        <v>146</v>
      </c>
      <c r="AT56" s="45">
        <v>1337</v>
      </c>
      <c r="AU56" s="45">
        <v>11976</v>
      </c>
      <c r="AV56" s="45">
        <v>2415</v>
      </c>
      <c r="AW56" s="45">
        <v>7411</v>
      </c>
      <c r="AX56" s="45">
        <v>763</v>
      </c>
      <c r="AY56" s="45">
        <v>3296</v>
      </c>
      <c r="AZ56" s="45">
        <v>3481</v>
      </c>
      <c r="BA56" s="45">
        <v>1533</v>
      </c>
      <c r="BB56" s="45">
        <v>138</v>
      </c>
      <c r="BC56" s="45">
        <v>2540</v>
      </c>
      <c r="BD56" s="45">
        <v>258</v>
      </c>
      <c r="BE56" s="45">
        <v>285</v>
      </c>
      <c r="BF56" s="45">
        <v>191</v>
      </c>
      <c r="BG56" s="45">
        <v>329</v>
      </c>
      <c r="BH56" s="45">
        <v>62</v>
      </c>
      <c r="BI56" s="45">
        <v>876</v>
      </c>
    </row>
    <row r="57" spans="1:61" x14ac:dyDescent="0.2">
      <c r="A57" s="43">
        <v>41518</v>
      </c>
      <c r="B57" s="44">
        <v>670</v>
      </c>
      <c r="C57" s="44">
        <v>350</v>
      </c>
      <c r="D57" s="44">
        <v>520</v>
      </c>
      <c r="E57" s="44">
        <v>298</v>
      </c>
      <c r="F57" s="44">
        <v>449</v>
      </c>
      <c r="G57" s="44">
        <v>386.3</v>
      </c>
      <c r="H57" s="44">
        <v>395</v>
      </c>
      <c r="I57" s="44">
        <v>253</v>
      </c>
      <c r="J57" s="44">
        <v>520</v>
      </c>
      <c r="K57" s="44">
        <v>375</v>
      </c>
      <c r="L57" s="44">
        <v>325</v>
      </c>
      <c r="M57" s="44">
        <v>249.5</v>
      </c>
      <c r="N57" s="44">
        <v>570</v>
      </c>
      <c r="O57" s="44">
        <v>389.9</v>
      </c>
      <c r="P57" s="44">
        <v>505</v>
      </c>
      <c r="Q57" s="44">
        <v>550</v>
      </c>
      <c r="R57" s="44">
        <v>315</v>
      </c>
      <c r="S57" s="44">
        <v>445</v>
      </c>
      <c r="T57" s="44">
        <v>234.9</v>
      </c>
      <c r="U57" s="44">
        <v>395</v>
      </c>
      <c r="V57" s="44">
        <v>327</v>
      </c>
      <c r="W57" s="44">
        <v>324</v>
      </c>
      <c r="X57" s="44">
        <v>180</v>
      </c>
      <c r="Y57" s="44">
        <v>430</v>
      </c>
      <c r="Z57" s="44">
        <v>314.5</v>
      </c>
      <c r="AA57" s="44">
        <v>266</v>
      </c>
      <c r="AB57" s="44">
        <v>216.5</v>
      </c>
      <c r="AC57" s="44">
        <v>459.8</v>
      </c>
      <c r="AD57" s="44">
        <v>305</v>
      </c>
      <c r="AE57" s="44">
        <v>415</v>
      </c>
      <c r="AF57" s="45">
        <v>13981</v>
      </c>
      <c r="AG57" s="45">
        <v>10071</v>
      </c>
      <c r="AH57" s="45">
        <v>14532</v>
      </c>
      <c r="AI57" s="45">
        <v>5958</v>
      </c>
      <c r="AJ57" s="45">
        <v>9131</v>
      </c>
      <c r="AK57" s="45">
        <v>9830</v>
      </c>
      <c r="AL57" s="45">
        <v>4194</v>
      </c>
      <c r="AM57" s="45">
        <v>1359</v>
      </c>
      <c r="AN57" s="45">
        <v>7945</v>
      </c>
      <c r="AO57" s="45">
        <v>1659</v>
      </c>
      <c r="AP57" s="45">
        <v>857</v>
      </c>
      <c r="AQ57" s="45">
        <v>1230</v>
      </c>
      <c r="AR57" s="45">
        <v>450</v>
      </c>
      <c r="AS57" s="45">
        <v>157</v>
      </c>
      <c r="AT57" s="45">
        <v>1290</v>
      </c>
      <c r="AU57" s="45">
        <v>13263</v>
      </c>
      <c r="AV57" s="45">
        <v>2496</v>
      </c>
      <c r="AW57" s="45">
        <v>6987</v>
      </c>
      <c r="AX57" s="45">
        <v>743</v>
      </c>
      <c r="AY57" s="45">
        <v>3583</v>
      </c>
      <c r="AZ57" s="45">
        <v>3816</v>
      </c>
      <c r="BA57" s="45">
        <v>1507</v>
      </c>
      <c r="BB57" s="45">
        <v>160</v>
      </c>
      <c r="BC57" s="45">
        <v>2579</v>
      </c>
      <c r="BD57" s="45">
        <v>256</v>
      </c>
      <c r="BE57" s="45">
        <v>270</v>
      </c>
      <c r="BF57" s="45">
        <v>214</v>
      </c>
      <c r="BG57" s="45">
        <v>358</v>
      </c>
      <c r="BH57" s="45">
        <v>47</v>
      </c>
      <c r="BI57" s="45">
        <v>895</v>
      </c>
    </row>
    <row r="58" spans="1:61" x14ac:dyDescent="0.2">
      <c r="A58" s="43">
        <v>41609</v>
      </c>
      <c r="B58" s="44">
        <v>745</v>
      </c>
      <c r="C58" s="44">
        <v>370</v>
      </c>
      <c r="D58" s="44">
        <v>561</v>
      </c>
      <c r="E58" s="44">
        <v>308</v>
      </c>
      <c r="F58" s="44">
        <v>465</v>
      </c>
      <c r="G58" s="44">
        <v>395</v>
      </c>
      <c r="H58" s="44">
        <v>412</v>
      </c>
      <c r="I58" s="44">
        <v>268.3</v>
      </c>
      <c r="J58" s="44">
        <v>552</v>
      </c>
      <c r="K58" s="44">
        <v>385</v>
      </c>
      <c r="L58" s="44">
        <v>350</v>
      </c>
      <c r="M58" s="44">
        <v>250</v>
      </c>
      <c r="N58" s="44">
        <v>579</v>
      </c>
      <c r="O58" s="44">
        <v>424</v>
      </c>
      <c r="P58" s="44">
        <v>503.3</v>
      </c>
      <c r="Q58" s="44">
        <v>565</v>
      </c>
      <c r="R58" s="44">
        <v>320</v>
      </c>
      <c r="S58" s="44">
        <v>467</v>
      </c>
      <c r="T58" s="44">
        <v>245</v>
      </c>
      <c r="U58" s="44">
        <v>400</v>
      </c>
      <c r="V58" s="44">
        <v>331</v>
      </c>
      <c r="W58" s="44">
        <v>330</v>
      </c>
      <c r="X58" s="44">
        <v>196</v>
      </c>
      <c r="Y58" s="44">
        <v>450</v>
      </c>
      <c r="Z58" s="44">
        <v>320</v>
      </c>
      <c r="AA58" s="44">
        <v>295</v>
      </c>
      <c r="AB58" s="44">
        <v>220</v>
      </c>
      <c r="AC58" s="44">
        <v>481</v>
      </c>
      <c r="AD58" s="44">
        <v>370</v>
      </c>
      <c r="AE58" s="44">
        <v>420.5</v>
      </c>
      <c r="AF58" s="45">
        <v>15556</v>
      </c>
      <c r="AG58" s="45">
        <v>10805</v>
      </c>
      <c r="AH58" s="45">
        <v>17118</v>
      </c>
      <c r="AI58" s="45">
        <v>6849</v>
      </c>
      <c r="AJ58" s="45">
        <v>9466</v>
      </c>
      <c r="AK58" s="45">
        <v>10332</v>
      </c>
      <c r="AL58" s="45">
        <v>4476</v>
      </c>
      <c r="AM58" s="45">
        <v>1448</v>
      </c>
      <c r="AN58" s="45">
        <v>8020</v>
      </c>
      <c r="AO58" s="45">
        <v>1728</v>
      </c>
      <c r="AP58" s="45">
        <v>829</v>
      </c>
      <c r="AQ58" s="45">
        <v>1168</v>
      </c>
      <c r="AR58" s="45">
        <v>441</v>
      </c>
      <c r="AS58" s="45">
        <v>135</v>
      </c>
      <c r="AT58" s="45">
        <v>1353</v>
      </c>
      <c r="AU58" s="45">
        <v>12353</v>
      </c>
      <c r="AV58" s="45">
        <v>2774</v>
      </c>
      <c r="AW58" s="45">
        <v>7967</v>
      </c>
      <c r="AX58" s="45">
        <v>845</v>
      </c>
      <c r="AY58" s="45">
        <v>3647</v>
      </c>
      <c r="AZ58" s="45">
        <v>4027</v>
      </c>
      <c r="BA58" s="45">
        <v>1581</v>
      </c>
      <c r="BB58" s="45">
        <v>167</v>
      </c>
      <c r="BC58" s="45">
        <v>2592</v>
      </c>
      <c r="BD58" s="45">
        <v>242</v>
      </c>
      <c r="BE58" s="45">
        <v>295</v>
      </c>
      <c r="BF58" s="45">
        <v>167</v>
      </c>
      <c r="BG58" s="45">
        <v>351</v>
      </c>
      <c r="BH58" s="45">
        <v>63</v>
      </c>
      <c r="BI58" s="45">
        <v>808</v>
      </c>
    </row>
    <row r="59" spans="1:61" x14ac:dyDescent="0.2">
      <c r="A59" s="43">
        <v>41699</v>
      </c>
      <c r="B59" s="44">
        <v>680</v>
      </c>
      <c r="C59" s="44">
        <v>362</v>
      </c>
      <c r="D59" s="44">
        <v>504</v>
      </c>
      <c r="E59" s="44">
        <v>290</v>
      </c>
      <c r="F59" s="44">
        <v>448</v>
      </c>
      <c r="G59" s="44">
        <v>390</v>
      </c>
      <c r="H59" s="44">
        <v>407</v>
      </c>
      <c r="I59" s="44">
        <v>265</v>
      </c>
      <c r="J59" s="44">
        <v>530.5</v>
      </c>
      <c r="K59" s="44">
        <v>379</v>
      </c>
      <c r="L59" s="44">
        <v>360</v>
      </c>
      <c r="M59" s="44">
        <v>247</v>
      </c>
      <c r="N59" s="44">
        <v>595</v>
      </c>
      <c r="O59" s="44">
        <v>412.5</v>
      </c>
      <c r="P59" s="44">
        <v>553.70000000000005</v>
      </c>
      <c r="Q59" s="44">
        <v>591.5</v>
      </c>
      <c r="R59" s="44">
        <v>330</v>
      </c>
      <c r="S59" s="44">
        <v>475.5</v>
      </c>
      <c r="T59" s="44">
        <v>250</v>
      </c>
      <c r="U59" s="44">
        <v>405</v>
      </c>
      <c r="V59" s="44">
        <v>338</v>
      </c>
      <c r="W59" s="44">
        <v>326</v>
      </c>
      <c r="X59" s="44">
        <v>178.5</v>
      </c>
      <c r="Y59" s="44">
        <v>445</v>
      </c>
      <c r="Z59" s="44">
        <v>325</v>
      </c>
      <c r="AA59" s="44">
        <v>275</v>
      </c>
      <c r="AB59" s="44">
        <v>230</v>
      </c>
      <c r="AC59" s="44">
        <v>496.1</v>
      </c>
      <c r="AD59" s="44">
        <v>337</v>
      </c>
      <c r="AE59" s="44">
        <v>410</v>
      </c>
      <c r="AF59" s="45">
        <v>13416</v>
      </c>
      <c r="AG59" s="45">
        <v>10484</v>
      </c>
      <c r="AH59" s="45">
        <v>12426</v>
      </c>
      <c r="AI59" s="45">
        <v>5090</v>
      </c>
      <c r="AJ59" s="45">
        <v>9595</v>
      </c>
      <c r="AK59" s="45">
        <v>9890</v>
      </c>
      <c r="AL59" s="45">
        <v>4253</v>
      </c>
      <c r="AM59" s="45">
        <v>1552</v>
      </c>
      <c r="AN59" s="45">
        <v>8222</v>
      </c>
      <c r="AO59" s="45">
        <v>1679</v>
      </c>
      <c r="AP59" s="45">
        <v>935</v>
      </c>
      <c r="AQ59" s="45">
        <v>1307</v>
      </c>
      <c r="AR59" s="45">
        <v>372</v>
      </c>
      <c r="AS59" s="45">
        <v>119</v>
      </c>
      <c r="AT59" s="45">
        <v>982</v>
      </c>
      <c r="AU59" s="45">
        <v>12721</v>
      </c>
      <c r="AV59" s="45">
        <v>2564</v>
      </c>
      <c r="AW59" s="45">
        <v>10203</v>
      </c>
      <c r="AX59" s="45">
        <v>922</v>
      </c>
      <c r="AY59" s="45">
        <v>4557</v>
      </c>
      <c r="AZ59" s="45">
        <v>4857</v>
      </c>
      <c r="BA59" s="45">
        <v>1514</v>
      </c>
      <c r="BB59" s="45">
        <v>188</v>
      </c>
      <c r="BC59" s="45">
        <v>3026</v>
      </c>
      <c r="BD59" s="45">
        <v>261</v>
      </c>
      <c r="BE59" s="45">
        <v>313</v>
      </c>
      <c r="BF59" s="45">
        <v>209</v>
      </c>
      <c r="BG59" s="45">
        <v>329</v>
      </c>
      <c r="BH59" s="45">
        <v>56</v>
      </c>
      <c r="BI59" s="45">
        <v>759</v>
      </c>
    </row>
    <row r="60" spans="1:61" x14ac:dyDescent="0.2">
      <c r="A60" s="43">
        <v>41791</v>
      </c>
      <c r="B60" s="44">
        <v>728</v>
      </c>
      <c r="C60" s="44">
        <v>368</v>
      </c>
      <c r="D60" s="44">
        <v>528.9</v>
      </c>
      <c r="E60" s="44">
        <v>286</v>
      </c>
      <c r="F60" s="44">
        <v>459</v>
      </c>
      <c r="G60" s="44">
        <v>390</v>
      </c>
      <c r="H60" s="44">
        <v>405</v>
      </c>
      <c r="I60" s="44">
        <v>250</v>
      </c>
      <c r="J60" s="44">
        <v>525</v>
      </c>
      <c r="K60" s="44">
        <v>366</v>
      </c>
      <c r="L60" s="44">
        <v>340</v>
      </c>
      <c r="M60" s="44">
        <v>236.3</v>
      </c>
      <c r="N60" s="44">
        <v>557.5</v>
      </c>
      <c r="O60" s="44">
        <v>420</v>
      </c>
      <c r="P60" s="44">
        <v>550</v>
      </c>
      <c r="Q60" s="44">
        <v>610</v>
      </c>
      <c r="R60" s="44">
        <v>330</v>
      </c>
      <c r="S60" s="44">
        <v>479</v>
      </c>
      <c r="T60" s="44">
        <v>245</v>
      </c>
      <c r="U60" s="44">
        <v>414</v>
      </c>
      <c r="V60" s="44">
        <v>345</v>
      </c>
      <c r="W60" s="44">
        <v>345</v>
      </c>
      <c r="X60" s="44">
        <v>190</v>
      </c>
      <c r="Y60" s="44">
        <v>452</v>
      </c>
      <c r="Z60" s="44">
        <v>322</v>
      </c>
      <c r="AA60" s="44">
        <v>282</v>
      </c>
      <c r="AB60" s="44">
        <v>226.3</v>
      </c>
      <c r="AC60" s="44">
        <v>465</v>
      </c>
      <c r="AD60" s="44">
        <v>335</v>
      </c>
      <c r="AE60" s="44">
        <v>410</v>
      </c>
      <c r="AF60" s="45">
        <v>15183</v>
      </c>
      <c r="AG60" s="45">
        <v>10900</v>
      </c>
      <c r="AH60" s="45">
        <v>14354</v>
      </c>
      <c r="AI60" s="45">
        <v>5249</v>
      </c>
      <c r="AJ60" s="45">
        <v>9212</v>
      </c>
      <c r="AK60" s="45">
        <v>8732</v>
      </c>
      <c r="AL60" s="45">
        <v>4230</v>
      </c>
      <c r="AM60" s="45">
        <v>1433</v>
      </c>
      <c r="AN60" s="45">
        <v>7635</v>
      </c>
      <c r="AO60" s="45">
        <v>1577</v>
      </c>
      <c r="AP60" s="45">
        <v>931</v>
      </c>
      <c r="AQ60" s="45">
        <v>1388</v>
      </c>
      <c r="AR60" s="45">
        <v>452</v>
      </c>
      <c r="AS60" s="45">
        <v>113</v>
      </c>
      <c r="AT60" s="45">
        <v>1044</v>
      </c>
      <c r="AU60" s="45">
        <v>14466</v>
      </c>
      <c r="AV60" s="45">
        <v>2551</v>
      </c>
      <c r="AW60" s="45">
        <v>12328</v>
      </c>
      <c r="AX60" s="45">
        <v>913</v>
      </c>
      <c r="AY60" s="45">
        <v>4788</v>
      </c>
      <c r="AZ60" s="45">
        <v>4573</v>
      </c>
      <c r="BA60" s="45">
        <v>1665</v>
      </c>
      <c r="BB60" s="45">
        <v>153</v>
      </c>
      <c r="BC60" s="45">
        <v>2908</v>
      </c>
      <c r="BD60" s="45">
        <v>242</v>
      </c>
      <c r="BE60" s="45">
        <v>314</v>
      </c>
      <c r="BF60" s="45">
        <v>230</v>
      </c>
      <c r="BG60" s="45">
        <v>375</v>
      </c>
      <c r="BH60" s="45">
        <v>40</v>
      </c>
      <c r="BI60" s="45">
        <v>931</v>
      </c>
    </row>
    <row r="61" spans="1:61" x14ac:dyDescent="0.2">
      <c r="A61" s="43">
        <v>41883</v>
      </c>
      <c r="B61" s="44">
        <v>730</v>
      </c>
      <c r="C61" s="44">
        <v>368.6</v>
      </c>
      <c r="D61" s="44">
        <v>505</v>
      </c>
      <c r="E61" s="44">
        <v>280</v>
      </c>
      <c r="F61" s="44">
        <v>451</v>
      </c>
      <c r="G61" s="44">
        <v>390</v>
      </c>
      <c r="H61" s="44">
        <v>410</v>
      </c>
      <c r="I61" s="44">
        <v>255</v>
      </c>
      <c r="J61" s="44">
        <v>530</v>
      </c>
      <c r="K61" s="44">
        <v>370</v>
      </c>
      <c r="L61" s="44">
        <v>345</v>
      </c>
      <c r="M61" s="44">
        <v>262.5</v>
      </c>
      <c r="N61" s="44">
        <v>570</v>
      </c>
      <c r="O61" s="44">
        <v>439</v>
      </c>
      <c r="P61" s="44">
        <v>554</v>
      </c>
      <c r="Q61" s="44">
        <v>620</v>
      </c>
      <c r="R61" s="44">
        <v>326</v>
      </c>
      <c r="S61" s="44">
        <v>478.5</v>
      </c>
      <c r="T61" s="44">
        <v>245</v>
      </c>
      <c r="U61" s="44">
        <v>420</v>
      </c>
      <c r="V61" s="44">
        <v>330</v>
      </c>
      <c r="W61" s="44">
        <v>342.5</v>
      </c>
      <c r="X61" s="44">
        <v>190</v>
      </c>
      <c r="Y61" s="44">
        <v>442</v>
      </c>
      <c r="Z61" s="44">
        <v>325</v>
      </c>
      <c r="AA61" s="44">
        <v>267.5</v>
      </c>
      <c r="AB61" s="44">
        <v>235</v>
      </c>
      <c r="AC61" s="44">
        <v>485</v>
      </c>
      <c r="AD61" s="44">
        <v>377.5</v>
      </c>
      <c r="AE61" s="44">
        <v>410</v>
      </c>
      <c r="AF61" s="45">
        <v>14759</v>
      </c>
      <c r="AG61" s="45">
        <v>11019</v>
      </c>
      <c r="AH61" s="45">
        <v>14032</v>
      </c>
      <c r="AI61" s="45">
        <v>5109</v>
      </c>
      <c r="AJ61" s="45">
        <v>9747</v>
      </c>
      <c r="AK61" s="45">
        <v>9528</v>
      </c>
      <c r="AL61" s="45">
        <v>4096</v>
      </c>
      <c r="AM61" s="45">
        <v>1386</v>
      </c>
      <c r="AN61" s="45">
        <v>7304</v>
      </c>
      <c r="AO61" s="45">
        <v>1592</v>
      </c>
      <c r="AP61" s="45">
        <v>786</v>
      </c>
      <c r="AQ61" s="45">
        <v>1171</v>
      </c>
      <c r="AR61" s="45">
        <v>414</v>
      </c>
      <c r="AS61" s="45">
        <v>152</v>
      </c>
      <c r="AT61" s="45">
        <v>960</v>
      </c>
      <c r="AU61" s="45">
        <v>13328</v>
      </c>
      <c r="AV61" s="45">
        <v>2403</v>
      </c>
      <c r="AW61" s="45">
        <v>11956</v>
      </c>
      <c r="AX61" s="45">
        <v>934</v>
      </c>
      <c r="AY61" s="45">
        <v>4979</v>
      </c>
      <c r="AZ61" s="45">
        <v>4859</v>
      </c>
      <c r="BA61" s="45">
        <v>1744</v>
      </c>
      <c r="BB61" s="45">
        <v>177</v>
      </c>
      <c r="BC61" s="45">
        <v>2798</v>
      </c>
      <c r="BD61" s="45">
        <v>277</v>
      </c>
      <c r="BE61" s="45">
        <v>270</v>
      </c>
      <c r="BF61" s="45">
        <v>236</v>
      </c>
      <c r="BG61" s="45">
        <v>397</v>
      </c>
      <c r="BH61" s="45">
        <v>58</v>
      </c>
      <c r="BI61" s="45">
        <v>887</v>
      </c>
    </row>
    <row r="62" spans="1:61" x14ac:dyDescent="0.2">
      <c r="A62" s="43">
        <v>41974</v>
      </c>
      <c r="B62" s="44">
        <v>816</v>
      </c>
      <c r="C62" s="44">
        <v>380</v>
      </c>
      <c r="D62" s="44">
        <v>552.5</v>
      </c>
      <c r="E62" s="44">
        <v>298</v>
      </c>
      <c r="F62" s="44">
        <v>467</v>
      </c>
      <c r="G62" s="44">
        <v>405</v>
      </c>
      <c r="H62" s="44">
        <v>425</v>
      </c>
      <c r="I62" s="44">
        <v>275</v>
      </c>
      <c r="J62" s="44">
        <v>531</v>
      </c>
      <c r="K62" s="44">
        <v>380</v>
      </c>
      <c r="L62" s="44">
        <v>356.5</v>
      </c>
      <c r="M62" s="44">
        <v>253.5</v>
      </c>
      <c r="N62" s="44">
        <v>581</v>
      </c>
      <c r="O62" s="44">
        <v>420</v>
      </c>
      <c r="P62" s="44">
        <v>570</v>
      </c>
      <c r="Q62" s="44">
        <v>650</v>
      </c>
      <c r="R62" s="44">
        <v>333</v>
      </c>
      <c r="S62" s="44">
        <v>490</v>
      </c>
      <c r="T62" s="44">
        <v>250</v>
      </c>
      <c r="U62" s="44">
        <v>420</v>
      </c>
      <c r="V62" s="44">
        <v>340</v>
      </c>
      <c r="W62" s="44">
        <v>345</v>
      </c>
      <c r="X62" s="44">
        <v>180.1</v>
      </c>
      <c r="Y62" s="44">
        <v>445</v>
      </c>
      <c r="Z62" s="44">
        <v>320</v>
      </c>
      <c r="AA62" s="44">
        <v>279.5</v>
      </c>
      <c r="AB62" s="44">
        <v>235</v>
      </c>
      <c r="AC62" s="44">
        <v>465</v>
      </c>
      <c r="AD62" s="44">
        <v>339.5</v>
      </c>
      <c r="AE62" s="44">
        <v>422</v>
      </c>
      <c r="AF62" s="45">
        <v>16311</v>
      </c>
      <c r="AG62" s="45">
        <v>11864</v>
      </c>
      <c r="AH62" s="45">
        <v>16407</v>
      </c>
      <c r="AI62" s="45">
        <v>5323</v>
      </c>
      <c r="AJ62" s="45">
        <v>9365</v>
      </c>
      <c r="AK62" s="45">
        <v>9246</v>
      </c>
      <c r="AL62" s="45">
        <v>4502</v>
      </c>
      <c r="AM62" s="45">
        <v>1442</v>
      </c>
      <c r="AN62" s="45">
        <v>6864</v>
      </c>
      <c r="AO62" s="45">
        <v>1530</v>
      </c>
      <c r="AP62" s="45">
        <v>940</v>
      </c>
      <c r="AQ62" s="45">
        <v>1264</v>
      </c>
      <c r="AR62" s="45">
        <v>352</v>
      </c>
      <c r="AS62" s="45">
        <v>141</v>
      </c>
      <c r="AT62" s="45">
        <v>1216</v>
      </c>
      <c r="AU62" s="45">
        <v>14730</v>
      </c>
      <c r="AV62" s="45">
        <v>2638</v>
      </c>
      <c r="AW62" s="45">
        <v>11872</v>
      </c>
      <c r="AX62" s="45">
        <v>971</v>
      </c>
      <c r="AY62" s="45">
        <v>4576</v>
      </c>
      <c r="AZ62" s="45">
        <v>4571</v>
      </c>
      <c r="BA62" s="45">
        <v>1608</v>
      </c>
      <c r="BB62" s="45">
        <v>136</v>
      </c>
      <c r="BC62" s="45">
        <v>2459</v>
      </c>
      <c r="BD62" s="45">
        <v>233</v>
      </c>
      <c r="BE62" s="45">
        <v>320</v>
      </c>
      <c r="BF62" s="45">
        <v>214</v>
      </c>
      <c r="BG62" s="45">
        <v>394</v>
      </c>
      <c r="BH62" s="45">
        <v>68</v>
      </c>
      <c r="BI62" s="45">
        <v>1027</v>
      </c>
    </row>
    <row r="63" spans="1:61" x14ac:dyDescent="0.2">
      <c r="A63" s="43">
        <v>42064</v>
      </c>
      <c r="B63" s="44">
        <v>792.5</v>
      </c>
      <c r="C63" s="44">
        <v>390</v>
      </c>
      <c r="D63" s="44">
        <v>525</v>
      </c>
      <c r="E63" s="44">
        <v>299</v>
      </c>
      <c r="F63" s="44">
        <v>462.8</v>
      </c>
      <c r="G63" s="44">
        <v>410</v>
      </c>
      <c r="H63" s="44">
        <v>415.5</v>
      </c>
      <c r="I63" s="44">
        <v>265</v>
      </c>
      <c r="J63" s="44">
        <v>536.5</v>
      </c>
      <c r="K63" s="44">
        <v>370</v>
      </c>
      <c r="L63" s="44">
        <v>360</v>
      </c>
      <c r="M63" s="44">
        <v>255</v>
      </c>
      <c r="N63" s="44">
        <v>570</v>
      </c>
      <c r="O63" s="44">
        <v>430</v>
      </c>
      <c r="P63" s="44">
        <v>585</v>
      </c>
      <c r="Q63" s="44">
        <v>657</v>
      </c>
      <c r="R63" s="44">
        <v>340</v>
      </c>
      <c r="S63" s="44">
        <v>480.8</v>
      </c>
      <c r="T63" s="44">
        <v>250</v>
      </c>
      <c r="U63" s="44">
        <v>420</v>
      </c>
      <c r="V63" s="44">
        <v>350</v>
      </c>
      <c r="W63" s="44">
        <v>345</v>
      </c>
      <c r="X63" s="44">
        <v>185</v>
      </c>
      <c r="Y63" s="44">
        <v>440</v>
      </c>
      <c r="Z63" s="44">
        <v>325</v>
      </c>
      <c r="AA63" s="44">
        <v>285</v>
      </c>
      <c r="AB63" s="44">
        <v>220.5</v>
      </c>
      <c r="AC63" s="44">
        <v>485</v>
      </c>
      <c r="AD63" s="44">
        <v>375</v>
      </c>
      <c r="AE63" s="44">
        <v>420</v>
      </c>
      <c r="AF63" s="45">
        <v>13518</v>
      </c>
      <c r="AG63" s="45">
        <v>10929</v>
      </c>
      <c r="AH63" s="45">
        <v>13871</v>
      </c>
      <c r="AI63" s="45">
        <v>5504</v>
      </c>
      <c r="AJ63" s="45">
        <v>9498</v>
      </c>
      <c r="AK63" s="45">
        <v>9421</v>
      </c>
      <c r="AL63" s="45">
        <v>4383</v>
      </c>
      <c r="AM63" s="45">
        <v>1555</v>
      </c>
      <c r="AN63" s="45">
        <v>6830</v>
      </c>
      <c r="AO63" s="45">
        <v>1590</v>
      </c>
      <c r="AP63" s="45">
        <v>945</v>
      </c>
      <c r="AQ63" s="45">
        <v>1439</v>
      </c>
      <c r="AR63" s="45">
        <v>306</v>
      </c>
      <c r="AS63" s="45">
        <v>89</v>
      </c>
      <c r="AT63" s="45">
        <v>1013</v>
      </c>
      <c r="AU63" s="45">
        <v>12507</v>
      </c>
      <c r="AV63" s="45">
        <v>2663</v>
      </c>
      <c r="AW63" s="45">
        <v>10877</v>
      </c>
      <c r="AX63" s="45">
        <v>1016</v>
      </c>
      <c r="AY63" s="45">
        <v>4537</v>
      </c>
      <c r="AZ63" s="45">
        <v>5268</v>
      </c>
      <c r="BA63" s="45">
        <v>1692</v>
      </c>
      <c r="BB63" s="45">
        <v>205</v>
      </c>
      <c r="BC63" s="45">
        <v>2654</v>
      </c>
      <c r="BD63" s="45">
        <v>230</v>
      </c>
      <c r="BE63" s="45">
        <v>303</v>
      </c>
      <c r="BF63" s="45">
        <v>225</v>
      </c>
      <c r="BG63" s="45">
        <v>316</v>
      </c>
      <c r="BH63" s="45">
        <v>43</v>
      </c>
      <c r="BI63" s="45">
        <v>924</v>
      </c>
    </row>
    <row r="64" spans="1:61" x14ac:dyDescent="0.2">
      <c r="A64" s="43">
        <v>42156</v>
      </c>
      <c r="B64" s="44">
        <v>860</v>
      </c>
      <c r="C64" s="44">
        <v>395</v>
      </c>
      <c r="D64" s="44">
        <v>561</v>
      </c>
      <c r="E64" s="44">
        <v>295</v>
      </c>
      <c r="F64" s="44">
        <v>465</v>
      </c>
      <c r="G64" s="44">
        <v>410.3</v>
      </c>
      <c r="H64" s="44">
        <v>420</v>
      </c>
      <c r="I64" s="44">
        <v>260</v>
      </c>
      <c r="J64" s="44">
        <v>537</v>
      </c>
      <c r="K64" s="44">
        <v>355</v>
      </c>
      <c r="L64" s="44">
        <v>350</v>
      </c>
      <c r="M64" s="44">
        <v>252.5</v>
      </c>
      <c r="N64" s="44">
        <v>595</v>
      </c>
      <c r="O64" s="44">
        <v>450</v>
      </c>
      <c r="P64" s="44">
        <v>580</v>
      </c>
      <c r="Q64" s="44">
        <v>705</v>
      </c>
      <c r="R64" s="44">
        <v>350</v>
      </c>
      <c r="S64" s="44">
        <v>515</v>
      </c>
      <c r="T64" s="44">
        <v>255</v>
      </c>
      <c r="U64" s="44">
        <v>425</v>
      </c>
      <c r="V64" s="44">
        <v>350</v>
      </c>
      <c r="W64" s="44">
        <v>345</v>
      </c>
      <c r="X64" s="44">
        <v>210</v>
      </c>
      <c r="Y64" s="44">
        <v>434.5</v>
      </c>
      <c r="Z64" s="44">
        <v>315</v>
      </c>
      <c r="AA64" s="44">
        <v>286</v>
      </c>
      <c r="AB64" s="44">
        <v>232</v>
      </c>
      <c r="AC64" s="44">
        <v>450</v>
      </c>
      <c r="AD64" s="44">
        <v>321.5</v>
      </c>
      <c r="AE64" s="44">
        <v>425</v>
      </c>
      <c r="AF64" s="45">
        <v>14472</v>
      </c>
      <c r="AG64" s="45">
        <v>12124</v>
      </c>
      <c r="AH64" s="45">
        <v>16787</v>
      </c>
      <c r="AI64" s="45">
        <v>5577</v>
      </c>
      <c r="AJ64" s="45">
        <v>10231</v>
      </c>
      <c r="AK64" s="45">
        <v>9420</v>
      </c>
      <c r="AL64" s="45">
        <v>4489</v>
      </c>
      <c r="AM64" s="45">
        <v>1411</v>
      </c>
      <c r="AN64" s="45">
        <v>6336</v>
      </c>
      <c r="AO64" s="45">
        <v>1398</v>
      </c>
      <c r="AP64" s="45">
        <v>924</v>
      </c>
      <c r="AQ64" s="45">
        <v>1425</v>
      </c>
      <c r="AR64" s="45">
        <v>291</v>
      </c>
      <c r="AS64" s="45">
        <v>64</v>
      </c>
      <c r="AT64" s="45">
        <v>1071</v>
      </c>
      <c r="AU64" s="45">
        <v>15127</v>
      </c>
      <c r="AV64" s="45">
        <v>2996</v>
      </c>
      <c r="AW64" s="45">
        <v>15487</v>
      </c>
      <c r="AX64" s="45">
        <v>1002</v>
      </c>
      <c r="AY64" s="45">
        <v>5159</v>
      </c>
      <c r="AZ64" s="45">
        <v>5251</v>
      </c>
      <c r="BA64" s="45">
        <v>1952</v>
      </c>
      <c r="BB64" s="45">
        <v>155</v>
      </c>
      <c r="BC64" s="45">
        <v>2295</v>
      </c>
      <c r="BD64" s="45">
        <v>198</v>
      </c>
      <c r="BE64" s="45">
        <v>335</v>
      </c>
      <c r="BF64" s="45">
        <v>247</v>
      </c>
      <c r="BG64" s="45">
        <v>287</v>
      </c>
      <c r="BH64" s="45">
        <v>34</v>
      </c>
      <c r="BI64" s="45">
        <v>1076</v>
      </c>
    </row>
    <row r="65" spans="1:61" x14ac:dyDescent="0.2">
      <c r="A65" s="43">
        <v>42248</v>
      </c>
      <c r="B65" s="44">
        <v>888.2</v>
      </c>
      <c r="C65" s="44">
        <v>410</v>
      </c>
      <c r="D65" s="44">
        <v>580</v>
      </c>
      <c r="E65" s="44">
        <v>295.60000000000002</v>
      </c>
      <c r="F65" s="44">
        <v>475</v>
      </c>
      <c r="G65" s="44">
        <v>415</v>
      </c>
      <c r="H65" s="44">
        <v>427.5</v>
      </c>
      <c r="I65" s="44">
        <v>260</v>
      </c>
      <c r="J65" s="44">
        <v>520</v>
      </c>
      <c r="K65" s="44">
        <v>350</v>
      </c>
      <c r="L65" s="44">
        <v>340</v>
      </c>
      <c r="M65" s="44">
        <v>257.5</v>
      </c>
      <c r="N65" s="44">
        <v>580</v>
      </c>
      <c r="O65" s="44">
        <v>455</v>
      </c>
      <c r="P65" s="44">
        <v>587.5</v>
      </c>
      <c r="Q65" s="44">
        <v>710</v>
      </c>
      <c r="R65" s="44">
        <v>360</v>
      </c>
      <c r="S65" s="44">
        <v>500</v>
      </c>
      <c r="T65" s="44">
        <v>256</v>
      </c>
      <c r="U65" s="44">
        <v>425</v>
      </c>
      <c r="V65" s="44">
        <v>350.8</v>
      </c>
      <c r="W65" s="44">
        <v>344.5</v>
      </c>
      <c r="X65" s="44">
        <v>190</v>
      </c>
      <c r="Y65" s="44">
        <v>425</v>
      </c>
      <c r="Z65" s="44">
        <v>330</v>
      </c>
      <c r="AA65" s="44">
        <v>296</v>
      </c>
      <c r="AB65" s="44">
        <v>235</v>
      </c>
      <c r="AC65" s="44">
        <v>475</v>
      </c>
      <c r="AD65" s="44">
        <v>305</v>
      </c>
      <c r="AE65" s="44">
        <v>415</v>
      </c>
      <c r="AF65" s="45">
        <v>15306</v>
      </c>
      <c r="AG65" s="45">
        <v>12705</v>
      </c>
      <c r="AH65" s="45">
        <v>16128</v>
      </c>
      <c r="AI65" s="45">
        <v>5548</v>
      </c>
      <c r="AJ65" s="45">
        <v>10729</v>
      </c>
      <c r="AK65" s="45">
        <v>9968</v>
      </c>
      <c r="AL65" s="45">
        <v>4381</v>
      </c>
      <c r="AM65" s="45">
        <v>1286</v>
      </c>
      <c r="AN65" s="45">
        <v>5539</v>
      </c>
      <c r="AO65" s="45">
        <v>1336</v>
      </c>
      <c r="AP65" s="45">
        <v>885</v>
      </c>
      <c r="AQ65" s="45">
        <v>1403</v>
      </c>
      <c r="AR65" s="45">
        <v>248</v>
      </c>
      <c r="AS65" s="45">
        <v>93</v>
      </c>
      <c r="AT65" s="45">
        <v>1048</v>
      </c>
      <c r="AU65" s="45">
        <v>14807</v>
      </c>
      <c r="AV65" s="45">
        <v>3107</v>
      </c>
      <c r="AW65" s="45">
        <v>11607</v>
      </c>
      <c r="AX65" s="45">
        <v>1003</v>
      </c>
      <c r="AY65" s="45">
        <v>5201</v>
      </c>
      <c r="AZ65" s="45">
        <v>5402</v>
      </c>
      <c r="BA65" s="45">
        <v>1698</v>
      </c>
      <c r="BB65" s="45">
        <v>141</v>
      </c>
      <c r="BC65" s="45">
        <v>1953</v>
      </c>
      <c r="BD65" s="45">
        <v>182</v>
      </c>
      <c r="BE65" s="45">
        <v>298</v>
      </c>
      <c r="BF65" s="45">
        <v>224</v>
      </c>
      <c r="BG65" s="45">
        <v>263</v>
      </c>
      <c r="BH65" s="45">
        <v>29</v>
      </c>
      <c r="BI65" s="45">
        <v>1081</v>
      </c>
    </row>
    <row r="66" spans="1:61" x14ac:dyDescent="0.2">
      <c r="A66" s="43">
        <v>42339</v>
      </c>
      <c r="B66" s="44">
        <v>915</v>
      </c>
      <c r="C66" s="44">
        <v>412</v>
      </c>
      <c r="D66" s="44">
        <v>612.29999999999995</v>
      </c>
      <c r="E66" s="44">
        <v>310</v>
      </c>
      <c r="F66" s="44">
        <v>490</v>
      </c>
      <c r="G66" s="44">
        <v>420</v>
      </c>
      <c r="H66" s="44">
        <v>436</v>
      </c>
      <c r="I66" s="44">
        <v>273.5</v>
      </c>
      <c r="J66" s="44">
        <v>525</v>
      </c>
      <c r="K66" s="44">
        <v>350</v>
      </c>
      <c r="L66" s="44">
        <v>370</v>
      </c>
      <c r="M66" s="44">
        <v>265</v>
      </c>
      <c r="N66" s="44">
        <v>575</v>
      </c>
      <c r="O66" s="44">
        <v>412.5</v>
      </c>
      <c r="P66" s="44">
        <v>615</v>
      </c>
      <c r="Q66" s="44">
        <v>723</v>
      </c>
      <c r="R66" s="44">
        <v>362</v>
      </c>
      <c r="S66" s="44">
        <v>505</v>
      </c>
      <c r="T66" s="44">
        <v>265</v>
      </c>
      <c r="U66" s="44">
        <v>420</v>
      </c>
      <c r="V66" s="44">
        <v>360</v>
      </c>
      <c r="W66" s="44">
        <v>345</v>
      </c>
      <c r="X66" s="44">
        <v>182</v>
      </c>
      <c r="Y66" s="44">
        <v>430</v>
      </c>
      <c r="Z66" s="44">
        <v>295</v>
      </c>
      <c r="AA66" s="44">
        <v>292</v>
      </c>
      <c r="AB66" s="44">
        <v>235</v>
      </c>
      <c r="AC66" s="44">
        <v>460</v>
      </c>
      <c r="AD66" s="44">
        <v>265</v>
      </c>
      <c r="AE66" s="44">
        <v>419.9</v>
      </c>
      <c r="AF66" s="45">
        <v>13527</v>
      </c>
      <c r="AG66" s="45">
        <v>12739</v>
      </c>
      <c r="AH66" s="45">
        <v>16165</v>
      </c>
      <c r="AI66" s="45">
        <v>5631</v>
      </c>
      <c r="AJ66" s="45">
        <v>9829</v>
      </c>
      <c r="AK66" s="45">
        <v>8826</v>
      </c>
      <c r="AL66" s="45">
        <v>4422</v>
      </c>
      <c r="AM66" s="45">
        <v>1403</v>
      </c>
      <c r="AN66" s="45">
        <v>5627</v>
      </c>
      <c r="AO66" s="45">
        <v>1404</v>
      </c>
      <c r="AP66" s="45">
        <v>960</v>
      </c>
      <c r="AQ66" s="45">
        <v>1430</v>
      </c>
      <c r="AR66" s="45">
        <v>244</v>
      </c>
      <c r="AS66" s="45">
        <v>82</v>
      </c>
      <c r="AT66" s="45">
        <v>1262</v>
      </c>
      <c r="AU66" s="45">
        <v>11733</v>
      </c>
      <c r="AV66" s="45">
        <v>2877</v>
      </c>
      <c r="AW66" s="45">
        <v>11064</v>
      </c>
      <c r="AX66" s="45">
        <v>982</v>
      </c>
      <c r="AY66" s="45">
        <v>4358</v>
      </c>
      <c r="AZ66" s="45">
        <v>4908</v>
      </c>
      <c r="BA66" s="45">
        <v>1733</v>
      </c>
      <c r="BB66" s="45">
        <v>123</v>
      </c>
      <c r="BC66" s="45">
        <v>2066</v>
      </c>
      <c r="BD66" s="45">
        <v>175</v>
      </c>
      <c r="BE66" s="45">
        <v>311</v>
      </c>
      <c r="BF66" s="45">
        <v>244</v>
      </c>
      <c r="BG66" s="45">
        <v>311</v>
      </c>
      <c r="BH66" s="45">
        <v>53</v>
      </c>
      <c r="BI66" s="45">
        <v>1154</v>
      </c>
    </row>
    <row r="67" spans="1:61" x14ac:dyDescent="0.2">
      <c r="A67" s="43">
        <v>42430</v>
      </c>
      <c r="B67" s="44">
        <v>850</v>
      </c>
      <c r="C67" s="44">
        <v>415</v>
      </c>
      <c r="D67" s="44">
        <v>568</v>
      </c>
      <c r="E67" s="44">
        <v>311</v>
      </c>
      <c r="F67" s="44">
        <v>483.5</v>
      </c>
      <c r="G67" s="44">
        <v>425</v>
      </c>
      <c r="H67" s="44">
        <v>436</v>
      </c>
      <c r="I67" s="44">
        <v>275</v>
      </c>
      <c r="J67" s="44">
        <v>518</v>
      </c>
      <c r="K67" s="44">
        <v>360.5</v>
      </c>
      <c r="L67" s="44">
        <v>360</v>
      </c>
      <c r="M67" s="44">
        <v>264</v>
      </c>
      <c r="N67" s="44">
        <v>570</v>
      </c>
      <c r="O67" s="44">
        <v>472.5</v>
      </c>
      <c r="P67" s="44">
        <v>590</v>
      </c>
      <c r="Q67" s="44">
        <v>706.5</v>
      </c>
      <c r="R67" s="44">
        <v>365</v>
      </c>
      <c r="S67" s="44">
        <v>490</v>
      </c>
      <c r="T67" s="44">
        <v>270</v>
      </c>
      <c r="U67" s="44">
        <v>415</v>
      </c>
      <c r="V67" s="44">
        <v>363</v>
      </c>
      <c r="W67" s="44">
        <v>345</v>
      </c>
      <c r="X67" s="44">
        <v>187</v>
      </c>
      <c r="Y67" s="44">
        <v>430</v>
      </c>
      <c r="Z67" s="44">
        <v>327.5</v>
      </c>
      <c r="AA67" s="44">
        <v>295.8</v>
      </c>
      <c r="AB67" s="44">
        <v>215</v>
      </c>
      <c r="AC67" s="44">
        <v>469.6</v>
      </c>
      <c r="AD67" s="44">
        <v>310</v>
      </c>
      <c r="AE67" s="44">
        <v>425</v>
      </c>
      <c r="AF67" s="45">
        <v>10527</v>
      </c>
      <c r="AG67" s="45">
        <v>10689</v>
      </c>
      <c r="AH67" s="45">
        <v>11654</v>
      </c>
      <c r="AI67" s="45">
        <v>5188</v>
      </c>
      <c r="AJ67" s="45">
        <v>9405</v>
      </c>
      <c r="AK67" s="45">
        <v>8786</v>
      </c>
      <c r="AL67" s="45">
        <v>4143</v>
      </c>
      <c r="AM67" s="45">
        <v>1354</v>
      </c>
      <c r="AN67" s="45">
        <v>5857</v>
      </c>
      <c r="AO67" s="45">
        <v>1448</v>
      </c>
      <c r="AP67" s="45">
        <v>925</v>
      </c>
      <c r="AQ67" s="45">
        <v>1423</v>
      </c>
      <c r="AR67" s="45">
        <v>226</v>
      </c>
      <c r="AS67" s="45">
        <v>60</v>
      </c>
      <c r="AT67" s="45">
        <v>883</v>
      </c>
      <c r="AU67" s="45">
        <v>8920</v>
      </c>
      <c r="AV67" s="45">
        <v>2485</v>
      </c>
      <c r="AW67" s="45">
        <v>8187</v>
      </c>
      <c r="AX67" s="45">
        <v>912</v>
      </c>
      <c r="AY67" s="45">
        <v>3801</v>
      </c>
      <c r="AZ67" s="45">
        <v>4832</v>
      </c>
      <c r="BA67" s="45">
        <v>1682</v>
      </c>
      <c r="BB67" s="45">
        <v>155</v>
      </c>
      <c r="BC67" s="45">
        <v>1968</v>
      </c>
      <c r="BD67" s="45">
        <v>196</v>
      </c>
      <c r="BE67" s="45">
        <v>320</v>
      </c>
      <c r="BF67" s="45">
        <v>225</v>
      </c>
      <c r="BG67" s="45">
        <v>205</v>
      </c>
      <c r="BH67" s="45">
        <v>57</v>
      </c>
      <c r="BI67" s="45">
        <v>837</v>
      </c>
    </row>
    <row r="68" spans="1:61" x14ac:dyDescent="0.2">
      <c r="A68" s="43">
        <v>42522</v>
      </c>
      <c r="B68" s="44">
        <v>895</v>
      </c>
      <c r="C68" s="44">
        <v>425</v>
      </c>
      <c r="D68" s="44">
        <v>610</v>
      </c>
      <c r="E68" s="44">
        <v>305</v>
      </c>
      <c r="F68" s="44">
        <v>495</v>
      </c>
      <c r="G68" s="44">
        <v>425</v>
      </c>
      <c r="H68" s="44">
        <v>440</v>
      </c>
      <c r="I68" s="44">
        <v>265</v>
      </c>
      <c r="J68" s="44">
        <v>520</v>
      </c>
      <c r="K68" s="44">
        <v>330</v>
      </c>
      <c r="L68" s="44">
        <v>365</v>
      </c>
      <c r="M68" s="44">
        <v>253</v>
      </c>
      <c r="N68" s="44">
        <v>548</v>
      </c>
      <c r="O68" s="44">
        <v>426</v>
      </c>
      <c r="P68" s="44">
        <v>623</v>
      </c>
      <c r="Q68" s="44">
        <v>720</v>
      </c>
      <c r="R68" s="44">
        <v>370</v>
      </c>
      <c r="S68" s="44">
        <v>505</v>
      </c>
      <c r="T68" s="44">
        <v>260.8</v>
      </c>
      <c r="U68" s="44">
        <v>413</v>
      </c>
      <c r="V68" s="44">
        <v>365</v>
      </c>
      <c r="W68" s="44">
        <v>367</v>
      </c>
      <c r="X68" s="44">
        <v>202.5</v>
      </c>
      <c r="Y68" s="44">
        <v>410</v>
      </c>
      <c r="Z68" s="44">
        <v>300</v>
      </c>
      <c r="AA68" s="44">
        <v>307.5</v>
      </c>
      <c r="AB68" s="44">
        <v>220</v>
      </c>
      <c r="AC68" s="44">
        <v>437.5</v>
      </c>
      <c r="AD68" s="44">
        <v>320</v>
      </c>
      <c r="AE68" s="44">
        <v>435</v>
      </c>
      <c r="AF68" s="45">
        <v>12638</v>
      </c>
      <c r="AG68" s="45">
        <v>12279</v>
      </c>
      <c r="AH68" s="45">
        <v>15066</v>
      </c>
      <c r="AI68" s="45">
        <v>5561</v>
      </c>
      <c r="AJ68" s="45">
        <v>9625</v>
      </c>
      <c r="AK68" s="45">
        <v>8869</v>
      </c>
      <c r="AL68" s="45">
        <v>4226</v>
      </c>
      <c r="AM68" s="45">
        <v>1381</v>
      </c>
      <c r="AN68" s="45">
        <v>5969</v>
      </c>
      <c r="AO68" s="45">
        <v>1469</v>
      </c>
      <c r="AP68" s="45">
        <v>922</v>
      </c>
      <c r="AQ68" s="45">
        <v>1427</v>
      </c>
      <c r="AR68" s="45">
        <v>247</v>
      </c>
      <c r="AS68" s="45">
        <v>60</v>
      </c>
      <c r="AT68" s="45">
        <v>1060</v>
      </c>
      <c r="AU68" s="45">
        <v>10590</v>
      </c>
      <c r="AV68" s="45">
        <v>2827</v>
      </c>
      <c r="AW68" s="45">
        <v>10671</v>
      </c>
      <c r="AX68" s="45">
        <v>890</v>
      </c>
      <c r="AY68" s="45">
        <v>3584</v>
      </c>
      <c r="AZ68" s="45">
        <v>4758</v>
      </c>
      <c r="BA68" s="45">
        <v>2008</v>
      </c>
      <c r="BB68" s="45">
        <v>155</v>
      </c>
      <c r="BC68" s="45">
        <v>1982</v>
      </c>
      <c r="BD68" s="45">
        <v>199</v>
      </c>
      <c r="BE68" s="45">
        <v>334</v>
      </c>
      <c r="BF68" s="45">
        <v>227</v>
      </c>
      <c r="BG68" s="45">
        <v>230</v>
      </c>
      <c r="BH68" s="45">
        <v>61</v>
      </c>
      <c r="BI68" s="45">
        <v>1163</v>
      </c>
    </row>
    <row r="69" spans="1:61" x14ac:dyDescent="0.2">
      <c r="A69" s="43">
        <v>42614</v>
      </c>
      <c r="B69" s="44">
        <v>900</v>
      </c>
      <c r="C69" s="44">
        <v>430.5</v>
      </c>
      <c r="D69" s="44">
        <v>605</v>
      </c>
      <c r="E69" s="44">
        <v>310</v>
      </c>
      <c r="F69" s="44">
        <v>500</v>
      </c>
      <c r="G69" s="44">
        <v>435</v>
      </c>
      <c r="H69" s="44">
        <v>445</v>
      </c>
      <c r="I69" s="44">
        <v>270</v>
      </c>
      <c r="J69" s="44">
        <v>510</v>
      </c>
      <c r="K69" s="44">
        <v>327.8</v>
      </c>
      <c r="L69" s="44">
        <v>370</v>
      </c>
      <c r="M69" s="44">
        <v>255</v>
      </c>
      <c r="N69" s="44">
        <v>520</v>
      </c>
      <c r="O69" s="44">
        <v>353.5</v>
      </c>
      <c r="P69" s="44">
        <v>615.79999999999995</v>
      </c>
      <c r="Q69" s="44">
        <v>710</v>
      </c>
      <c r="R69" s="44">
        <v>375</v>
      </c>
      <c r="S69" s="44">
        <v>496</v>
      </c>
      <c r="T69" s="44">
        <v>260</v>
      </c>
      <c r="U69" s="44">
        <v>420</v>
      </c>
      <c r="V69" s="44">
        <v>370</v>
      </c>
      <c r="W69" s="44">
        <v>365</v>
      </c>
      <c r="X69" s="44">
        <v>195</v>
      </c>
      <c r="Y69" s="44">
        <v>425</v>
      </c>
      <c r="Z69" s="44">
        <v>270</v>
      </c>
      <c r="AA69" s="44">
        <v>290</v>
      </c>
      <c r="AB69" s="44">
        <v>235</v>
      </c>
      <c r="AC69" s="44">
        <v>342.5</v>
      </c>
      <c r="AD69" s="44">
        <v>300</v>
      </c>
      <c r="AE69" s="44">
        <v>428.5</v>
      </c>
      <c r="AF69" s="45">
        <v>12351</v>
      </c>
      <c r="AG69" s="45">
        <v>12063</v>
      </c>
      <c r="AH69" s="45">
        <v>14109</v>
      </c>
      <c r="AI69" s="45">
        <v>5627</v>
      </c>
      <c r="AJ69" s="45">
        <v>9588</v>
      </c>
      <c r="AK69" s="45">
        <v>9136</v>
      </c>
      <c r="AL69" s="45">
        <v>4023</v>
      </c>
      <c r="AM69" s="45">
        <v>1284</v>
      </c>
      <c r="AN69" s="45">
        <v>5628</v>
      </c>
      <c r="AO69" s="45">
        <v>1532</v>
      </c>
      <c r="AP69" s="45">
        <v>859</v>
      </c>
      <c r="AQ69" s="45">
        <v>1384</v>
      </c>
      <c r="AR69" s="45">
        <v>261</v>
      </c>
      <c r="AS69" s="45">
        <v>92</v>
      </c>
      <c r="AT69" s="45">
        <v>994</v>
      </c>
      <c r="AU69" s="45">
        <v>10672</v>
      </c>
      <c r="AV69" s="45">
        <v>2914</v>
      </c>
      <c r="AW69" s="45">
        <v>9634</v>
      </c>
      <c r="AX69" s="45">
        <v>1016</v>
      </c>
      <c r="AY69" s="45">
        <v>3480</v>
      </c>
      <c r="AZ69" s="45">
        <v>4793</v>
      </c>
      <c r="BA69" s="45">
        <v>1608</v>
      </c>
      <c r="BB69" s="45">
        <v>119</v>
      </c>
      <c r="BC69" s="45">
        <v>1896</v>
      </c>
      <c r="BD69" s="45">
        <v>213</v>
      </c>
      <c r="BE69" s="45">
        <v>296</v>
      </c>
      <c r="BF69" s="45">
        <v>235</v>
      </c>
      <c r="BG69" s="45">
        <v>294</v>
      </c>
      <c r="BH69" s="45">
        <v>53</v>
      </c>
      <c r="BI69" s="45">
        <v>1064</v>
      </c>
    </row>
    <row r="70" spans="1:61" x14ac:dyDescent="0.2">
      <c r="A70" s="43">
        <v>42705</v>
      </c>
      <c r="B70" s="44">
        <v>985.5</v>
      </c>
      <c r="C70" s="44">
        <v>445</v>
      </c>
      <c r="D70" s="44">
        <v>675</v>
      </c>
      <c r="E70" s="44">
        <v>320.8</v>
      </c>
      <c r="F70" s="44">
        <v>515</v>
      </c>
      <c r="G70" s="44">
        <v>439</v>
      </c>
      <c r="H70" s="44">
        <v>447</v>
      </c>
      <c r="I70" s="44">
        <v>280</v>
      </c>
      <c r="J70" s="44">
        <v>525</v>
      </c>
      <c r="K70" s="44">
        <v>345</v>
      </c>
      <c r="L70" s="44">
        <v>392</v>
      </c>
      <c r="M70" s="44">
        <v>274.5</v>
      </c>
      <c r="N70" s="44">
        <v>522</v>
      </c>
      <c r="O70" s="44">
        <v>454.5</v>
      </c>
      <c r="P70" s="44">
        <v>636</v>
      </c>
      <c r="Q70" s="44">
        <v>735</v>
      </c>
      <c r="R70" s="44">
        <v>385</v>
      </c>
      <c r="S70" s="44">
        <v>501.9</v>
      </c>
      <c r="T70" s="44">
        <v>276</v>
      </c>
      <c r="U70" s="44">
        <v>410</v>
      </c>
      <c r="V70" s="44">
        <v>375</v>
      </c>
      <c r="W70" s="44">
        <v>365</v>
      </c>
      <c r="X70" s="44">
        <v>205</v>
      </c>
      <c r="Y70" s="44">
        <v>410</v>
      </c>
      <c r="Z70" s="44">
        <v>288</v>
      </c>
      <c r="AA70" s="44">
        <v>305</v>
      </c>
      <c r="AB70" s="44">
        <v>240</v>
      </c>
      <c r="AC70" s="44">
        <v>381.1</v>
      </c>
      <c r="AD70" s="44">
        <v>326.3</v>
      </c>
      <c r="AE70" s="44">
        <v>430</v>
      </c>
      <c r="AF70" s="45">
        <v>13846</v>
      </c>
      <c r="AG70" s="45">
        <v>13398</v>
      </c>
      <c r="AH70" s="45">
        <v>16565</v>
      </c>
      <c r="AI70" s="45">
        <v>6270</v>
      </c>
      <c r="AJ70" s="45">
        <v>9476</v>
      </c>
      <c r="AK70" s="45">
        <v>9204</v>
      </c>
      <c r="AL70" s="45">
        <v>4515</v>
      </c>
      <c r="AM70" s="45">
        <v>1419</v>
      </c>
      <c r="AN70" s="45">
        <v>5609</v>
      </c>
      <c r="AO70" s="45">
        <v>1490</v>
      </c>
      <c r="AP70" s="45">
        <v>1063</v>
      </c>
      <c r="AQ70" s="45">
        <v>1645</v>
      </c>
      <c r="AR70" s="45">
        <v>259</v>
      </c>
      <c r="AS70" s="45">
        <v>82</v>
      </c>
      <c r="AT70" s="45">
        <v>1239</v>
      </c>
      <c r="AU70" s="45">
        <v>11420</v>
      </c>
      <c r="AV70" s="45">
        <v>3107</v>
      </c>
      <c r="AW70" s="45">
        <v>10814</v>
      </c>
      <c r="AX70" s="45">
        <v>1128</v>
      </c>
      <c r="AY70" s="45">
        <v>3088</v>
      </c>
      <c r="AZ70" s="45">
        <v>4520</v>
      </c>
      <c r="BA70" s="45">
        <v>1639</v>
      </c>
      <c r="BB70" s="45">
        <v>120</v>
      </c>
      <c r="BC70" s="45">
        <v>1914</v>
      </c>
      <c r="BD70" s="45">
        <v>227</v>
      </c>
      <c r="BE70" s="45">
        <v>362</v>
      </c>
      <c r="BF70" s="45">
        <v>247</v>
      </c>
      <c r="BG70" s="45">
        <v>188</v>
      </c>
      <c r="BH70" s="45">
        <v>48</v>
      </c>
      <c r="BI70" s="45">
        <v>1319</v>
      </c>
    </row>
    <row r="71" spans="1:61" x14ac:dyDescent="0.2">
      <c r="A71" s="43">
        <v>42795</v>
      </c>
      <c r="B71" s="44">
        <v>930</v>
      </c>
      <c r="C71" s="44">
        <v>455</v>
      </c>
      <c r="D71" s="44">
        <v>657.5</v>
      </c>
      <c r="E71" s="44">
        <v>328</v>
      </c>
      <c r="F71" s="44">
        <v>510</v>
      </c>
      <c r="G71" s="44">
        <v>440</v>
      </c>
      <c r="H71" s="44">
        <v>451.3</v>
      </c>
      <c r="I71" s="44">
        <v>285</v>
      </c>
      <c r="J71" s="44">
        <v>510</v>
      </c>
      <c r="K71" s="44">
        <v>350</v>
      </c>
      <c r="L71" s="44">
        <v>389.5</v>
      </c>
      <c r="M71" s="44">
        <v>263</v>
      </c>
      <c r="N71" s="44">
        <v>530</v>
      </c>
      <c r="O71" s="44">
        <v>430.1</v>
      </c>
      <c r="P71" s="44">
        <v>654.5</v>
      </c>
      <c r="Q71" s="44">
        <v>730</v>
      </c>
      <c r="R71" s="44">
        <v>395</v>
      </c>
      <c r="S71" s="44">
        <v>520</v>
      </c>
      <c r="T71" s="44">
        <v>272.5</v>
      </c>
      <c r="U71" s="44">
        <v>405</v>
      </c>
      <c r="V71" s="44">
        <v>389</v>
      </c>
      <c r="W71" s="44">
        <v>365</v>
      </c>
      <c r="X71" s="44">
        <v>180</v>
      </c>
      <c r="Y71" s="44">
        <v>415</v>
      </c>
      <c r="Z71" s="44">
        <v>311.5</v>
      </c>
      <c r="AA71" s="44">
        <v>315</v>
      </c>
      <c r="AB71" s="44">
        <v>249</v>
      </c>
      <c r="AC71" s="44">
        <v>375</v>
      </c>
      <c r="AD71" s="44">
        <v>319</v>
      </c>
      <c r="AE71" s="44">
        <v>429.9</v>
      </c>
      <c r="AF71" s="45">
        <v>11314</v>
      </c>
      <c r="AG71" s="45">
        <v>11995</v>
      </c>
      <c r="AH71" s="45">
        <v>13358</v>
      </c>
      <c r="AI71" s="45">
        <v>6070</v>
      </c>
      <c r="AJ71" s="45">
        <v>9089</v>
      </c>
      <c r="AK71" s="45">
        <v>9025</v>
      </c>
      <c r="AL71" s="45">
        <v>4256</v>
      </c>
      <c r="AM71" s="45">
        <v>1479</v>
      </c>
      <c r="AN71" s="45">
        <v>6206</v>
      </c>
      <c r="AO71" s="45">
        <v>1642</v>
      </c>
      <c r="AP71" s="45">
        <v>1113</v>
      </c>
      <c r="AQ71" s="45">
        <v>1861</v>
      </c>
      <c r="AR71" s="45">
        <v>245</v>
      </c>
      <c r="AS71" s="45">
        <v>97</v>
      </c>
      <c r="AT71" s="45">
        <v>1006</v>
      </c>
      <c r="AU71" s="45">
        <v>10118</v>
      </c>
      <c r="AV71" s="45">
        <v>2916</v>
      </c>
      <c r="AW71" s="45">
        <v>9116</v>
      </c>
      <c r="AX71" s="45">
        <v>1091</v>
      </c>
      <c r="AY71" s="45">
        <v>3133</v>
      </c>
      <c r="AZ71" s="45">
        <v>4830</v>
      </c>
      <c r="BA71" s="45">
        <v>1644</v>
      </c>
      <c r="BB71" s="45">
        <v>117</v>
      </c>
      <c r="BC71" s="45">
        <v>2174</v>
      </c>
      <c r="BD71" s="45">
        <v>272</v>
      </c>
      <c r="BE71" s="45">
        <v>415</v>
      </c>
      <c r="BF71" s="45">
        <v>267</v>
      </c>
      <c r="BG71" s="45">
        <v>189</v>
      </c>
      <c r="BH71" s="45">
        <v>37</v>
      </c>
      <c r="BI71" s="45">
        <v>1065</v>
      </c>
    </row>
    <row r="72" spans="1:61" x14ac:dyDescent="0.2">
      <c r="A72" s="43">
        <v>42887</v>
      </c>
      <c r="B72" s="44">
        <v>1050</v>
      </c>
      <c r="C72" s="44">
        <v>460</v>
      </c>
      <c r="D72" s="44">
        <v>720</v>
      </c>
      <c r="E72" s="44">
        <v>332</v>
      </c>
      <c r="F72" s="44">
        <v>518</v>
      </c>
      <c r="G72" s="44">
        <v>449</v>
      </c>
      <c r="H72" s="44">
        <v>450</v>
      </c>
      <c r="I72" s="44">
        <v>270</v>
      </c>
      <c r="J72" s="44">
        <v>506</v>
      </c>
      <c r="K72" s="44">
        <v>327</v>
      </c>
      <c r="L72" s="44">
        <v>400</v>
      </c>
      <c r="M72" s="44">
        <v>275</v>
      </c>
      <c r="N72" s="44">
        <v>500</v>
      </c>
      <c r="O72" s="44">
        <v>423.5</v>
      </c>
      <c r="P72" s="44">
        <v>670</v>
      </c>
      <c r="Q72" s="44">
        <v>770</v>
      </c>
      <c r="R72" s="44">
        <v>424</v>
      </c>
      <c r="S72" s="44">
        <v>568.9</v>
      </c>
      <c r="T72" s="44">
        <v>262.8</v>
      </c>
      <c r="U72" s="44">
        <v>392.5</v>
      </c>
      <c r="V72" s="44">
        <v>380</v>
      </c>
      <c r="W72" s="44">
        <v>383.5</v>
      </c>
      <c r="X72" s="44">
        <v>200</v>
      </c>
      <c r="Y72" s="44">
        <v>405</v>
      </c>
      <c r="Z72" s="44">
        <v>270</v>
      </c>
      <c r="AA72" s="44">
        <v>300</v>
      </c>
      <c r="AB72" s="44">
        <v>250</v>
      </c>
      <c r="AC72" s="44">
        <v>375</v>
      </c>
      <c r="AD72" s="44">
        <v>307.5</v>
      </c>
      <c r="AE72" s="44">
        <v>445</v>
      </c>
      <c r="AF72" s="45">
        <v>12280</v>
      </c>
      <c r="AG72" s="45">
        <v>11763</v>
      </c>
      <c r="AH72" s="45">
        <v>15375</v>
      </c>
      <c r="AI72" s="45">
        <v>5862</v>
      </c>
      <c r="AJ72" s="45">
        <v>8951</v>
      </c>
      <c r="AK72" s="45">
        <v>8303</v>
      </c>
      <c r="AL72" s="45">
        <v>4221</v>
      </c>
      <c r="AM72" s="45">
        <v>1354</v>
      </c>
      <c r="AN72" s="45">
        <v>5845</v>
      </c>
      <c r="AO72" s="45">
        <v>1501</v>
      </c>
      <c r="AP72" s="45">
        <v>982</v>
      </c>
      <c r="AQ72" s="45">
        <v>1690</v>
      </c>
      <c r="AR72" s="45">
        <v>244</v>
      </c>
      <c r="AS72" s="45">
        <v>86</v>
      </c>
      <c r="AT72" s="45">
        <v>1068</v>
      </c>
      <c r="AU72" s="45">
        <v>11180</v>
      </c>
      <c r="AV72" s="45">
        <v>2848</v>
      </c>
      <c r="AW72" s="45">
        <v>12623</v>
      </c>
      <c r="AX72" s="45">
        <v>1112</v>
      </c>
      <c r="AY72" s="45">
        <v>2846</v>
      </c>
      <c r="AZ72" s="45">
        <v>4380</v>
      </c>
      <c r="BA72" s="45">
        <v>1906</v>
      </c>
      <c r="BB72" s="45">
        <v>126</v>
      </c>
      <c r="BC72" s="45">
        <v>2010</v>
      </c>
      <c r="BD72" s="45">
        <v>224</v>
      </c>
      <c r="BE72" s="45">
        <v>347</v>
      </c>
      <c r="BF72" s="45">
        <v>263</v>
      </c>
      <c r="BG72" s="45">
        <v>173</v>
      </c>
      <c r="BH72" s="45">
        <v>34</v>
      </c>
      <c r="BI72" s="45">
        <v>1144</v>
      </c>
    </row>
    <row r="73" spans="1:61" x14ac:dyDescent="0.2">
      <c r="A73" s="43">
        <v>42979</v>
      </c>
      <c r="B73" s="44">
        <v>950</v>
      </c>
      <c r="C73" s="44">
        <v>460</v>
      </c>
      <c r="D73" s="44">
        <v>692</v>
      </c>
      <c r="E73" s="44">
        <v>328</v>
      </c>
      <c r="F73" s="44">
        <v>525</v>
      </c>
      <c r="G73" s="44">
        <v>445</v>
      </c>
      <c r="H73" s="44">
        <v>451</v>
      </c>
      <c r="I73" s="44">
        <v>277.5</v>
      </c>
      <c r="J73" s="44">
        <v>500</v>
      </c>
      <c r="K73" s="44">
        <v>325</v>
      </c>
      <c r="L73" s="44">
        <v>395</v>
      </c>
      <c r="M73" s="44">
        <v>273.5</v>
      </c>
      <c r="N73" s="44">
        <v>500</v>
      </c>
      <c r="O73" s="44">
        <v>443</v>
      </c>
      <c r="P73" s="44">
        <v>667.5</v>
      </c>
      <c r="Q73" s="44">
        <v>720</v>
      </c>
      <c r="R73" s="44">
        <v>410</v>
      </c>
      <c r="S73" s="44">
        <v>540</v>
      </c>
      <c r="T73" s="44">
        <v>279</v>
      </c>
      <c r="U73" s="44">
        <v>400</v>
      </c>
      <c r="V73" s="44">
        <v>385</v>
      </c>
      <c r="W73" s="44">
        <v>375</v>
      </c>
      <c r="X73" s="44">
        <v>172</v>
      </c>
      <c r="Y73" s="44">
        <v>405</v>
      </c>
      <c r="Z73" s="44">
        <v>268</v>
      </c>
      <c r="AA73" s="44">
        <v>320</v>
      </c>
      <c r="AB73" s="44">
        <v>235</v>
      </c>
      <c r="AC73" s="44">
        <v>375</v>
      </c>
      <c r="AD73" s="44">
        <v>330</v>
      </c>
      <c r="AE73" s="44">
        <v>434.5</v>
      </c>
      <c r="AF73" s="45">
        <v>12582</v>
      </c>
      <c r="AG73" s="45">
        <v>13039</v>
      </c>
      <c r="AH73" s="45">
        <v>14913</v>
      </c>
      <c r="AI73" s="45">
        <v>6447</v>
      </c>
      <c r="AJ73" s="45">
        <v>8971</v>
      </c>
      <c r="AK73" s="45">
        <v>8916</v>
      </c>
      <c r="AL73" s="45">
        <v>4079</v>
      </c>
      <c r="AM73" s="45">
        <v>1355</v>
      </c>
      <c r="AN73" s="45">
        <v>5762</v>
      </c>
      <c r="AO73" s="45">
        <v>1535</v>
      </c>
      <c r="AP73" s="45">
        <v>917</v>
      </c>
      <c r="AQ73" s="45">
        <v>1619</v>
      </c>
      <c r="AR73" s="45">
        <v>252</v>
      </c>
      <c r="AS73" s="45">
        <v>94</v>
      </c>
      <c r="AT73" s="45">
        <v>956</v>
      </c>
      <c r="AU73" s="45">
        <v>11380</v>
      </c>
      <c r="AV73" s="45">
        <v>2826</v>
      </c>
      <c r="AW73" s="45">
        <v>10153</v>
      </c>
      <c r="AX73" s="45">
        <v>1167</v>
      </c>
      <c r="AY73" s="45">
        <v>2746</v>
      </c>
      <c r="AZ73" s="45">
        <v>4422</v>
      </c>
      <c r="BA73" s="45">
        <v>1711</v>
      </c>
      <c r="BB73" s="45">
        <v>169</v>
      </c>
      <c r="BC73" s="45">
        <v>1988</v>
      </c>
      <c r="BD73" s="45">
        <v>225</v>
      </c>
      <c r="BE73" s="45">
        <v>402</v>
      </c>
      <c r="BF73" s="45">
        <v>239</v>
      </c>
      <c r="BG73" s="45">
        <v>150</v>
      </c>
      <c r="BH73" s="45">
        <v>41</v>
      </c>
      <c r="BI73" s="45">
        <v>948</v>
      </c>
    </row>
    <row r="74" spans="1:61" x14ac:dyDescent="0.2">
      <c r="A74" s="43">
        <v>43070</v>
      </c>
      <c r="B74" s="44">
        <v>1029</v>
      </c>
      <c r="C74" s="44">
        <v>471.5</v>
      </c>
      <c r="D74" s="44">
        <v>750</v>
      </c>
      <c r="E74" s="44">
        <v>350</v>
      </c>
      <c r="F74" s="44">
        <v>535</v>
      </c>
      <c r="G74" s="44">
        <v>450</v>
      </c>
      <c r="H74" s="44">
        <v>470</v>
      </c>
      <c r="I74" s="44">
        <v>273.39999999999998</v>
      </c>
      <c r="J74" s="44">
        <v>515</v>
      </c>
      <c r="K74" s="44">
        <v>340</v>
      </c>
      <c r="L74" s="44">
        <v>421</v>
      </c>
      <c r="M74" s="44">
        <v>285</v>
      </c>
      <c r="N74" s="44">
        <v>513.79999999999995</v>
      </c>
      <c r="O74" s="44">
        <v>437.5</v>
      </c>
      <c r="P74" s="44">
        <v>690</v>
      </c>
      <c r="Q74" s="44">
        <v>741</v>
      </c>
      <c r="R74" s="44">
        <v>410</v>
      </c>
      <c r="S74" s="44">
        <v>568</v>
      </c>
      <c r="T74" s="44">
        <v>280</v>
      </c>
      <c r="U74" s="44">
        <v>391</v>
      </c>
      <c r="V74" s="44">
        <v>385</v>
      </c>
      <c r="W74" s="44">
        <v>390</v>
      </c>
      <c r="X74" s="44">
        <v>170</v>
      </c>
      <c r="Y74" s="44">
        <v>410</v>
      </c>
      <c r="Z74" s="44">
        <v>255</v>
      </c>
      <c r="AA74" s="44">
        <v>330</v>
      </c>
      <c r="AB74" s="44">
        <v>250</v>
      </c>
      <c r="AC74" s="44">
        <v>340</v>
      </c>
      <c r="AD74" s="44">
        <v>290</v>
      </c>
      <c r="AE74" s="44">
        <v>445.5</v>
      </c>
      <c r="AF74" s="45">
        <v>12012</v>
      </c>
      <c r="AG74" s="45">
        <v>13159</v>
      </c>
      <c r="AH74" s="45">
        <v>16039</v>
      </c>
      <c r="AI74" s="45">
        <v>6807</v>
      </c>
      <c r="AJ74" s="45">
        <v>9006</v>
      </c>
      <c r="AK74" s="45">
        <v>9008</v>
      </c>
      <c r="AL74" s="45">
        <v>4455</v>
      </c>
      <c r="AM74" s="45">
        <v>1431</v>
      </c>
      <c r="AN74" s="45">
        <v>6030</v>
      </c>
      <c r="AO74" s="45">
        <v>1566</v>
      </c>
      <c r="AP74" s="45">
        <v>1059</v>
      </c>
      <c r="AQ74" s="45">
        <v>1719</v>
      </c>
      <c r="AR74" s="45">
        <v>246</v>
      </c>
      <c r="AS74" s="45">
        <v>105</v>
      </c>
      <c r="AT74" s="45">
        <v>1279</v>
      </c>
      <c r="AU74" s="45">
        <v>9741</v>
      </c>
      <c r="AV74" s="45">
        <v>2844</v>
      </c>
      <c r="AW74" s="45">
        <v>10399</v>
      </c>
      <c r="AX74" s="45">
        <v>1280</v>
      </c>
      <c r="AY74" s="45">
        <v>2607</v>
      </c>
      <c r="AZ74" s="45">
        <v>4385</v>
      </c>
      <c r="BA74" s="45">
        <v>2032</v>
      </c>
      <c r="BB74" s="45">
        <v>163</v>
      </c>
      <c r="BC74" s="45">
        <v>2071</v>
      </c>
      <c r="BD74" s="45">
        <v>241</v>
      </c>
      <c r="BE74" s="45">
        <v>342</v>
      </c>
      <c r="BF74" s="45">
        <v>310</v>
      </c>
      <c r="BG74" s="45">
        <v>168</v>
      </c>
      <c r="BH74" s="45">
        <v>41</v>
      </c>
      <c r="BI74" s="45">
        <v>980</v>
      </c>
    </row>
    <row r="75" spans="1:61" x14ac:dyDescent="0.2">
      <c r="A75" s="43">
        <v>43160</v>
      </c>
      <c r="B75" s="44">
        <v>955</v>
      </c>
      <c r="C75" s="44">
        <v>480</v>
      </c>
      <c r="D75" s="44">
        <v>731</v>
      </c>
      <c r="E75" s="44">
        <v>355</v>
      </c>
      <c r="F75" s="44">
        <v>526</v>
      </c>
      <c r="G75" s="44">
        <v>449</v>
      </c>
      <c r="H75" s="44">
        <v>465</v>
      </c>
      <c r="I75" s="44">
        <v>280</v>
      </c>
      <c r="J75" s="44">
        <v>510</v>
      </c>
      <c r="K75" s="44">
        <v>338</v>
      </c>
      <c r="L75" s="44">
        <v>449</v>
      </c>
      <c r="M75" s="44">
        <v>295</v>
      </c>
      <c r="N75" s="44">
        <v>500</v>
      </c>
      <c r="O75" s="44">
        <v>445</v>
      </c>
      <c r="P75" s="44">
        <v>698.5</v>
      </c>
      <c r="Q75" s="44">
        <v>742</v>
      </c>
      <c r="R75" s="44">
        <v>415</v>
      </c>
      <c r="S75" s="44">
        <v>565</v>
      </c>
      <c r="T75" s="44">
        <v>295</v>
      </c>
      <c r="U75" s="44">
        <v>385</v>
      </c>
      <c r="V75" s="44">
        <v>390</v>
      </c>
      <c r="W75" s="44">
        <v>370</v>
      </c>
      <c r="X75" s="44">
        <v>202.5</v>
      </c>
      <c r="Y75" s="44">
        <v>400</v>
      </c>
      <c r="Z75" s="44">
        <v>255</v>
      </c>
      <c r="AA75" s="44">
        <v>338.5</v>
      </c>
      <c r="AB75" s="44">
        <v>249</v>
      </c>
      <c r="AC75" s="44">
        <v>328</v>
      </c>
      <c r="AD75" s="44">
        <v>341.5</v>
      </c>
      <c r="AE75" s="44">
        <v>436</v>
      </c>
      <c r="AF75" s="45">
        <v>9935</v>
      </c>
      <c r="AG75" s="45">
        <v>11247</v>
      </c>
      <c r="AH75" s="45">
        <v>12344</v>
      </c>
      <c r="AI75" s="45">
        <v>6751</v>
      </c>
      <c r="AJ75" s="45">
        <v>8475</v>
      </c>
      <c r="AK75" s="45">
        <v>8770</v>
      </c>
      <c r="AL75" s="45">
        <v>4097</v>
      </c>
      <c r="AM75" s="45">
        <v>1519</v>
      </c>
      <c r="AN75" s="45">
        <v>6005</v>
      </c>
      <c r="AO75" s="45">
        <v>1631</v>
      </c>
      <c r="AP75" s="45">
        <v>989</v>
      </c>
      <c r="AQ75" s="45">
        <v>1831</v>
      </c>
      <c r="AR75" s="45">
        <v>245</v>
      </c>
      <c r="AS75" s="45">
        <v>81</v>
      </c>
      <c r="AT75" s="45">
        <v>950</v>
      </c>
      <c r="AU75" s="45">
        <v>8076</v>
      </c>
      <c r="AV75" s="45">
        <v>2539</v>
      </c>
      <c r="AW75" s="45">
        <v>8689</v>
      </c>
      <c r="AX75" s="45">
        <v>1290</v>
      </c>
      <c r="AY75" s="45">
        <v>2604</v>
      </c>
      <c r="AZ75" s="45">
        <v>4356</v>
      </c>
      <c r="BA75" s="45">
        <v>1623</v>
      </c>
      <c r="BB75" s="45">
        <v>167</v>
      </c>
      <c r="BC75" s="45">
        <v>2113</v>
      </c>
      <c r="BD75" s="45">
        <v>252</v>
      </c>
      <c r="BE75" s="45">
        <v>362</v>
      </c>
      <c r="BF75" s="45">
        <v>332</v>
      </c>
      <c r="BG75" s="45">
        <v>143</v>
      </c>
      <c r="BH75" s="45">
        <v>38</v>
      </c>
      <c r="BI75" s="45">
        <v>878</v>
      </c>
    </row>
    <row r="76" spans="1:61" x14ac:dyDescent="0.2">
      <c r="A76" s="43">
        <v>43252</v>
      </c>
      <c r="B76" s="44">
        <v>973.1</v>
      </c>
      <c r="C76" s="44">
        <v>480</v>
      </c>
      <c r="D76" s="44">
        <v>750</v>
      </c>
      <c r="E76" s="44">
        <v>355</v>
      </c>
      <c r="F76" s="44">
        <v>532</v>
      </c>
      <c r="G76" s="44">
        <v>435</v>
      </c>
      <c r="H76" s="44">
        <v>468</v>
      </c>
      <c r="I76" s="44">
        <v>276</v>
      </c>
      <c r="J76" s="44">
        <v>510</v>
      </c>
      <c r="K76" s="44">
        <v>310</v>
      </c>
      <c r="L76" s="44">
        <v>457.8</v>
      </c>
      <c r="M76" s="44">
        <v>300</v>
      </c>
      <c r="N76" s="44">
        <v>506</v>
      </c>
      <c r="O76" s="44">
        <v>453.5</v>
      </c>
      <c r="P76" s="44">
        <v>690</v>
      </c>
      <c r="Q76" s="44">
        <v>730</v>
      </c>
      <c r="R76" s="44">
        <v>415</v>
      </c>
      <c r="S76" s="44">
        <v>600</v>
      </c>
      <c r="T76" s="44">
        <v>305</v>
      </c>
      <c r="U76" s="44">
        <v>385</v>
      </c>
      <c r="V76" s="44">
        <v>390.3</v>
      </c>
      <c r="W76" s="44">
        <v>380</v>
      </c>
      <c r="X76" s="44">
        <v>186</v>
      </c>
      <c r="Y76" s="44">
        <v>408</v>
      </c>
      <c r="Z76" s="44">
        <v>233.1</v>
      </c>
      <c r="AA76" s="44">
        <v>356</v>
      </c>
      <c r="AB76" s="44">
        <v>255</v>
      </c>
      <c r="AC76" s="44">
        <v>338</v>
      </c>
      <c r="AD76" s="44">
        <v>345</v>
      </c>
      <c r="AE76" s="44">
        <v>431.5</v>
      </c>
      <c r="AF76" s="45">
        <v>10879</v>
      </c>
      <c r="AG76" s="45">
        <v>11838</v>
      </c>
      <c r="AH76" s="45">
        <v>13531</v>
      </c>
      <c r="AI76" s="45">
        <v>6731</v>
      </c>
      <c r="AJ76" s="45">
        <v>8497</v>
      </c>
      <c r="AK76" s="45">
        <v>8554</v>
      </c>
      <c r="AL76" s="45">
        <v>4149</v>
      </c>
      <c r="AM76" s="45">
        <v>1421</v>
      </c>
      <c r="AN76" s="45">
        <v>5676</v>
      </c>
      <c r="AO76" s="45">
        <v>1488</v>
      </c>
      <c r="AP76" s="45">
        <v>935</v>
      </c>
      <c r="AQ76" s="45">
        <v>1796</v>
      </c>
      <c r="AR76" s="45">
        <v>236</v>
      </c>
      <c r="AS76" s="45">
        <v>81</v>
      </c>
      <c r="AT76" s="45">
        <v>1057</v>
      </c>
      <c r="AU76" s="45">
        <v>9466</v>
      </c>
      <c r="AV76" s="45">
        <v>2569</v>
      </c>
      <c r="AW76" s="45">
        <v>11413</v>
      </c>
      <c r="AX76" s="45">
        <v>1374</v>
      </c>
      <c r="AY76" s="45">
        <v>2760</v>
      </c>
      <c r="AZ76" s="45">
        <v>4250</v>
      </c>
      <c r="BA76" s="45">
        <v>1786</v>
      </c>
      <c r="BB76" s="45">
        <v>145</v>
      </c>
      <c r="BC76" s="45">
        <v>1913</v>
      </c>
      <c r="BD76" s="45">
        <v>240</v>
      </c>
      <c r="BE76" s="45">
        <v>375</v>
      </c>
      <c r="BF76" s="45">
        <v>333</v>
      </c>
      <c r="BG76" s="45">
        <v>140</v>
      </c>
      <c r="BH76" s="45">
        <v>41</v>
      </c>
      <c r="BI76" s="45">
        <v>1091</v>
      </c>
    </row>
    <row r="77" spans="1:61" x14ac:dyDescent="0.2">
      <c r="A77" s="43">
        <v>43344</v>
      </c>
      <c r="B77" s="44">
        <v>950</v>
      </c>
      <c r="C77" s="44">
        <v>475</v>
      </c>
      <c r="D77" s="44">
        <v>720</v>
      </c>
      <c r="E77" s="44">
        <v>355</v>
      </c>
      <c r="F77" s="44">
        <v>540</v>
      </c>
      <c r="G77" s="44">
        <v>440</v>
      </c>
      <c r="H77" s="44">
        <v>466.3</v>
      </c>
      <c r="I77" s="44">
        <v>280</v>
      </c>
      <c r="J77" s="44">
        <v>485</v>
      </c>
      <c r="K77" s="44">
        <v>321.5</v>
      </c>
      <c r="L77" s="44">
        <v>440.3</v>
      </c>
      <c r="M77" s="44">
        <v>293</v>
      </c>
      <c r="N77" s="44">
        <v>500</v>
      </c>
      <c r="O77" s="44">
        <v>417</v>
      </c>
      <c r="P77" s="44">
        <v>700</v>
      </c>
      <c r="Q77" s="44">
        <v>730</v>
      </c>
      <c r="R77" s="44">
        <v>429</v>
      </c>
      <c r="S77" s="44">
        <v>568</v>
      </c>
      <c r="T77" s="44">
        <v>289.8</v>
      </c>
      <c r="U77" s="44">
        <v>385</v>
      </c>
      <c r="V77" s="44">
        <v>385</v>
      </c>
      <c r="W77" s="44">
        <v>380</v>
      </c>
      <c r="X77" s="44">
        <v>190</v>
      </c>
      <c r="Y77" s="44">
        <v>395</v>
      </c>
      <c r="Z77" s="44">
        <v>240</v>
      </c>
      <c r="AA77" s="44">
        <v>358</v>
      </c>
      <c r="AB77" s="44">
        <v>265</v>
      </c>
      <c r="AC77" s="44">
        <v>335</v>
      </c>
      <c r="AD77" s="44">
        <v>357</v>
      </c>
      <c r="AE77" s="44">
        <v>445</v>
      </c>
      <c r="AF77" s="45">
        <v>9720</v>
      </c>
      <c r="AG77" s="45">
        <v>10770</v>
      </c>
      <c r="AH77" s="45">
        <v>12138</v>
      </c>
      <c r="AI77" s="45">
        <v>6219</v>
      </c>
      <c r="AJ77" s="45">
        <v>8337</v>
      </c>
      <c r="AK77" s="45">
        <v>8651</v>
      </c>
      <c r="AL77" s="45">
        <v>4014</v>
      </c>
      <c r="AM77" s="45">
        <v>1322</v>
      </c>
      <c r="AN77" s="45">
        <v>5875</v>
      </c>
      <c r="AO77" s="45">
        <v>1564</v>
      </c>
      <c r="AP77" s="45">
        <v>896</v>
      </c>
      <c r="AQ77" s="45">
        <v>1581</v>
      </c>
      <c r="AR77" s="45">
        <v>257</v>
      </c>
      <c r="AS77" s="45">
        <v>89</v>
      </c>
      <c r="AT77" s="45">
        <v>881</v>
      </c>
      <c r="AU77" s="45">
        <v>7933</v>
      </c>
      <c r="AV77" s="45">
        <v>2293</v>
      </c>
      <c r="AW77" s="45">
        <v>9080</v>
      </c>
      <c r="AX77" s="45">
        <v>1220</v>
      </c>
      <c r="AY77" s="45">
        <v>2648</v>
      </c>
      <c r="AZ77" s="45">
        <v>4201</v>
      </c>
      <c r="BA77" s="45">
        <v>1701</v>
      </c>
      <c r="BB77" s="45">
        <v>160</v>
      </c>
      <c r="BC77" s="45">
        <v>1965</v>
      </c>
      <c r="BD77" s="45">
        <v>294</v>
      </c>
      <c r="BE77" s="45">
        <v>359</v>
      </c>
      <c r="BF77" s="45">
        <v>302</v>
      </c>
      <c r="BG77" s="45">
        <v>155</v>
      </c>
      <c r="BH77" s="45">
        <v>46</v>
      </c>
      <c r="BI77" s="45">
        <v>942</v>
      </c>
    </row>
    <row r="78" spans="1:61" x14ac:dyDescent="0.2">
      <c r="A78" s="43">
        <v>43435</v>
      </c>
      <c r="B78" s="44">
        <v>940</v>
      </c>
      <c r="C78" s="44">
        <v>464.8</v>
      </c>
      <c r="D78" s="44">
        <v>735</v>
      </c>
      <c r="E78" s="44">
        <v>370</v>
      </c>
      <c r="F78" s="44">
        <v>540</v>
      </c>
      <c r="G78" s="44">
        <v>433</v>
      </c>
      <c r="H78" s="44">
        <v>480</v>
      </c>
      <c r="I78" s="44">
        <v>295</v>
      </c>
      <c r="J78" s="44">
        <v>489</v>
      </c>
      <c r="K78" s="44">
        <v>320</v>
      </c>
      <c r="L78" s="44">
        <v>465</v>
      </c>
      <c r="M78" s="44">
        <v>310</v>
      </c>
      <c r="N78" s="44">
        <v>510</v>
      </c>
      <c r="O78" s="44">
        <v>452.5</v>
      </c>
      <c r="P78" s="44">
        <v>720</v>
      </c>
      <c r="Q78" s="44">
        <v>725</v>
      </c>
      <c r="R78" s="44">
        <v>412</v>
      </c>
      <c r="S78" s="44">
        <v>565</v>
      </c>
      <c r="T78" s="44">
        <v>295</v>
      </c>
      <c r="U78" s="44">
        <v>390</v>
      </c>
      <c r="V78" s="44">
        <v>390</v>
      </c>
      <c r="W78" s="44">
        <v>371</v>
      </c>
      <c r="X78" s="44">
        <v>190</v>
      </c>
      <c r="Y78" s="44">
        <v>392</v>
      </c>
      <c r="Z78" s="44">
        <v>265</v>
      </c>
      <c r="AA78" s="44">
        <v>375</v>
      </c>
      <c r="AB78" s="44">
        <v>259.5</v>
      </c>
      <c r="AC78" s="44">
        <v>340</v>
      </c>
      <c r="AD78" s="44">
        <v>360</v>
      </c>
      <c r="AE78" s="44">
        <v>447.9</v>
      </c>
      <c r="AF78" s="45">
        <v>9621</v>
      </c>
      <c r="AG78" s="45">
        <v>11238</v>
      </c>
      <c r="AH78" s="45">
        <v>12270</v>
      </c>
      <c r="AI78" s="45">
        <v>6208</v>
      </c>
      <c r="AJ78" s="45">
        <v>7867</v>
      </c>
      <c r="AK78" s="45">
        <v>8201</v>
      </c>
      <c r="AL78" s="45">
        <v>4282</v>
      </c>
      <c r="AM78" s="45">
        <v>1378</v>
      </c>
      <c r="AN78" s="45">
        <v>5752</v>
      </c>
      <c r="AO78" s="45">
        <v>1634</v>
      </c>
      <c r="AP78" s="45">
        <v>907</v>
      </c>
      <c r="AQ78" s="45">
        <v>1593</v>
      </c>
      <c r="AR78" s="45">
        <v>249</v>
      </c>
      <c r="AS78" s="45">
        <v>78</v>
      </c>
      <c r="AT78" s="45">
        <v>1026</v>
      </c>
      <c r="AU78" s="45">
        <v>7301</v>
      </c>
      <c r="AV78" s="45">
        <v>2351</v>
      </c>
      <c r="AW78" s="45">
        <v>8497</v>
      </c>
      <c r="AX78" s="45">
        <v>1207</v>
      </c>
      <c r="AY78" s="45">
        <v>2455</v>
      </c>
      <c r="AZ78" s="45">
        <v>3749</v>
      </c>
      <c r="BA78" s="45">
        <v>1701</v>
      </c>
      <c r="BB78" s="45">
        <v>159</v>
      </c>
      <c r="BC78" s="45">
        <v>1797</v>
      </c>
      <c r="BD78" s="45">
        <v>270</v>
      </c>
      <c r="BE78" s="45">
        <v>366</v>
      </c>
      <c r="BF78" s="45">
        <v>264</v>
      </c>
      <c r="BG78" s="45">
        <v>125</v>
      </c>
      <c r="BH78" s="45">
        <v>41</v>
      </c>
      <c r="BI78" s="45">
        <v>1043</v>
      </c>
    </row>
    <row r="79" spans="1:61" x14ac:dyDescent="0.2">
      <c r="A79" s="43">
        <v>43525</v>
      </c>
      <c r="B79" s="44">
        <v>870</v>
      </c>
      <c r="C79" s="44">
        <v>462</v>
      </c>
      <c r="D79" s="44">
        <v>685</v>
      </c>
      <c r="E79" s="44">
        <v>370</v>
      </c>
      <c r="F79" s="44">
        <v>533</v>
      </c>
      <c r="G79" s="44">
        <v>434</v>
      </c>
      <c r="H79" s="44">
        <v>475</v>
      </c>
      <c r="I79" s="44">
        <v>285</v>
      </c>
      <c r="J79" s="44">
        <v>490</v>
      </c>
      <c r="K79" s="44">
        <v>330</v>
      </c>
      <c r="L79" s="44">
        <v>471.5</v>
      </c>
      <c r="M79" s="44">
        <v>310</v>
      </c>
      <c r="N79" s="44">
        <v>485</v>
      </c>
      <c r="O79" s="44">
        <v>419.5</v>
      </c>
      <c r="P79" s="44">
        <v>690</v>
      </c>
      <c r="Q79" s="44">
        <v>695</v>
      </c>
      <c r="R79" s="44">
        <v>410</v>
      </c>
      <c r="S79" s="44">
        <v>555</v>
      </c>
      <c r="T79" s="44">
        <v>292.3</v>
      </c>
      <c r="U79" s="44">
        <v>387.8</v>
      </c>
      <c r="V79" s="44">
        <v>388</v>
      </c>
      <c r="W79" s="44">
        <v>400</v>
      </c>
      <c r="X79" s="44">
        <v>185</v>
      </c>
      <c r="Y79" s="44">
        <v>387.5</v>
      </c>
      <c r="Z79" s="44">
        <v>256.5</v>
      </c>
      <c r="AA79" s="44">
        <v>390</v>
      </c>
      <c r="AB79" s="44">
        <v>280</v>
      </c>
      <c r="AC79" s="44">
        <v>292.5</v>
      </c>
      <c r="AD79" s="44">
        <v>362</v>
      </c>
      <c r="AE79" s="44">
        <v>450</v>
      </c>
      <c r="AF79" s="45">
        <v>8565</v>
      </c>
      <c r="AG79" s="45">
        <v>9599</v>
      </c>
      <c r="AH79" s="45">
        <v>10284</v>
      </c>
      <c r="AI79" s="45">
        <v>5534</v>
      </c>
      <c r="AJ79" s="45">
        <v>7380</v>
      </c>
      <c r="AK79" s="45">
        <v>7739</v>
      </c>
      <c r="AL79" s="45">
        <v>3793</v>
      </c>
      <c r="AM79" s="45">
        <v>1410</v>
      </c>
      <c r="AN79" s="45">
        <v>5717</v>
      </c>
      <c r="AO79" s="45">
        <v>1579</v>
      </c>
      <c r="AP79" s="45">
        <v>903</v>
      </c>
      <c r="AQ79" s="45">
        <v>1607</v>
      </c>
      <c r="AR79" s="45">
        <v>221</v>
      </c>
      <c r="AS79" s="45">
        <v>80</v>
      </c>
      <c r="AT79" s="45">
        <v>777</v>
      </c>
      <c r="AU79" s="45">
        <v>6344</v>
      </c>
      <c r="AV79" s="45">
        <v>2003</v>
      </c>
      <c r="AW79" s="45">
        <v>7512</v>
      </c>
      <c r="AX79" s="45">
        <v>1076</v>
      </c>
      <c r="AY79" s="45">
        <v>2346</v>
      </c>
      <c r="AZ79" s="45">
        <v>3758</v>
      </c>
      <c r="BA79" s="45">
        <v>1861</v>
      </c>
      <c r="BB79" s="45">
        <v>149</v>
      </c>
      <c r="BC79" s="45">
        <v>1849</v>
      </c>
      <c r="BD79" s="45">
        <v>230</v>
      </c>
      <c r="BE79" s="45">
        <v>341</v>
      </c>
      <c r="BF79" s="45">
        <v>289</v>
      </c>
      <c r="BG79" s="45">
        <v>120</v>
      </c>
      <c r="BH79" s="45">
        <v>46</v>
      </c>
      <c r="BI79" s="45">
        <v>739</v>
      </c>
    </row>
    <row r="80" spans="1:61" x14ac:dyDescent="0.2">
      <c r="A80" s="43">
        <v>43617</v>
      </c>
      <c r="B80" s="44">
        <v>897</v>
      </c>
      <c r="C80" s="44">
        <v>470</v>
      </c>
      <c r="D80" s="44">
        <v>700</v>
      </c>
      <c r="E80" s="44">
        <v>370</v>
      </c>
      <c r="F80" s="44">
        <v>538</v>
      </c>
      <c r="G80" s="44">
        <v>440</v>
      </c>
      <c r="H80" s="44">
        <v>478.5</v>
      </c>
      <c r="I80" s="44">
        <v>276.5</v>
      </c>
      <c r="J80" s="44">
        <v>480</v>
      </c>
      <c r="K80" s="44">
        <v>320</v>
      </c>
      <c r="L80" s="44">
        <v>490</v>
      </c>
      <c r="M80" s="44">
        <v>310</v>
      </c>
      <c r="N80" s="44">
        <v>470</v>
      </c>
      <c r="O80" s="44">
        <v>422.5</v>
      </c>
      <c r="P80" s="44">
        <v>715</v>
      </c>
      <c r="Q80" s="44">
        <v>700</v>
      </c>
      <c r="R80" s="44">
        <v>422</v>
      </c>
      <c r="S80" s="44">
        <v>560</v>
      </c>
      <c r="T80" s="44">
        <v>290</v>
      </c>
      <c r="U80" s="44">
        <v>390</v>
      </c>
      <c r="V80" s="44">
        <v>385</v>
      </c>
      <c r="W80" s="44">
        <v>390</v>
      </c>
      <c r="X80" s="44">
        <v>192</v>
      </c>
      <c r="Y80" s="44">
        <v>379</v>
      </c>
      <c r="Z80" s="44">
        <v>230</v>
      </c>
      <c r="AA80" s="44">
        <v>382.5</v>
      </c>
      <c r="AB80" s="44">
        <v>267</v>
      </c>
      <c r="AC80" s="44">
        <v>306.5</v>
      </c>
      <c r="AD80" s="44">
        <v>351</v>
      </c>
      <c r="AE80" s="44">
        <v>450</v>
      </c>
      <c r="AF80" s="45">
        <v>10397</v>
      </c>
      <c r="AG80" s="45">
        <v>10152</v>
      </c>
      <c r="AH80" s="45">
        <v>12317</v>
      </c>
      <c r="AI80" s="45">
        <v>5447</v>
      </c>
      <c r="AJ80" s="45">
        <v>7514</v>
      </c>
      <c r="AK80" s="45">
        <v>7731</v>
      </c>
      <c r="AL80" s="45">
        <v>3944</v>
      </c>
      <c r="AM80" s="45">
        <v>1310</v>
      </c>
      <c r="AN80" s="45">
        <v>5676</v>
      </c>
      <c r="AO80" s="45">
        <v>1416</v>
      </c>
      <c r="AP80" s="45">
        <v>836</v>
      </c>
      <c r="AQ80" s="45">
        <v>1435</v>
      </c>
      <c r="AR80" s="45">
        <v>223</v>
      </c>
      <c r="AS80" s="45">
        <v>78</v>
      </c>
      <c r="AT80" s="45">
        <v>979</v>
      </c>
      <c r="AU80" s="45">
        <v>8489</v>
      </c>
      <c r="AV80" s="45">
        <v>2235</v>
      </c>
      <c r="AW80" s="45">
        <v>9095</v>
      </c>
      <c r="AX80" s="45">
        <v>1132</v>
      </c>
      <c r="AY80" s="45">
        <v>2265</v>
      </c>
      <c r="AZ80" s="45">
        <v>3849</v>
      </c>
      <c r="BA80" s="45">
        <v>1843</v>
      </c>
      <c r="BB80" s="45">
        <v>127</v>
      </c>
      <c r="BC80" s="45">
        <v>1738</v>
      </c>
      <c r="BD80" s="45">
        <v>227</v>
      </c>
      <c r="BE80" s="45">
        <v>348</v>
      </c>
      <c r="BF80" s="45">
        <v>284</v>
      </c>
      <c r="BG80" s="45">
        <v>170</v>
      </c>
      <c r="BH80" s="45">
        <v>34</v>
      </c>
      <c r="BI80" s="45">
        <v>855</v>
      </c>
    </row>
    <row r="81" spans="1:61" x14ac:dyDescent="0.2">
      <c r="A81" s="43">
        <v>43709</v>
      </c>
      <c r="B81" s="44">
        <v>900</v>
      </c>
      <c r="C81" s="44">
        <v>475</v>
      </c>
      <c r="D81" s="44">
        <v>705</v>
      </c>
      <c r="E81" s="44">
        <v>375</v>
      </c>
      <c r="F81" s="44">
        <v>540</v>
      </c>
      <c r="G81" s="44">
        <v>441</v>
      </c>
      <c r="H81" s="44">
        <v>474</v>
      </c>
      <c r="I81" s="44">
        <v>287.5</v>
      </c>
      <c r="J81" s="44">
        <v>478</v>
      </c>
      <c r="K81" s="44">
        <v>310</v>
      </c>
      <c r="L81" s="44">
        <v>480</v>
      </c>
      <c r="M81" s="44">
        <v>320</v>
      </c>
      <c r="N81" s="44">
        <v>489</v>
      </c>
      <c r="O81" s="44">
        <v>410</v>
      </c>
      <c r="P81" s="44">
        <v>676</v>
      </c>
      <c r="Q81" s="44">
        <v>710</v>
      </c>
      <c r="R81" s="44">
        <v>426</v>
      </c>
      <c r="S81" s="44">
        <v>570</v>
      </c>
      <c r="T81" s="44">
        <v>305</v>
      </c>
      <c r="U81" s="44">
        <v>397.5</v>
      </c>
      <c r="V81" s="44">
        <v>393</v>
      </c>
      <c r="W81" s="44">
        <v>380</v>
      </c>
      <c r="X81" s="44">
        <v>185</v>
      </c>
      <c r="Y81" s="44">
        <v>380</v>
      </c>
      <c r="Z81" s="44">
        <v>240</v>
      </c>
      <c r="AA81" s="44">
        <v>385</v>
      </c>
      <c r="AB81" s="44">
        <v>270</v>
      </c>
      <c r="AC81" s="44">
        <v>285</v>
      </c>
      <c r="AD81" s="44">
        <v>357.5</v>
      </c>
      <c r="AE81" s="44">
        <v>456.9</v>
      </c>
      <c r="AF81" s="45">
        <v>12196</v>
      </c>
      <c r="AG81" s="45">
        <v>11377</v>
      </c>
      <c r="AH81" s="45">
        <v>12832</v>
      </c>
      <c r="AI81" s="45">
        <v>5898</v>
      </c>
      <c r="AJ81" s="45">
        <v>8520</v>
      </c>
      <c r="AK81" s="45">
        <v>9405</v>
      </c>
      <c r="AL81" s="45">
        <v>4016</v>
      </c>
      <c r="AM81" s="45">
        <v>1374</v>
      </c>
      <c r="AN81" s="45">
        <v>6013</v>
      </c>
      <c r="AO81" s="45">
        <v>1742</v>
      </c>
      <c r="AP81" s="45">
        <v>872</v>
      </c>
      <c r="AQ81" s="45">
        <v>1499</v>
      </c>
      <c r="AR81" s="45">
        <v>230</v>
      </c>
      <c r="AS81" s="45">
        <v>71</v>
      </c>
      <c r="AT81" s="45">
        <v>1207</v>
      </c>
      <c r="AU81" s="45">
        <v>10383</v>
      </c>
      <c r="AV81" s="45">
        <v>2658</v>
      </c>
      <c r="AW81" s="45">
        <v>9594</v>
      </c>
      <c r="AX81" s="45">
        <v>1221</v>
      </c>
      <c r="AY81" s="45">
        <v>2755</v>
      </c>
      <c r="AZ81" s="45">
        <v>4331</v>
      </c>
      <c r="BA81" s="45">
        <v>1751</v>
      </c>
      <c r="BB81" s="45">
        <v>169</v>
      </c>
      <c r="BC81" s="45">
        <v>1974</v>
      </c>
      <c r="BD81" s="45">
        <v>297</v>
      </c>
      <c r="BE81" s="45">
        <v>333</v>
      </c>
      <c r="BF81" s="45">
        <v>314</v>
      </c>
      <c r="BG81" s="45">
        <v>157</v>
      </c>
      <c r="BH81" s="45">
        <v>52</v>
      </c>
      <c r="BI81" s="45">
        <v>1095</v>
      </c>
    </row>
    <row r="82" spans="1:61" x14ac:dyDescent="0.2">
      <c r="A82" s="43">
        <v>43800</v>
      </c>
      <c r="B82" s="44">
        <v>985</v>
      </c>
      <c r="C82" s="44">
        <v>500</v>
      </c>
      <c r="D82" s="44">
        <v>760</v>
      </c>
      <c r="E82" s="44">
        <v>390</v>
      </c>
      <c r="F82" s="44">
        <v>550</v>
      </c>
      <c r="G82" s="44">
        <v>448</v>
      </c>
      <c r="H82" s="44">
        <v>485</v>
      </c>
      <c r="I82" s="44">
        <v>290</v>
      </c>
      <c r="J82" s="44">
        <v>495</v>
      </c>
      <c r="K82" s="44">
        <v>337.8</v>
      </c>
      <c r="L82" s="44">
        <v>517</v>
      </c>
      <c r="M82" s="44">
        <v>340</v>
      </c>
      <c r="N82" s="44">
        <v>470</v>
      </c>
      <c r="O82" s="44">
        <v>434.5</v>
      </c>
      <c r="P82" s="44">
        <v>745</v>
      </c>
      <c r="Q82" s="44">
        <v>736</v>
      </c>
      <c r="R82" s="44">
        <v>440</v>
      </c>
      <c r="S82" s="44">
        <v>600</v>
      </c>
      <c r="T82" s="44">
        <v>340</v>
      </c>
      <c r="U82" s="44">
        <v>399</v>
      </c>
      <c r="V82" s="44">
        <v>395</v>
      </c>
      <c r="W82" s="44">
        <v>385</v>
      </c>
      <c r="X82" s="44">
        <v>190</v>
      </c>
      <c r="Y82" s="44">
        <v>380</v>
      </c>
      <c r="Z82" s="44">
        <v>246.5</v>
      </c>
      <c r="AA82" s="44">
        <v>400</v>
      </c>
      <c r="AB82" s="44">
        <v>295</v>
      </c>
      <c r="AC82" s="44">
        <v>320</v>
      </c>
      <c r="AD82" s="44">
        <v>300</v>
      </c>
      <c r="AE82" s="44">
        <v>473.3</v>
      </c>
      <c r="AF82" s="45">
        <v>13545</v>
      </c>
      <c r="AG82" s="45">
        <v>12304</v>
      </c>
      <c r="AH82" s="45">
        <v>15628</v>
      </c>
      <c r="AI82" s="45">
        <v>6858</v>
      </c>
      <c r="AJ82" s="45">
        <v>8429</v>
      </c>
      <c r="AK82" s="45">
        <v>9111</v>
      </c>
      <c r="AL82" s="45">
        <v>4215</v>
      </c>
      <c r="AM82" s="45">
        <v>1578</v>
      </c>
      <c r="AN82" s="45">
        <v>6229</v>
      </c>
      <c r="AO82" s="45">
        <v>1734</v>
      </c>
      <c r="AP82" s="45">
        <v>877</v>
      </c>
      <c r="AQ82" s="45">
        <v>1616</v>
      </c>
      <c r="AR82" s="45">
        <v>239</v>
      </c>
      <c r="AS82" s="45">
        <v>76</v>
      </c>
      <c r="AT82" s="45">
        <v>1321</v>
      </c>
      <c r="AU82" s="45">
        <v>10963</v>
      </c>
      <c r="AV82" s="45">
        <v>2884</v>
      </c>
      <c r="AW82" s="45">
        <v>11399</v>
      </c>
      <c r="AX82" s="45">
        <v>1447</v>
      </c>
      <c r="AY82" s="45">
        <v>2796</v>
      </c>
      <c r="AZ82" s="45">
        <v>4481</v>
      </c>
      <c r="BA82" s="45">
        <v>1807</v>
      </c>
      <c r="BB82" s="45">
        <v>160</v>
      </c>
      <c r="BC82" s="45">
        <v>2076</v>
      </c>
      <c r="BD82" s="45">
        <v>264</v>
      </c>
      <c r="BE82" s="45">
        <v>330</v>
      </c>
      <c r="BF82" s="45">
        <v>279</v>
      </c>
      <c r="BG82" s="45">
        <v>155</v>
      </c>
      <c r="BH82" s="45">
        <v>36</v>
      </c>
      <c r="BI82" s="45">
        <v>1242</v>
      </c>
    </row>
    <row r="83" spans="1:61" x14ac:dyDescent="0.2">
      <c r="A83" s="43">
        <v>43891</v>
      </c>
      <c r="B83" s="44">
        <v>947.5</v>
      </c>
      <c r="C83" s="44">
        <v>490</v>
      </c>
      <c r="D83" s="44">
        <v>730</v>
      </c>
      <c r="E83" s="44">
        <v>390</v>
      </c>
      <c r="F83" s="44">
        <v>540</v>
      </c>
      <c r="G83" s="44">
        <v>430</v>
      </c>
      <c r="H83" s="44">
        <v>472</v>
      </c>
      <c r="I83" s="44">
        <v>290</v>
      </c>
      <c r="J83" s="44">
        <v>477.5</v>
      </c>
      <c r="K83" s="44">
        <v>337</v>
      </c>
      <c r="L83" s="44">
        <v>529</v>
      </c>
      <c r="M83" s="44">
        <v>335.5</v>
      </c>
      <c r="N83" s="44">
        <v>470</v>
      </c>
      <c r="O83" s="44">
        <v>420</v>
      </c>
      <c r="P83" s="44">
        <v>720.5</v>
      </c>
      <c r="Q83" s="44">
        <v>730</v>
      </c>
      <c r="R83" s="44">
        <v>450</v>
      </c>
      <c r="S83" s="44">
        <v>593</v>
      </c>
      <c r="T83" s="44">
        <v>340</v>
      </c>
      <c r="U83" s="44">
        <v>390</v>
      </c>
      <c r="V83" s="44">
        <v>400</v>
      </c>
      <c r="W83" s="44">
        <v>390</v>
      </c>
      <c r="X83" s="44">
        <v>197</v>
      </c>
      <c r="Y83" s="44">
        <v>380</v>
      </c>
      <c r="Z83" s="44">
        <v>233.3</v>
      </c>
      <c r="AA83" s="44">
        <v>425</v>
      </c>
      <c r="AB83" s="44">
        <v>298</v>
      </c>
      <c r="AC83" s="44">
        <v>299</v>
      </c>
      <c r="AD83" s="44">
        <v>328.5</v>
      </c>
      <c r="AE83" s="44">
        <v>460</v>
      </c>
      <c r="AF83" s="45">
        <v>10009</v>
      </c>
      <c r="AG83" s="45">
        <v>10137</v>
      </c>
      <c r="AH83" s="45">
        <v>11249</v>
      </c>
      <c r="AI83" s="45">
        <v>5978</v>
      </c>
      <c r="AJ83" s="45">
        <v>7605</v>
      </c>
      <c r="AK83" s="45">
        <v>8427</v>
      </c>
      <c r="AL83" s="45">
        <v>3625</v>
      </c>
      <c r="AM83" s="45">
        <v>1368</v>
      </c>
      <c r="AN83" s="45">
        <v>5782</v>
      </c>
      <c r="AO83" s="45">
        <v>1639</v>
      </c>
      <c r="AP83" s="45">
        <v>781</v>
      </c>
      <c r="AQ83" s="45">
        <v>1706</v>
      </c>
      <c r="AR83" s="45">
        <v>221</v>
      </c>
      <c r="AS83" s="45">
        <v>65</v>
      </c>
      <c r="AT83" s="45">
        <v>1035</v>
      </c>
      <c r="AU83" s="45">
        <v>8960</v>
      </c>
      <c r="AV83" s="45">
        <v>2565</v>
      </c>
      <c r="AW83" s="45">
        <v>8764</v>
      </c>
      <c r="AX83" s="45">
        <v>1383</v>
      </c>
      <c r="AY83" s="45">
        <v>2830</v>
      </c>
      <c r="AZ83" s="45">
        <v>4081</v>
      </c>
      <c r="BA83" s="45">
        <v>1671</v>
      </c>
      <c r="BB83" s="45">
        <v>168</v>
      </c>
      <c r="BC83" s="45">
        <v>2027</v>
      </c>
      <c r="BD83" s="45">
        <v>281</v>
      </c>
      <c r="BE83" s="45">
        <v>312</v>
      </c>
      <c r="BF83" s="45">
        <v>261</v>
      </c>
      <c r="BG83" s="45">
        <v>129</v>
      </c>
      <c r="BH83" s="45">
        <v>35</v>
      </c>
      <c r="BI83" s="45">
        <v>1015</v>
      </c>
    </row>
    <row r="84" spans="1:61" x14ac:dyDescent="0.2">
      <c r="A84" s="43">
        <v>43983</v>
      </c>
      <c r="B84" s="44">
        <v>955</v>
      </c>
      <c r="C84" s="44">
        <v>490</v>
      </c>
      <c r="D84" s="44">
        <v>720</v>
      </c>
      <c r="E84" s="44">
        <v>395</v>
      </c>
      <c r="F84" s="44">
        <v>547</v>
      </c>
      <c r="G84" s="44">
        <v>430</v>
      </c>
      <c r="H84" s="44">
        <v>487.5</v>
      </c>
      <c r="I84" s="44">
        <v>280</v>
      </c>
      <c r="J84" s="44">
        <v>475</v>
      </c>
      <c r="K84" s="44">
        <v>327</v>
      </c>
      <c r="L84" s="44">
        <v>520</v>
      </c>
      <c r="M84" s="44">
        <v>340</v>
      </c>
      <c r="N84" s="44">
        <v>465</v>
      </c>
      <c r="O84" s="44">
        <v>434.5</v>
      </c>
      <c r="P84" s="44">
        <v>720</v>
      </c>
      <c r="Q84" s="44">
        <v>730</v>
      </c>
      <c r="R84" s="44">
        <v>471</v>
      </c>
      <c r="S84" s="44">
        <v>600</v>
      </c>
      <c r="T84" s="44">
        <v>371.7</v>
      </c>
      <c r="U84" s="44">
        <v>386.5</v>
      </c>
      <c r="V84" s="44">
        <v>404</v>
      </c>
      <c r="W84" s="44">
        <v>421.3</v>
      </c>
      <c r="X84" s="44">
        <v>170</v>
      </c>
      <c r="Y84" s="44">
        <v>350</v>
      </c>
      <c r="Z84" s="44">
        <v>210</v>
      </c>
      <c r="AA84" s="44">
        <v>394.5</v>
      </c>
      <c r="AB84" s="44">
        <v>293.5</v>
      </c>
      <c r="AC84" s="44">
        <v>272</v>
      </c>
      <c r="AD84" s="44">
        <v>365</v>
      </c>
      <c r="AE84" s="44">
        <v>460</v>
      </c>
      <c r="AF84" s="45">
        <v>9532</v>
      </c>
      <c r="AG84" s="45">
        <v>9623</v>
      </c>
      <c r="AH84" s="45">
        <v>9335</v>
      </c>
      <c r="AI84" s="45">
        <v>4728</v>
      </c>
      <c r="AJ84" s="45">
        <v>6917</v>
      </c>
      <c r="AK84" s="45">
        <v>7961</v>
      </c>
      <c r="AL84" s="45">
        <v>3354</v>
      </c>
      <c r="AM84" s="45">
        <v>1250</v>
      </c>
      <c r="AN84" s="45">
        <v>5297</v>
      </c>
      <c r="AO84" s="45">
        <v>1692</v>
      </c>
      <c r="AP84" s="45">
        <v>647</v>
      </c>
      <c r="AQ84" s="45">
        <v>1095</v>
      </c>
      <c r="AR84" s="45">
        <v>209</v>
      </c>
      <c r="AS84" s="45">
        <v>68</v>
      </c>
      <c r="AT84" s="45">
        <v>1008</v>
      </c>
      <c r="AU84" s="45">
        <v>7010</v>
      </c>
      <c r="AV84" s="45">
        <v>2029</v>
      </c>
      <c r="AW84" s="45">
        <v>7441</v>
      </c>
      <c r="AX84" s="45">
        <v>1046</v>
      </c>
      <c r="AY84" s="45">
        <v>2100</v>
      </c>
      <c r="AZ84" s="45">
        <v>3065</v>
      </c>
      <c r="BA84" s="45">
        <v>1645</v>
      </c>
      <c r="BB84" s="45">
        <v>143</v>
      </c>
      <c r="BC84" s="45">
        <v>1745</v>
      </c>
      <c r="BD84" s="45">
        <v>215</v>
      </c>
      <c r="BE84" s="45">
        <v>248</v>
      </c>
      <c r="BF84" s="45">
        <v>192</v>
      </c>
      <c r="BG84" s="45">
        <v>142</v>
      </c>
      <c r="BH84" s="45">
        <v>31</v>
      </c>
      <c r="BI84" s="45">
        <v>1009</v>
      </c>
    </row>
    <row r="85" spans="1:61" x14ac:dyDescent="0.2">
      <c r="A85" s="43">
        <v>44075</v>
      </c>
      <c r="B85" s="44">
        <v>945</v>
      </c>
      <c r="C85" s="44">
        <v>510</v>
      </c>
      <c r="D85" s="44">
        <v>710</v>
      </c>
      <c r="E85" s="44">
        <v>410</v>
      </c>
      <c r="F85" s="44">
        <v>555</v>
      </c>
      <c r="G85" s="44">
        <v>449</v>
      </c>
      <c r="H85" s="44">
        <v>500</v>
      </c>
      <c r="I85" s="44">
        <v>285</v>
      </c>
      <c r="J85" s="44">
        <v>495</v>
      </c>
      <c r="K85" s="44">
        <v>365</v>
      </c>
      <c r="L85" s="44">
        <v>528.5</v>
      </c>
      <c r="M85" s="44">
        <v>350</v>
      </c>
      <c r="N85" s="44">
        <v>500</v>
      </c>
      <c r="O85" s="44">
        <v>440</v>
      </c>
      <c r="P85" s="44">
        <v>755</v>
      </c>
      <c r="Q85" s="44">
        <v>730</v>
      </c>
      <c r="R85" s="44">
        <v>475</v>
      </c>
      <c r="S85" s="44">
        <v>595</v>
      </c>
      <c r="T85" s="44">
        <v>360</v>
      </c>
      <c r="U85" s="44">
        <v>400</v>
      </c>
      <c r="V85" s="44">
        <v>412.5</v>
      </c>
      <c r="W85" s="44">
        <v>411.8</v>
      </c>
      <c r="X85" s="44">
        <v>201</v>
      </c>
      <c r="Y85" s="44">
        <v>385</v>
      </c>
      <c r="Z85" s="44">
        <v>247</v>
      </c>
      <c r="AA85" s="44">
        <v>420</v>
      </c>
      <c r="AB85" s="44">
        <v>305</v>
      </c>
      <c r="AC85" s="44">
        <v>285</v>
      </c>
      <c r="AD85" s="44">
        <v>290</v>
      </c>
      <c r="AE85" s="44">
        <v>488</v>
      </c>
      <c r="AF85" s="45">
        <v>14050</v>
      </c>
      <c r="AG85" s="45">
        <v>15136</v>
      </c>
      <c r="AH85" s="45">
        <v>7227</v>
      </c>
      <c r="AI85" s="45">
        <v>6624</v>
      </c>
      <c r="AJ85" s="45">
        <v>10023</v>
      </c>
      <c r="AK85" s="45">
        <v>12540</v>
      </c>
      <c r="AL85" s="45">
        <v>4291</v>
      </c>
      <c r="AM85" s="45">
        <v>1874</v>
      </c>
      <c r="AN85" s="45">
        <v>7847</v>
      </c>
      <c r="AO85" s="45">
        <v>2597</v>
      </c>
      <c r="AP85" s="45">
        <v>756</v>
      </c>
      <c r="AQ85" s="45">
        <v>1715</v>
      </c>
      <c r="AR85" s="45">
        <v>262</v>
      </c>
      <c r="AS85" s="45">
        <v>121</v>
      </c>
      <c r="AT85" s="45">
        <v>1424</v>
      </c>
      <c r="AU85" s="45">
        <v>10394</v>
      </c>
      <c r="AV85" s="45">
        <v>3498</v>
      </c>
      <c r="AW85" s="45">
        <v>5485</v>
      </c>
      <c r="AX85" s="45">
        <v>1511</v>
      </c>
      <c r="AY85" s="45">
        <v>3162</v>
      </c>
      <c r="AZ85" s="45">
        <v>5192</v>
      </c>
      <c r="BA85" s="45">
        <v>1984</v>
      </c>
      <c r="BB85" s="45">
        <v>204</v>
      </c>
      <c r="BC85" s="45">
        <v>2466</v>
      </c>
      <c r="BD85" s="45">
        <v>319</v>
      </c>
      <c r="BE85" s="45">
        <v>347</v>
      </c>
      <c r="BF85" s="45">
        <v>341</v>
      </c>
      <c r="BG85" s="45">
        <v>117</v>
      </c>
      <c r="BH85" s="45">
        <v>27</v>
      </c>
      <c r="BI85" s="45">
        <v>1468</v>
      </c>
    </row>
    <row r="86" spans="1:61" x14ac:dyDescent="0.2">
      <c r="A86" s="43">
        <v>44166</v>
      </c>
      <c r="B86" s="44">
        <v>999</v>
      </c>
      <c r="C86" s="44">
        <v>541</v>
      </c>
      <c r="D86" s="44">
        <v>760</v>
      </c>
      <c r="E86" s="44">
        <v>439</v>
      </c>
      <c r="F86" s="44">
        <v>575</v>
      </c>
      <c r="G86" s="44">
        <v>460</v>
      </c>
      <c r="H86" s="44">
        <v>512.5</v>
      </c>
      <c r="I86" s="44">
        <v>307.5</v>
      </c>
      <c r="J86" s="44">
        <v>528</v>
      </c>
      <c r="K86" s="44">
        <v>375</v>
      </c>
      <c r="L86" s="44">
        <v>567.70000000000005</v>
      </c>
      <c r="M86" s="44">
        <v>380</v>
      </c>
      <c r="N86" s="44">
        <v>522.5</v>
      </c>
      <c r="O86" s="44">
        <v>417.5</v>
      </c>
      <c r="P86" s="44">
        <v>785</v>
      </c>
      <c r="Q86" s="44">
        <v>743</v>
      </c>
      <c r="R86" s="44">
        <v>480</v>
      </c>
      <c r="S86" s="44">
        <v>620</v>
      </c>
      <c r="T86" s="44">
        <v>351</v>
      </c>
      <c r="U86" s="44">
        <v>415</v>
      </c>
      <c r="V86" s="44">
        <v>430</v>
      </c>
      <c r="W86" s="44">
        <v>415</v>
      </c>
      <c r="X86" s="44">
        <v>217.5</v>
      </c>
      <c r="Y86" s="44">
        <v>400</v>
      </c>
      <c r="Z86" s="44">
        <v>270</v>
      </c>
      <c r="AA86" s="44">
        <v>441</v>
      </c>
      <c r="AB86" s="44">
        <v>321</v>
      </c>
      <c r="AC86" s="44">
        <v>292.5</v>
      </c>
      <c r="AD86" s="44">
        <v>348.5</v>
      </c>
      <c r="AE86" s="44">
        <v>498</v>
      </c>
      <c r="AF86" s="45">
        <v>16275</v>
      </c>
      <c r="AG86" s="45">
        <v>16545</v>
      </c>
      <c r="AH86" s="45">
        <v>15775</v>
      </c>
      <c r="AI86" s="45">
        <v>7988</v>
      </c>
      <c r="AJ86" s="45">
        <v>10940</v>
      </c>
      <c r="AK86" s="45">
        <v>13594</v>
      </c>
      <c r="AL86" s="45">
        <v>4421</v>
      </c>
      <c r="AM86" s="45">
        <v>2035</v>
      </c>
      <c r="AN86" s="45">
        <v>8873</v>
      </c>
      <c r="AO86" s="45">
        <v>2868</v>
      </c>
      <c r="AP86" s="45">
        <v>787</v>
      </c>
      <c r="AQ86" s="45">
        <v>1693</v>
      </c>
      <c r="AR86" s="45">
        <v>306</v>
      </c>
      <c r="AS86" s="45">
        <v>118</v>
      </c>
      <c r="AT86" s="45">
        <v>1636</v>
      </c>
      <c r="AU86" s="45">
        <v>12117</v>
      </c>
      <c r="AV86" s="45">
        <v>3991</v>
      </c>
      <c r="AW86" s="45">
        <v>12583</v>
      </c>
      <c r="AX86" s="45">
        <v>1484</v>
      </c>
      <c r="AY86" s="45">
        <v>3812</v>
      </c>
      <c r="AZ86" s="45">
        <v>6244</v>
      </c>
      <c r="BA86" s="45">
        <v>1911</v>
      </c>
      <c r="BB86" s="45">
        <v>246</v>
      </c>
      <c r="BC86" s="45">
        <v>3136</v>
      </c>
      <c r="BD86" s="45">
        <v>368</v>
      </c>
      <c r="BE86" s="45">
        <v>365</v>
      </c>
      <c r="BF86" s="45">
        <v>327</v>
      </c>
      <c r="BG86" s="45">
        <v>129</v>
      </c>
      <c r="BH86" s="45">
        <v>32</v>
      </c>
      <c r="BI86" s="45">
        <v>1777</v>
      </c>
    </row>
    <row r="87" spans="1:61" x14ac:dyDescent="0.2">
      <c r="A87" s="43">
        <v>44256</v>
      </c>
      <c r="B87" s="44">
        <v>1052</v>
      </c>
      <c r="C87" s="44">
        <v>560</v>
      </c>
      <c r="D87" s="44">
        <v>800</v>
      </c>
      <c r="E87" s="44">
        <v>455</v>
      </c>
      <c r="F87" s="44">
        <v>600</v>
      </c>
      <c r="G87" s="44">
        <v>465</v>
      </c>
      <c r="H87" s="44">
        <v>523</v>
      </c>
      <c r="I87" s="44">
        <v>300</v>
      </c>
      <c r="J87" s="44">
        <v>535</v>
      </c>
      <c r="K87" s="44">
        <v>392.5</v>
      </c>
      <c r="L87" s="44">
        <v>610</v>
      </c>
      <c r="M87" s="44">
        <v>400</v>
      </c>
      <c r="N87" s="44">
        <v>535</v>
      </c>
      <c r="O87" s="44">
        <v>462</v>
      </c>
      <c r="P87" s="44">
        <v>835</v>
      </c>
      <c r="Q87" s="44">
        <v>750</v>
      </c>
      <c r="R87" s="44">
        <v>510</v>
      </c>
      <c r="S87" s="44">
        <v>630</v>
      </c>
      <c r="T87" s="44">
        <v>360</v>
      </c>
      <c r="U87" s="44">
        <v>420</v>
      </c>
      <c r="V87" s="44">
        <v>440</v>
      </c>
      <c r="W87" s="44">
        <v>420</v>
      </c>
      <c r="X87" s="44">
        <v>220</v>
      </c>
      <c r="Y87" s="44">
        <v>414</v>
      </c>
      <c r="Z87" s="44">
        <v>265</v>
      </c>
      <c r="AA87" s="44">
        <v>471.1</v>
      </c>
      <c r="AB87" s="44">
        <v>330</v>
      </c>
      <c r="AC87" s="44">
        <v>340</v>
      </c>
      <c r="AD87" s="44">
        <v>324.5</v>
      </c>
      <c r="AE87" s="44">
        <v>505</v>
      </c>
      <c r="AF87" s="45">
        <v>15288</v>
      </c>
      <c r="AG87" s="45">
        <v>15289</v>
      </c>
      <c r="AH87" s="45">
        <v>16363</v>
      </c>
      <c r="AI87" s="45">
        <v>7785</v>
      </c>
      <c r="AJ87" s="45">
        <v>11441</v>
      </c>
      <c r="AK87" s="45">
        <v>14411</v>
      </c>
      <c r="AL87" s="45">
        <v>4451</v>
      </c>
      <c r="AM87" s="45">
        <v>2154</v>
      </c>
      <c r="AN87" s="45">
        <v>9064</v>
      </c>
      <c r="AO87" s="45">
        <v>3029</v>
      </c>
      <c r="AP87" s="45">
        <v>868</v>
      </c>
      <c r="AQ87" s="45">
        <v>1825</v>
      </c>
      <c r="AR87" s="45">
        <v>335</v>
      </c>
      <c r="AS87" s="45">
        <v>122</v>
      </c>
      <c r="AT87" s="45">
        <v>1237</v>
      </c>
      <c r="AU87" s="45">
        <v>13030</v>
      </c>
      <c r="AV87" s="45">
        <v>3862</v>
      </c>
      <c r="AW87" s="45">
        <v>13276</v>
      </c>
      <c r="AX87" s="45">
        <v>1513</v>
      </c>
      <c r="AY87" s="45">
        <v>4711</v>
      </c>
      <c r="AZ87" s="45">
        <v>7539</v>
      </c>
      <c r="BA87" s="45">
        <v>2415</v>
      </c>
      <c r="BB87" s="45">
        <v>273</v>
      </c>
      <c r="BC87" s="45">
        <v>3401</v>
      </c>
      <c r="BD87" s="45">
        <v>463</v>
      </c>
      <c r="BE87" s="45">
        <v>364</v>
      </c>
      <c r="BF87" s="45">
        <v>351</v>
      </c>
      <c r="BG87" s="45">
        <v>133</v>
      </c>
      <c r="BH87" s="45">
        <v>26</v>
      </c>
      <c r="BI87" s="45">
        <v>1324</v>
      </c>
    </row>
    <row r="88" spans="1:61" x14ac:dyDescent="0.2">
      <c r="A88" s="43">
        <v>44348</v>
      </c>
      <c r="B88" s="44">
        <v>1206.4000000000001</v>
      </c>
      <c r="C88" s="44">
        <v>590</v>
      </c>
      <c r="D88" s="44">
        <v>830</v>
      </c>
      <c r="E88" s="44">
        <v>478.5</v>
      </c>
      <c r="F88" s="44">
        <v>630</v>
      </c>
      <c r="G88" s="44">
        <v>480</v>
      </c>
      <c r="H88" s="44">
        <v>550</v>
      </c>
      <c r="I88" s="44">
        <v>310</v>
      </c>
      <c r="J88" s="44">
        <v>540</v>
      </c>
      <c r="K88" s="44">
        <v>379</v>
      </c>
      <c r="L88" s="44">
        <v>630</v>
      </c>
      <c r="M88" s="44">
        <v>420</v>
      </c>
      <c r="N88" s="44">
        <v>565</v>
      </c>
      <c r="O88" s="44">
        <v>460</v>
      </c>
      <c r="P88" s="44">
        <v>905</v>
      </c>
      <c r="Q88" s="44">
        <v>785</v>
      </c>
      <c r="R88" s="44">
        <v>529</v>
      </c>
      <c r="S88" s="44">
        <v>648.20000000000005</v>
      </c>
      <c r="T88" s="44">
        <v>360</v>
      </c>
      <c r="U88" s="44">
        <v>421.3</v>
      </c>
      <c r="V88" s="44">
        <v>460</v>
      </c>
      <c r="W88" s="44">
        <v>415</v>
      </c>
      <c r="X88" s="44">
        <v>215</v>
      </c>
      <c r="Y88" s="44">
        <v>420</v>
      </c>
      <c r="Z88" s="44">
        <v>297</v>
      </c>
      <c r="AA88" s="44">
        <v>502.5</v>
      </c>
      <c r="AB88" s="44">
        <v>360</v>
      </c>
      <c r="AC88" s="44">
        <v>375</v>
      </c>
      <c r="AD88" s="44">
        <v>300</v>
      </c>
      <c r="AE88" s="44">
        <v>542</v>
      </c>
      <c r="AF88" s="45">
        <v>17458</v>
      </c>
      <c r="AG88" s="45">
        <v>15587</v>
      </c>
      <c r="AH88" s="45">
        <v>17680</v>
      </c>
      <c r="AI88" s="45">
        <v>7789</v>
      </c>
      <c r="AJ88" s="45">
        <v>11805</v>
      </c>
      <c r="AK88" s="45">
        <v>13773</v>
      </c>
      <c r="AL88" s="45">
        <v>4847</v>
      </c>
      <c r="AM88" s="45">
        <v>2067</v>
      </c>
      <c r="AN88" s="45">
        <v>8731</v>
      </c>
      <c r="AO88" s="45">
        <v>2718</v>
      </c>
      <c r="AP88" s="45">
        <v>758</v>
      </c>
      <c r="AQ88" s="45">
        <v>1570</v>
      </c>
      <c r="AR88" s="45">
        <v>402</v>
      </c>
      <c r="AS88" s="45">
        <v>127</v>
      </c>
      <c r="AT88" s="45">
        <v>1330</v>
      </c>
      <c r="AU88" s="45">
        <v>15268</v>
      </c>
      <c r="AV88" s="45">
        <v>3811</v>
      </c>
      <c r="AW88" s="45">
        <v>15762</v>
      </c>
      <c r="AX88" s="45">
        <v>1526</v>
      </c>
      <c r="AY88" s="45">
        <v>5136</v>
      </c>
      <c r="AZ88" s="45">
        <v>7169</v>
      </c>
      <c r="BA88" s="45">
        <v>2560</v>
      </c>
      <c r="BB88" s="45">
        <v>290</v>
      </c>
      <c r="BC88" s="45">
        <v>3154</v>
      </c>
      <c r="BD88" s="45">
        <v>408</v>
      </c>
      <c r="BE88" s="45">
        <v>302</v>
      </c>
      <c r="BF88" s="45">
        <v>274</v>
      </c>
      <c r="BG88" s="45">
        <v>226</v>
      </c>
      <c r="BH88" s="45">
        <v>41</v>
      </c>
      <c r="BI88" s="45">
        <v>1504</v>
      </c>
    </row>
    <row r="89" spans="1:61" x14ac:dyDescent="0.2">
      <c r="A89" s="43">
        <v>44440</v>
      </c>
      <c r="B89" s="44">
        <v>1300</v>
      </c>
      <c r="C89" s="44">
        <v>625</v>
      </c>
      <c r="D89" s="44">
        <v>840</v>
      </c>
      <c r="E89" s="44">
        <v>500</v>
      </c>
      <c r="F89" s="44">
        <v>657</v>
      </c>
      <c r="G89" s="44">
        <v>480</v>
      </c>
      <c r="H89" s="44">
        <v>580</v>
      </c>
      <c r="I89" s="44">
        <v>309</v>
      </c>
      <c r="J89" s="44">
        <v>525</v>
      </c>
      <c r="K89" s="44">
        <v>365</v>
      </c>
      <c r="L89" s="44">
        <v>700</v>
      </c>
      <c r="M89" s="44">
        <v>445</v>
      </c>
      <c r="N89" s="44">
        <v>580</v>
      </c>
      <c r="O89" s="44">
        <v>460</v>
      </c>
      <c r="P89" s="44">
        <v>940</v>
      </c>
      <c r="Q89" s="44">
        <v>800</v>
      </c>
      <c r="R89" s="44">
        <v>550</v>
      </c>
      <c r="S89" s="44">
        <v>650.79999999999995</v>
      </c>
      <c r="T89" s="44">
        <v>380</v>
      </c>
      <c r="U89" s="44">
        <v>430</v>
      </c>
      <c r="V89" s="44">
        <v>480</v>
      </c>
      <c r="W89" s="44">
        <v>425</v>
      </c>
      <c r="X89" s="44">
        <v>217.8</v>
      </c>
      <c r="Y89" s="44">
        <v>415</v>
      </c>
      <c r="Z89" s="44">
        <v>299.5</v>
      </c>
      <c r="AA89" s="44">
        <v>540</v>
      </c>
      <c r="AB89" s="44">
        <v>360</v>
      </c>
      <c r="AC89" s="44">
        <v>360</v>
      </c>
      <c r="AD89" s="44">
        <v>290</v>
      </c>
      <c r="AE89" s="44">
        <v>530</v>
      </c>
      <c r="AF89" s="45">
        <v>15132</v>
      </c>
      <c r="AG89" s="45">
        <v>16242</v>
      </c>
      <c r="AH89" s="45">
        <v>12800</v>
      </c>
      <c r="AI89" s="45">
        <v>6355</v>
      </c>
      <c r="AJ89" s="45">
        <v>13126</v>
      </c>
      <c r="AK89" s="45">
        <v>16084</v>
      </c>
      <c r="AL89" s="45">
        <v>4787</v>
      </c>
      <c r="AM89" s="45">
        <v>2150</v>
      </c>
      <c r="AN89" s="45">
        <v>7254</v>
      </c>
      <c r="AO89" s="45">
        <v>2381</v>
      </c>
      <c r="AP89" s="45">
        <v>790</v>
      </c>
      <c r="AQ89" s="45">
        <v>1607</v>
      </c>
      <c r="AR89" s="45">
        <v>424</v>
      </c>
      <c r="AS89" s="45">
        <v>147</v>
      </c>
      <c r="AT89" s="45">
        <v>1126</v>
      </c>
      <c r="AU89" s="45">
        <v>13104</v>
      </c>
      <c r="AV89" s="45">
        <v>3794</v>
      </c>
      <c r="AW89" s="45">
        <v>11300</v>
      </c>
      <c r="AX89" s="45">
        <v>1261</v>
      </c>
      <c r="AY89" s="45">
        <v>6163</v>
      </c>
      <c r="AZ89" s="45">
        <v>8092</v>
      </c>
      <c r="BA89" s="45">
        <v>2435</v>
      </c>
      <c r="BB89" s="45">
        <v>284</v>
      </c>
      <c r="BC89" s="45">
        <v>3279</v>
      </c>
      <c r="BD89" s="45">
        <v>496</v>
      </c>
      <c r="BE89" s="45">
        <v>319</v>
      </c>
      <c r="BF89" s="45">
        <v>289</v>
      </c>
      <c r="BG89" s="45">
        <v>241</v>
      </c>
      <c r="BH89" s="45">
        <v>37</v>
      </c>
      <c r="BI89" s="45">
        <v>1334</v>
      </c>
    </row>
    <row r="90" spans="1:61" x14ac:dyDescent="0.2">
      <c r="A90" s="43">
        <v>44531</v>
      </c>
      <c r="B90" s="44">
        <v>1360</v>
      </c>
      <c r="C90" s="44">
        <v>685</v>
      </c>
      <c r="D90" s="44">
        <v>940</v>
      </c>
      <c r="E90" s="44">
        <v>553</v>
      </c>
      <c r="F90" s="44">
        <v>750</v>
      </c>
      <c r="G90" s="44">
        <v>500</v>
      </c>
      <c r="H90" s="44">
        <v>630</v>
      </c>
      <c r="I90" s="44">
        <v>335</v>
      </c>
      <c r="J90" s="44">
        <v>558.79999999999995</v>
      </c>
      <c r="K90" s="44">
        <v>380</v>
      </c>
      <c r="L90" s="44">
        <v>754</v>
      </c>
      <c r="M90" s="44">
        <v>500.9</v>
      </c>
      <c r="N90" s="44">
        <v>600</v>
      </c>
      <c r="O90" s="44">
        <v>480</v>
      </c>
      <c r="P90" s="44">
        <v>1040</v>
      </c>
      <c r="Q90" s="44">
        <v>806</v>
      </c>
      <c r="R90" s="44">
        <v>590</v>
      </c>
      <c r="S90" s="44">
        <v>655</v>
      </c>
      <c r="T90" s="44">
        <v>425</v>
      </c>
      <c r="U90" s="44">
        <v>450</v>
      </c>
      <c r="V90" s="44">
        <v>501</v>
      </c>
      <c r="W90" s="44">
        <v>450</v>
      </c>
      <c r="X90" s="44">
        <v>210</v>
      </c>
      <c r="Y90" s="44">
        <v>412.8</v>
      </c>
      <c r="Z90" s="44">
        <v>295</v>
      </c>
      <c r="AA90" s="44">
        <v>570</v>
      </c>
      <c r="AB90" s="44">
        <v>410</v>
      </c>
      <c r="AC90" s="44">
        <v>382</v>
      </c>
      <c r="AD90" s="44">
        <v>300</v>
      </c>
      <c r="AE90" s="44">
        <v>590</v>
      </c>
      <c r="AF90" s="45">
        <v>17181</v>
      </c>
      <c r="AG90" s="45">
        <v>16838</v>
      </c>
      <c r="AH90" s="45">
        <v>20363</v>
      </c>
      <c r="AI90" s="45">
        <v>7892</v>
      </c>
      <c r="AJ90" s="45">
        <v>12911</v>
      </c>
      <c r="AK90" s="45">
        <v>15506</v>
      </c>
      <c r="AL90" s="45">
        <v>5386</v>
      </c>
      <c r="AM90" s="45">
        <v>2402</v>
      </c>
      <c r="AN90" s="45">
        <v>7779</v>
      </c>
      <c r="AO90" s="45">
        <v>2509</v>
      </c>
      <c r="AP90" s="45">
        <v>767</v>
      </c>
      <c r="AQ90" s="45">
        <v>1696</v>
      </c>
      <c r="AR90" s="45">
        <v>443</v>
      </c>
      <c r="AS90" s="45">
        <v>144</v>
      </c>
      <c r="AT90" s="45">
        <v>1477</v>
      </c>
      <c r="AU90" s="45">
        <v>15001</v>
      </c>
      <c r="AV90" s="45">
        <v>3850</v>
      </c>
      <c r="AW90" s="45">
        <v>15119</v>
      </c>
      <c r="AX90" s="45">
        <v>1544</v>
      </c>
      <c r="AY90" s="45">
        <v>6074</v>
      </c>
      <c r="AZ90" s="45">
        <v>7456</v>
      </c>
      <c r="BA90" s="45">
        <v>2642</v>
      </c>
      <c r="BB90" s="45">
        <v>294</v>
      </c>
      <c r="BC90" s="45">
        <v>3254</v>
      </c>
      <c r="BD90" s="45">
        <v>505</v>
      </c>
      <c r="BE90" s="45">
        <v>361</v>
      </c>
      <c r="BF90" s="45">
        <v>292</v>
      </c>
      <c r="BG90" s="45">
        <v>197</v>
      </c>
      <c r="BH90" s="45">
        <v>42</v>
      </c>
      <c r="BI90" s="45">
        <v>1565</v>
      </c>
    </row>
    <row r="91" spans="1:61" x14ac:dyDescent="0.2">
      <c r="A91" s="43">
        <v>44621</v>
      </c>
      <c r="B91" s="44">
        <v>1325</v>
      </c>
      <c r="C91" s="44">
        <v>702</v>
      </c>
      <c r="D91" s="44">
        <v>888</v>
      </c>
      <c r="E91" s="44">
        <v>580</v>
      </c>
      <c r="F91" s="44">
        <v>765</v>
      </c>
      <c r="G91" s="44">
        <v>519</v>
      </c>
      <c r="H91" s="44">
        <v>650</v>
      </c>
      <c r="I91" s="44">
        <v>335</v>
      </c>
      <c r="J91" s="44">
        <v>550</v>
      </c>
      <c r="K91" s="44">
        <v>380</v>
      </c>
      <c r="L91" s="44">
        <v>765</v>
      </c>
      <c r="M91" s="44">
        <v>530.5</v>
      </c>
      <c r="N91" s="44">
        <v>600</v>
      </c>
      <c r="O91" s="44">
        <v>460</v>
      </c>
      <c r="P91" s="44">
        <v>1080</v>
      </c>
      <c r="Q91" s="44">
        <v>780</v>
      </c>
      <c r="R91" s="44">
        <v>610</v>
      </c>
      <c r="S91" s="44">
        <v>640</v>
      </c>
      <c r="T91" s="44">
        <v>419.5</v>
      </c>
      <c r="U91" s="44">
        <v>459</v>
      </c>
      <c r="V91" s="44">
        <v>517</v>
      </c>
      <c r="W91" s="44">
        <v>454.9</v>
      </c>
      <c r="X91" s="44">
        <v>205</v>
      </c>
      <c r="Y91" s="44">
        <v>410</v>
      </c>
      <c r="Z91" s="44">
        <v>320</v>
      </c>
      <c r="AA91" s="44">
        <v>586.29999999999995</v>
      </c>
      <c r="AB91" s="44">
        <v>410</v>
      </c>
      <c r="AC91" s="44">
        <v>402</v>
      </c>
      <c r="AD91" s="44">
        <v>315</v>
      </c>
      <c r="AE91" s="44">
        <v>575</v>
      </c>
      <c r="AF91" s="45">
        <v>12080</v>
      </c>
      <c r="AG91" s="45">
        <v>12535</v>
      </c>
      <c r="AH91" s="45">
        <v>14294</v>
      </c>
      <c r="AI91" s="45">
        <v>6493</v>
      </c>
      <c r="AJ91" s="45">
        <v>10381</v>
      </c>
      <c r="AK91" s="45">
        <v>14272</v>
      </c>
      <c r="AL91" s="45">
        <v>4484</v>
      </c>
      <c r="AM91" s="45">
        <v>2250</v>
      </c>
      <c r="AN91" s="45">
        <v>7729</v>
      </c>
      <c r="AO91" s="45">
        <v>2468</v>
      </c>
      <c r="AP91" s="45">
        <v>814</v>
      </c>
      <c r="AQ91" s="45">
        <v>1590</v>
      </c>
      <c r="AR91" s="45">
        <v>419</v>
      </c>
      <c r="AS91" s="45">
        <v>132</v>
      </c>
      <c r="AT91" s="45">
        <v>827</v>
      </c>
      <c r="AU91" s="45">
        <v>11561</v>
      </c>
      <c r="AV91" s="45">
        <v>3023</v>
      </c>
      <c r="AW91" s="45">
        <v>11607</v>
      </c>
      <c r="AX91" s="45">
        <v>1193</v>
      </c>
      <c r="AY91" s="45">
        <v>5695</v>
      </c>
      <c r="AZ91" s="45">
        <v>6965</v>
      </c>
      <c r="BA91" s="45">
        <v>2359</v>
      </c>
      <c r="BB91" s="45">
        <v>338</v>
      </c>
      <c r="BC91" s="45">
        <v>3521</v>
      </c>
      <c r="BD91" s="45">
        <v>569</v>
      </c>
      <c r="BE91" s="45">
        <v>310</v>
      </c>
      <c r="BF91" s="45">
        <v>264</v>
      </c>
      <c r="BG91" s="45">
        <v>247</v>
      </c>
      <c r="BH91" s="45">
        <v>30</v>
      </c>
      <c r="BI91" s="45">
        <v>944</v>
      </c>
    </row>
    <row r="92" spans="1:61" x14ac:dyDescent="0.2">
      <c r="A92" s="43">
        <v>44713</v>
      </c>
      <c r="B92" s="44">
        <v>1350</v>
      </c>
      <c r="C92" s="44">
        <v>700</v>
      </c>
      <c r="D92" s="44">
        <v>900</v>
      </c>
      <c r="E92" s="44">
        <v>573.1</v>
      </c>
      <c r="F92" s="44">
        <v>773</v>
      </c>
      <c r="G92" s="44">
        <v>528</v>
      </c>
      <c r="H92" s="44">
        <v>663</v>
      </c>
      <c r="I92" s="44">
        <v>350</v>
      </c>
      <c r="J92" s="44">
        <v>565</v>
      </c>
      <c r="K92" s="44">
        <v>375</v>
      </c>
      <c r="L92" s="44">
        <v>765</v>
      </c>
      <c r="M92" s="44">
        <v>525</v>
      </c>
      <c r="N92" s="44">
        <v>585</v>
      </c>
      <c r="O92" s="44">
        <v>487</v>
      </c>
      <c r="P92" s="44">
        <v>1059</v>
      </c>
      <c r="Q92" s="44">
        <v>775</v>
      </c>
      <c r="R92" s="44">
        <v>600</v>
      </c>
      <c r="S92" s="44">
        <v>640</v>
      </c>
      <c r="T92" s="44">
        <v>425</v>
      </c>
      <c r="U92" s="44">
        <v>470</v>
      </c>
      <c r="V92" s="44">
        <v>540</v>
      </c>
      <c r="W92" s="44">
        <v>465</v>
      </c>
      <c r="X92" s="44">
        <v>211</v>
      </c>
      <c r="Y92" s="44">
        <v>405</v>
      </c>
      <c r="Z92" s="44">
        <v>324.5</v>
      </c>
      <c r="AA92" s="44">
        <v>575</v>
      </c>
      <c r="AB92" s="44">
        <v>420</v>
      </c>
      <c r="AC92" s="44">
        <v>400</v>
      </c>
      <c r="AD92" s="44">
        <v>320</v>
      </c>
      <c r="AE92" s="44">
        <v>600</v>
      </c>
      <c r="AF92" s="45">
        <v>11840</v>
      </c>
      <c r="AG92" s="45">
        <v>12387</v>
      </c>
      <c r="AH92" s="45">
        <v>14801</v>
      </c>
      <c r="AI92" s="45">
        <v>6074</v>
      </c>
      <c r="AJ92" s="45">
        <v>9553</v>
      </c>
      <c r="AK92" s="45">
        <v>12547</v>
      </c>
      <c r="AL92" s="45">
        <v>4727</v>
      </c>
      <c r="AM92" s="45">
        <v>2090</v>
      </c>
      <c r="AN92" s="45">
        <v>6902</v>
      </c>
      <c r="AO92" s="45">
        <v>2233</v>
      </c>
      <c r="AP92" s="45">
        <v>761</v>
      </c>
      <c r="AQ92" s="45">
        <v>1374</v>
      </c>
      <c r="AR92" s="45">
        <v>395</v>
      </c>
      <c r="AS92" s="45">
        <v>115</v>
      </c>
      <c r="AT92" s="45">
        <v>1094</v>
      </c>
      <c r="AU92" s="45">
        <v>11150</v>
      </c>
      <c r="AV92" s="45">
        <v>2705</v>
      </c>
      <c r="AW92" s="45">
        <v>12340</v>
      </c>
      <c r="AX92" s="45">
        <v>1103</v>
      </c>
      <c r="AY92" s="45">
        <v>5154</v>
      </c>
      <c r="AZ92" s="45">
        <v>6009</v>
      </c>
      <c r="BA92" s="45">
        <v>2253</v>
      </c>
      <c r="BB92" s="45">
        <v>298</v>
      </c>
      <c r="BC92" s="45">
        <v>3158</v>
      </c>
      <c r="BD92" s="45">
        <v>466</v>
      </c>
      <c r="BE92" s="45">
        <v>300</v>
      </c>
      <c r="BF92" s="45">
        <v>242</v>
      </c>
      <c r="BG92" s="45">
        <v>221</v>
      </c>
      <c r="BH92" s="45">
        <v>39</v>
      </c>
      <c r="BI92" s="45">
        <v>1189</v>
      </c>
    </row>
    <row r="93" spans="1:61" x14ac:dyDescent="0.2">
      <c r="A93" s="43">
        <v>44805</v>
      </c>
      <c r="B93" s="44">
        <v>1300</v>
      </c>
      <c r="C93" s="44">
        <v>690</v>
      </c>
      <c r="D93" s="44">
        <v>850</v>
      </c>
      <c r="E93" s="44">
        <v>560</v>
      </c>
      <c r="F93" s="44">
        <v>750</v>
      </c>
      <c r="G93" s="44">
        <v>528</v>
      </c>
      <c r="H93" s="44">
        <v>654</v>
      </c>
      <c r="I93" s="44">
        <v>345</v>
      </c>
      <c r="J93" s="44">
        <v>555</v>
      </c>
      <c r="K93" s="44">
        <v>380</v>
      </c>
      <c r="L93" s="44">
        <v>720</v>
      </c>
      <c r="M93" s="44">
        <v>510</v>
      </c>
      <c r="N93" s="44">
        <v>560</v>
      </c>
      <c r="O93" s="44">
        <v>459.5</v>
      </c>
      <c r="P93" s="44">
        <v>1000</v>
      </c>
      <c r="Q93" s="44">
        <v>750</v>
      </c>
      <c r="R93" s="44">
        <v>595</v>
      </c>
      <c r="S93" s="44">
        <v>618</v>
      </c>
      <c r="T93" s="44">
        <v>420</v>
      </c>
      <c r="U93" s="44">
        <v>470</v>
      </c>
      <c r="V93" s="44">
        <v>530</v>
      </c>
      <c r="W93" s="44">
        <v>485</v>
      </c>
      <c r="X93" s="44">
        <v>225</v>
      </c>
      <c r="Y93" s="44">
        <v>400</v>
      </c>
      <c r="Z93" s="44">
        <v>300</v>
      </c>
      <c r="AA93" s="44">
        <v>565</v>
      </c>
      <c r="AB93" s="44">
        <v>422.5</v>
      </c>
      <c r="AC93" s="44">
        <v>360</v>
      </c>
      <c r="AD93" s="44">
        <v>306.5</v>
      </c>
      <c r="AE93" s="44">
        <v>596</v>
      </c>
      <c r="AF93" s="45">
        <v>11204</v>
      </c>
      <c r="AG93" s="45">
        <v>11168</v>
      </c>
      <c r="AH93" s="45">
        <v>12427</v>
      </c>
      <c r="AI93" s="45">
        <v>5491</v>
      </c>
      <c r="AJ93" s="45">
        <v>9127</v>
      </c>
      <c r="AK93" s="45">
        <v>12461</v>
      </c>
      <c r="AL93" s="45">
        <v>4313</v>
      </c>
      <c r="AM93" s="45">
        <v>1751</v>
      </c>
      <c r="AN93" s="45">
        <v>7060</v>
      </c>
      <c r="AO93" s="45">
        <v>2200</v>
      </c>
      <c r="AP93" s="45">
        <v>628</v>
      </c>
      <c r="AQ93" s="45">
        <v>1238</v>
      </c>
      <c r="AR93" s="45">
        <v>354</v>
      </c>
      <c r="AS93" s="45">
        <v>100</v>
      </c>
      <c r="AT93" s="45">
        <v>1058</v>
      </c>
      <c r="AU93" s="45">
        <v>10432</v>
      </c>
      <c r="AV93" s="45">
        <v>2608</v>
      </c>
      <c r="AW93" s="45">
        <v>10155</v>
      </c>
      <c r="AX93" s="45">
        <v>1031</v>
      </c>
      <c r="AY93" s="45">
        <v>4934</v>
      </c>
      <c r="AZ93" s="45">
        <v>5887</v>
      </c>
      <c r="BA93" s="45">
        <v>1959</v>
      </c>
      <c r="BB93" s="45">
        <v>245</v>
      </c>
      <c r="BC93" s="45">
        <v>3003</v>
      </c>
      <c r="BD93" s="45">
        <v>487</v>
      </c>
      <c r="BE93" s="45">
        <v>261</v>
      </c>
      <c r="BF93" s="45">
        <v>260</v>
      </c>
      <c r="BG93" s="45">
        <v>218</v>
      </c>
      <c r="BH93" s="45">
        <v>20</v>
      </c>
      <c r="BI93" s="45">
        <v>1143</v>
      </c>
    </row>
    <row r="94" spans="1:61" x14ac:dyDescent="0.2">
      <c r="A94" s="43">
        <v>44896</v>
      </c>
      <c r="B94" s="44">
        <v>1300</v>
      </c>
      <c r="C94" s="44">
        <v>700</v>
      </c>
      <c r="D94" s="44">
        <v>875</v>
      </c>
      <c r="E94" s="44">
        <v>570</v>
      </c>
      <c r="F94" s="44">
        <v>750</v>
      </c>
      <c r="G94" s="44">
        <v>530</v>
      </c>
      <c r="H94" s="44">
        <v>675</v>
      </c>
      <c r="I94" s="44">
        <v>363.3</v>
      </c>
      <c r="J94" s="44">
        <v>580</v>
      </c>
      <c r="K94" s="44">
        <v>390</v>
      </c>
      <c r="L94" s="44">
        <v>731.5</v>
      </c>
      <c r="M94" s="44">
        <v>535</v>
      </c>
      <c r="N94" s="44">
        <v>590</v>
      </c>
      <c r="O94" s="44">
        <v>497</v>
      </c>
      <c r="P94" s="44">
        <v>1000</v>
      </c>
      <c r="Q94" s="44">
        <v>765</v>
      </c>
      <c r="R94" s="44">
        <v>600</v>
      </c>
      <c r="S94" s="44">
        <v>615</v>
      </c>
      <c r="T94" s="44">
        <v>415</v>
      </c>
      <c r="U94" s="44">
        <v>480</v>
      </c>
      <c r="V94" s="44">
        <v>535</v>
      </c>
      <c r="W94" s="44">
        <v>480</v>
      </c>
      <c r="X94" s="44">
        <v>220</v>
      </c>
      <c r="Y94" s="44">
        <v>400</v>
      </c>
      <c r="Z94" s="44">
        <v>313.5</v>
      </c>
      <c r="AA94" s="44">
        <v>565</v>
      </c>
      <c r="AB94" s="44">
        <v>415</v>
      </c>
      <c r="AC94" s="44">
        <v>382.5</v>
      </c>
      <c r="AD94" s="44">
        <v>320</v>
      </c>
      <c r="AE94" s="44">
        <v>600</v>
      </c>
      <c r="AF94" s="45">
        <v>10941</v>
      </c>
      <c r="AG94" s="45">
        <v>10689</v>
      </c>
      <c r="AH94" s="45">
        <v>12390</v>
      </c>
      <c r="AI94" s="45">
        <v>5286</v>
      </c>
      <c r="AJ94" s="45">
        <v>8223</v>
      </c>
      <c r="AK94" s="45">
        <v>11347</v>
      </c>
      <c r="AL94" s="45">
        <v>4046</v>
      </c>
      <c r="AM94" s="45">
        <v>1798</v>
      </c>
      <c r="AN94" s="45">
        <v>6833</v>
      </c>
      <c r="AO94" s="45">
        <v>2036</v>
      </c>
      <c r="AP94" s="45">
        <v>714</v>
      </c>
      <c r="AQ94" s="45">
        <v>1177</v>
      </c>
      <c r="AR94" s="45">
        <v>317</v>
      </c>
      <c r="AS94" s="45">
        <v>78</v>
      </c>
      <c r="AT94" s="45">
        <v>1189</v>
      </c>
      <c r="AU94" s="45">
        <v>9711</v>
      </c>
      <c r="AV94" s="45">
        <v>2398</v>
      </c>
      <c r="AW94" s="45">
        <v>9938</v>
      </c>
      <c r="AX94" s="45">
        <v>964</v>
      </c>
      <c r="AY94" s="45">
        <v>4391</v>
      </c>
      <c r="AZ94" s="45">
        <v>5042</v>
      </c>
      <c r="BA94" s="45">
        <v>1952</v>
      </c>
      <c r="BB94" s="45">
        <v>232</v>
      </c>
      <c r="BC94" s="45">
        <v>3053</v>
      </c>
      <c r="BD94" s="45">
        <v>428</v>
      </c>
      <c r="BE94" s="45">
        <v>310</v>
      </c>
      <c r="BF94" s="45">
        <v>254</v>
      </c>
      <c r="BG94" s="45">
        <v>196</v>
      </c>
      <c r="BH94" s="45">
        <v>29</v>
      </c>
      <c r="BI94" s="45">
        <v>1008</v>
      </c>
    </row>
    <row r="95" spans="1:61" x14ac:dyDescent="0.2">
      <c r="A95" s="43">
        <v>44986</v>
      </c>
      <c r="B95" s="44">
        <v>1250.0999999999999</v>
      </c>
      <c r="C95" s="44">
        <v>700</v>
      </c>
      <c r="D95" s="44">
        <v>835</v>
      </c>
      <c r="E95" s="44">
        <v>570</v>
      </c>
      <c r="F95" s="44">
        <v>757</v>
      </c>
      <c r="G95" s="44">
        <v>540</v>
      </c>
      <c r="H95" s="44">
        <v>680</v>
      </c>
      <c r="I95" s="44">
        <v>381.8</v>
      </c>
      <c r="J95" s="44">
        <v>578</v>
      </c>
      <c r="K95" s="44">
        <v>400</v>
      </c>
      <c r="L95" s="44">
        <v>705</v>
      </c>
      <c r="M95" s="44">
        <v>520</v>
      </c>
      <c r="N95" s="44">
        <v>575</v>
      </c>
      <c r="O95" s="44">
        <v>505.4</v>
      </c>
      <c r="P95" s="44">
        <v>984</v>
      </c>
      <c r="Q95" s="44">
        <v>765</v>
      </c>
      <c r="R95" s="44">
        <v>601.79999999999995</v>
      </c>
      <c r="S95" s="44">
        <v>605</v>
      </c>
      <c r="T95" s="44">
        <v>422.5</v>
      </c>
      <c r="U95" s="44">
        <v>483</v>
      </c>
      <c r="V95" s="44">
        <v>550</v>
      </c>
      <c r="W95" s="44">
        <v>489.5</v>
      </c>
      <c r="X95" s="44">
        <v>245</v>
      </c>
      <c r="Y95" s="44">
        <v>402.6</v>
      </c>
      <c r="Z95" s="44">
        <v>320</v>
      </c>
      <c r="AA95" s="44">
        <v>560</v>
      </c>
      <c r="AB95" s="44">
        <v>420</v>
      </c>
      <c r="AC95" s="44">
        <v>370</v>
      </c>
      <c r="AD95" s="44">
        <v>305</v>
      </c>
      <c r="AE95" s="44">
        <v>610</v>
      </c>
      <c r="AF95" s="45">
        <v>9819</v>
      </c>
      <c r="AG95" s="45">
        <v>9609</v>
      </c>
      <c r="AH95" s="45">
        <v>10804</v>
      </c>
      <c r="AI95" s="45">
        <v>4942</v>
      </c>
      <c r="AJ95" s="45">
        <v>8221</v>
      </c>
      <c r="AK95" s="45">
        <v>10976</v>
      </c>
      <c r="AL95" s="45">
        <v>3777</v>
      </c>
      <c r="AM95" s="45">
        <v>1703</v>
      </c>
      <c r="AN95" s="45">
        <v>7047</v>
      </c>
      <c r="AO95" s="45">
        <v>2026</v>
      </c>
      <c r="AP95" s="45">
        <v>736</v>
      </c>
      <c r="AQ95" s="45">
        <v>1265</v>
      </c>
      <c r="AR95" s="45">
        <v>254</v>
      </c>
      <c r="AS95" s="45">
        <v>78</v>
      </c>
      <c r="AT95" s="45">
        <v>920</v>
      </c>
      <c r="AU95" s="45">
        <v>9928</v>
      </c>
      <c r="AV95" s="45">
        <v>2198</v>
      </c>
      <c r="AW95" s="45">
        <v>9772</v>
      </c>
      <c r="AX95" s="45">
        <v>915</v>
      </c>
      <c r="AY95" s="45">
        <v>4695</v>
      </c>
      <c r="AZ95" s="45">
        <v>5287</v>
      </c>
      <c r="BA95" s="45">
        <v>1945</v>
      </c>
      <c r="BB95" s="45">
        <v>261</v>
      </c>
      <c r="BC95" s="45">
        <v>3480</v>
      </c>
      <c r="BD95" s="45">
        <v>467</v>
      </c>
      <c r="BE95" s="45">
        <v>277</v>
      </c>
      <c r="BF95" s="45">
        <v>254</v>
      </c>
      <c r="BG95" s="45">
        <v>166</v>
      </c>
      <c r="BH95" s="45">
        <v>20</v>
      </c>
      <c r="BI95" s="45">
        <v>865</v>
      </c>
    </row>
    <row r="96" spans="1:61" x14ac:dyDescent="0.2">
      <c r="A96" s="43">
        <v>45078</v>
      </c>
      <c r="B96" s="44">
        <v>1355</v>
      </c>
      <c r="C96" s="44">
        <v>710</v>
      </c>
      <c r="D96" s="44">
        <v>840.3</v>
      </c>
      <c r="E96" s="44">
        <v>570</v>
      </c>
      <c r="F96" s="44">
        <v>775</v>
      </c>
      <c r="G96" s="44">
        <v>560</v>
      </c>
      <c r="H96" s="44">
        <v>702</v>
      </c>
      <c r="I96" s="44">
        <v>395</v>
      </c>
      <c r="J96" s="44">
        <v>600</v>
      </c>
      <c r="K96" s="44">
        <v>400</v>
      </c>
      <c r="L96" s="44">
        <v>696.5</v>
      </c>
      <c r="M96" s="44">
        <v>535</v>
      </c>
      <c r="N96" s="44">
        <v>590</v>
      </c>
      <c r="O96" s="44">
        <v>478</v>
      </c>
      <c r="P96" s="44">
        <v>983</v>
      </c>
      <c r="Q96" s="44">
        <v>800</v>
      </c>
      <c r="R96" s="44">
        <v>608</v>
      </c>
      <c r="S96" s="44">
        <v>620</v>
      </c>
      <c r="T96" s="44">
        <v>440</v>
      </c>
      <c r="U96" s="44">
        <v>500</v>
      </c>
      <c r="V96" s="44">
        <v>562.5</v>
      </c>
      <c r="W96" s="44">
        <v>525</v>
      </c>
      <c r="X96" s="44">
        <v>256</v>
      </c>
      <c r="Y96" s="44">
        <v>410</v>
      </c>
      <c r="Z96" s="44">
        <v>323</v>
      </c>
      <c r="AA96" s="44">
        <v>557</v>
      </c>
      <c r="AB96" s="44">
        <v>460</v>
      </c>
      <c r="AC96" s="44">
        <v>387.5</v>
      </c>
      <c r="AD96" s="44">
        <v>340</v>
      </c>
      <c r="AE96" s="44">
        <v>600</v>
      </c>
      <c r="AF96" s="45">
        <v>12105</v>
      </c>
      <c r="AG96" s="45">
        <v>10773</v>
      </c>
      <c r="AH96" s="45">
        <v>12738</v>
      </c>
      <c r="AI96" s="45">
        <v>5006</v>
      </c>
      <c r="AJ96" s="45">
        <v>8803</v>
      </c>
      <c r="AK96" s="45">
        <v>11141</v>
      </c>
      <c r="AL96" s="45">
        <v>4127</v>
      </c>
      <c r="AM96" s="45">
        <v>1693</v>
      </c>
      <c r="AN96" s="45">
        <v>6765</v>
      </c>
      <c r="AO96" s="45">
        <v>1993</v>
      </c>
      <c r="AP96" s="45">
        <v>682</v>
      </c>
      <c r="AQ96" s="45">
        <v>1221</v>
      </c>
      <c r="AR96" s="45">
        <v>294</v>
      </c>
      <c r="AS96" s="45">
        <v>78</v>
      </c>
      <c r="AT96" s="45">
        <v>1006</v>
      </c>
      <c r="AU96" s="45">
        <v>12650</v>
      </c>
      <c r="AV96" s="45">
        <v>2467</v>
      </c>
      <c r="AW96" s="45">
        <v>11337</v>
      </c>
      <c r="AX96" s="45">
        <v>993</v>
      </c>
      <c r="AY96" s="45">
        <v>4740</v>
      </c>
      <c r="AZ96" s="45">
        <v>5391</v>
      </c>
      <c r="BA96" s="45">
        <v>1898</v>
      </c>
      <c r="BB96" s="45">
        <v>244</v>
      </c>
      <c r="BC96" s="45">
        <v>3537</v>
      </c>
      <c r="BD96" s="45">
        <v>460</v>
      </c>
      <c r="BE96" s="45">
        <v>350</v>
      </c>
      <c r="BF96" s="45">
        <v>263</v>
      </c>
      <c r="BG96" s="45">
        <v>197</v>
      </c>
      <c r="BH96" s="45">
        <v>15</v>
      </c>
      <c r="BI96" s="45">
        <v>1009</v>
      </c>
    </row>
    <row r="97" spans="1:61" x14ac:dyDescent="0.2">
      <c r="A97" s="43">
        <v>45170</v>
      </c>
      <c r="B97" s="44">
        <v>1370</v>
      </c>
      <c r="C97" s="44">
        <v>718</v>
      </c>
      <c r="D97" s="44">
        <v>832</v>
      </c>
      <c r="E97" s="44">
        <v>570</v>
      </c>
      <c r="F97" s="44">
        <v>800</v>
      </c>
      <c r="G97" s="44">
        <v>570</v>
      </c>
      <c r="H97" s="44">
        <v>715</v>
      </c>
      <c r="I97" s="44">
        <v>410</v>
      </c>
      <c r="J97" s="44">
        <v>600</v>
      </c>
      <c r="K97" s="44">
        <v>410</v>
      </c>
      <c r="L97" s="44">
        <v>695</v>
      </c>
      <c r="M97" s="44">
        <v>527.5</v>
      </c>
      <c r="N97" s="44">
        <v>585</v>
      </c>
      <c r="O97" s="44">
        <v>463.5</v>
      </c>
      <c r="P97" s="44">
        <v>985</v>
      </c>
      <c r="Q97" s="44">
        <v>795</v>
      </c>
      <c r="R97" s="44">
        <v>625</v>
      </c>
      <c r="S97" s="44">
        <v>625</v>
      </c>
      <c r="T97" s="44">
        <v>420</v>
      </c>
      <c r="U97" s="44">
        <v>525</v>
      </c>
      <c r="V97" s="44">
        <v>580</v>
      </c>
      <c r="W97" s="44">
        <v>520</v>
      </c>
      <c r="X97" s="44">
        <v>287</v>
      </c>
      <c r="Y97" s="44">
        <v>420</v>
      </c>
      <c r="Z97" s="44">
        <v>320</v>
      </c>
      <c r="AA97" s="44">
        <v>550</v>
      </c>
      <c r="AB97" s="44">
        <v>435</v>
      </c>
      <c r="AC97" s="44">
        <v>376</v>
      </c>
      <c r="AD97" s="44">
        <v>260</v>
      </c>
      <c r="AE97" s="44">
        <v>619</v>
      </c>
      <c r="AF97" s="45">
        <v>12993</v>
      </c>
      <c r="AG97" s="45">
        <v>11061</v>
      </c>
      <c r="AH97" s="45">
        <v>13014</v>
      </c>
      <c r="AI97" s="45">
        <v>4985</v>
      </c>
      <c r="AJ97" s="45">
        <v>9490</v>
      </c>
      <c r="AK97" s="45">
        <v>11989</v>
      </c>
      <c r="AL97" s="45">
        <v>4099</v>
      </c>
      <c r="AM97" s="45">
        <v>1684</v>
      </c>
      <c r="AN97" s="45">
        <v>7190</v>
      </c>
      <c r="AO97" s="45">
        <v>2166</v>
      </c>
      <c r="AP97" s="45">
        <v>689</v>
      </c>
      <c r="AQ97" s="45">
        <v>1123</v>
      </c>
      <c r="AR97" s="45">
        <v>339</v>
      </c>
      <c r="AS97" s="45">
        <v>94</v>
      </c>
      <c r="AT97" s="45">
        <v>953</v>
      </c>
      <c r="AU97" s="45">
        <v>13540</v>
      </c>
      <c r="AV97" s="45">
        <v>2618</v>
      </c>
      <c r="AW97" s="45">
        <v>11971</v>
      </c>
      <c r="AX97" s="45">
        <v>959</v>
      </c>
      <c r="AY97" s="45">
        <v>5478</v>
      </c>
      <c r="AZ97" s="45">
        <v>5968</v>
      </c>
      <c r="BA97" s="45">
        <v>1979</v>
      </c>
      <c r="BB97" s="45">
        <v>219</v>
      </c>
      <c r="BC97" s="45">
        <v>3609</v>
      </c>
      <c r="BD97" s="45">
        <v>477</v>
      </c>
      <c r="BE97" s="45">
        <v>289</v>
      </c>
      <c r="BF97" s="45">
        <v>245</v>
      </c>
      <c r="BG97" s="45">
        <v>195</v>
      </c>
      <c r="BH97" s="45">
        <v>25</v>
      </c>
      <c r="BI97" s="45">
        <v>948</v>
      </c>
    </row>
    <row r="98" spans="1:61" x14ac:dyDescent="0.2">
      <c r="A98" s="43">
        <v>45261</v>
      </c>
      <c r="B98" s="44">
        <v>1420</v>
      </c>
      <c r="C98" s="44">
        <v>720</v>
      </c>
      <c r="D98" s="44">
        <v>865</v>
      </c>
      <c r="E98" s="44">
        <v>580</v>
      </c>
      <c r="F98" s="44">
        <v>830</v>
      </c>
      <c r="G98" s="44">
        <v>580</v>
      </c>
      <c r="H98" s="44">
        <v>750</v>
      </c>
      <c r="I98" s="44">
        <v>430</v>
      </c>
      <c r="J98" s="44">
        <v>660</v>
      </c>
      <c r="K98" s="44">
        <v>443</v>
      </c>
      <c r="L98" s="44">
        <v>715</v>
      </c>
      <c r="M98" s="44">
        <v>525</v>
      </c>
      <c r="N98" s="44">
        <v>589.5</v>
      </c>
      <c r="O98" s="44">
        <v>466.3</v>
      </c>
      <c r="P98" s="44">
        <v>1000</v>
      </c>
      <c r="Q98" s="44">
        <v>800</v>
      </c>
      <c r="R98" s="44">
        <v>630</v>
      </c>
      <c r="S98" s="44">
        <v>632.5</v>
      </c>
      <c r="T98" s="44">
        <v>510</v>
      </c>
      <c r="U98" s="44">
        <v>548</v>
      </c>
      <c r="V98" s="44">
        <v>591.5</v>
      </c>
      <c r="W98" s="44">
        <v>565.5</v>
      </c>
      <c r="X98" s="44">
        <v>268</v>
      </c>
      <c r="Y98" s="44">
        <v>445</v>
      </c>
      <c r="Z98" s="44">
        <v>339</v>
      </c>
      <c r="AA98" s="44">
        <v>540</v>
      </c>
      <c r="AB98" s="44">
        <v>435.5</v>
      </c>
      <c r="AC98" s="44">
        <v>375</v>
      </c>
      <c r="AD98" s="44">
        <v>277.5</v>
      </c>
      <c r="AE98" s="44">
        <v>625</v>
      </c>
      <c r="AF98" s="45">
        <v>12596</v>
      </c>
      <c r="AG98" s="45">
        <v>11871</v>
      </c>
      <c r="AH98" s="45">
        <v>14235</v>
      </c>
      <c r="AI98" s="45">
        <v>5358</v>
      </c>
      <c r="AJ98" s="45">
        <v>9413</v>
      </c>
      <c r="AK98" s="45">
        <v>11718</v>
      </c>
      <c r="AL98" s="45">
        <v>4463</v>
      </c>
      <c r="AM98" s="45">
        <v>1802</v>
      </c>
      <c r="AN98" s="45">
        <v>7523</v>
      </c>
      <c r="AO98" s="45">
        <v>2261</v>
      </c>
      <c r="AP98" s="45">
        <v>738</v>
      </c>
      <c r="AQ98" s="45">
        <v>1237</v>
      </c>
      <c r="AR98" s="45">
        <v>288</v>
      </c>
      <c r="AS98" s="45">
        <v>72</v>
      </c>
      <c r="AT98" s="45">
        <v>1011</v>
      </c>
      <c r="AU98" s="45">
        <v>12681</v>
      </c>
      <c r="AV98" s="45">
        <v>2832</v>
      </c>
      <c r="AW98" s="45">
        <v>13080</v>
      </c>
      <c r="AX98" s="45">
        <v>1248</v>
      </c>
      <c r="AY98" s="45">
        <v>5034</v>
      </c>
      <c r="AZ98" s="45">
        <v>5504</v>
      </c>
      <c r="BA98" s="45">
        <v>2040</v>
      </c>
      <c r="BB98" s="45">
        <v>253</v>
      </c>
      <c r="BC98" s="45">
        <v>3852</v>
      </c>
      <c r="BD98" s="45">
        <v>481</v>
      </c>
      <c r="BE98" s="45">
        <v>277</v>
      </c>
      <c r="BF98" s="45">
        <v>255</v>
      </c>
      <c r="BG98" s="45">
        <v>191</v>
      </c>
      <c r="BH98" s="45">
        <v>18</v>
      </c>
      <c r="BI98" s="45">
        <v>909</v>
      </c>
    </row>
    <row r="99" spans="1:61" x14ac:dyDescent="0.2">
      <c r="A99" s="43">
        <v>45352</v>
      </c>
      <c r="B99" s="44">
        <v>1401</v>
      </c>
      <c r="C99" s="44">
        <v>747</v>
      </c>
      <c r="D99" s="44">
        <v>845</v>
      </c>
      <c r="E99" s="44">
        <v>575</v>
      </c>
      <c r="F99" s="44">
        <v>850.3</v>
      </c>
      <c r="G99" s="44">
        <v>605</v>
      </c>
      <c r="H99" s="44">
        <v>765</v>
      </c>
      <c r="I99" s="44">
        <v>455</v>
      </c>
      <c r="J99" s="44">
        <v>700</v>
      </c>
      <c r="K99" s="44">
        <v>450</v>
      </c>
      <c r="L99" s="44">
        <v>705</v>
      </c>
      <c r="M99" s="44">
        <v>535</v>
      </c>
      <c r="N99" s="44">
        <v>570</v>
      </c>
      <c r="O99" s="44">
        <v>425</v>
      </c>
      <c r="P99" s="44">
        <v>985</v>
      </c>
      <c r="Q99" s="44">
        <v>790</v>
      </c>
      <c r="R99" s="44">
        <v>626.79999999999995</v>
      </c>
      <c r="S99" s="44">
        <v>629</v>
      </c>
      <c r="T99" s="44">
        <v>502</v>
      </c>
      <c r="U99" s="44">
        <v>580</v>
      </c>
      <c r="V99" s="44">
        <v>625</v>
      </c>
      <c r="W99" s="44">
        <v>570</v>
      </c>
      <c r="X99" s="44">
        <v>270</v>
      </c>
      <c r="Y99" s="44">
        <v>475</v>
      </c>
      <c r="Z99" s="44">
        <v>365</v>
      </c>
      <c r="AA99" s="44">
        <v>551</v>
      </c>
      <c r="AB99" s="44">
        <v>450</v>
      </c>
      <c r="AC99" s="44">
        <v>390</v>
      </c>
      <c r="AD99" s="44">
        <v>350</v>
      </c>
      <c r="AE99" s="44">
        <v>597</v>
      </c>
      <c r="AF99" s="45">
        <v>11689</v>
      </c>
      <c r="AG99" s="45">
        <v>10887</v>
      </c>
      <c r="AH99" s="45">
        <v>13514</v>
      </c>
      <c r="AI99" s="45">
        <v>5509</v>
      </c>
      <c r="AJ99" s="45">
        <v>9068</v>
      </c>
      <c r="AK99" s="45">
        <v>11696</v>
      </c>
      <c r="AL99" s="45">
        <v>4086</v>
      </c>
      <c r="AM99" s="45">
        <v>1812</v>
      </c>
      <c r="AN99" s="45">
        <v>6998</v>
      </c>
      <c r="AO99" s="45">
        <v>2209</v>
      </c>
      <c r="AP99" s="45">
        <v>759</v>
      </c>
      <c r="AQ99" s="45">
        <v>1409</v>
      </c>
      <c r="AR99" s="45">
        <v>300</v>
      </c>
      <c r="AS99" s="45">
        <v>71</v>
      </c>
      <c r="AT99" s="45">
        <v>908</v>
      </c>
      <c r="AU99" s="45">
        <v>12554</v>
      </c>
      <c r="AV99" s="45">
        <v>2798</v>
      </c>
      <c r="AW99" s="45">
        <v>12729</v>
      </c>
      <c r="AX99" s="45">
        <v>1433</v>
      </c>
      <c r="AY99" s="45">
        <v>5133</v>
      </c>
      <c r="AZ99" s="45">
        <v>5700</v>
      </c>
      <c r="BA99" s="45">
        <v>1955</v>
      </c>
      <c r="BB99" s="45">
        <v>271</v>
      </c>
      <c r="BC99" s="45">
        <v>3913</v>
      </c>
      <c r="BD99" s="45">
        <v>528</v>
      </c>
      <c r="BE99" s="45">
        <v>295</v>
      </c>
      <c r="BF99" s="45">
        <v>277</v>
      </c>
      <c r="BG99" s="45">
        <v>174</v>
      </c>
      <c r="BH99" s="45">
        <v>27</v>
      </c>
      <c r="BI99" s="45">
        <v>958</v>
      </c>
    </row>
    <row r="100" spans="1:61" x14ac:dyDescent="0.2">
      <c r="A100" s="43">
        <v>45444</v>
      </c>
      <c r="B100" s="44">
        <v>1455</v>
      </c>
      <c r="C100" s="44">
        <v>750</v>
      </c>
      <c r="D100" s="44">
        <v>845</v>
      </c>
      <c r="E100" s="44">
        <v>570</v>
      </c>
      <c r="F100" s="44">
        <v>890</v>
      </c>
      <c r="G100" s="44">
        <v>630</v>
      </c>
      <c r="H100" s="44">
        <v>785</v>
      </c>
      <c r="I100" s="44">
        <v>450</v>
      </c>
      <c r="J100" s="44">
        <v>756</v>
      </c>
      <c r="K100" s="44">
        <v>470</v>
      </c>
      <c r="L100" s="44">
        <v>695.5</v>
      </c>
      <c r="M100" s="44">
        <v>537</v>
      </c>
      <c r="N100" s="44">
        <v>582.5</v>
      </c>
      <c r="O100" s="44">
        <v>438.8</v>
      </c>
      <c r="P100" s="44">
        <v>990</v>
      </c>
      <c r="Q100" s="44">
        <v>800</v>
      </c>
      <c r="R100" s="44">
        <v>645</v>
      </c>
      <c r="S100" s="44">
        <v>630</v>
      </c>
      <c r="T100" s="44">
        <v>440</v>
      </c>
      <c r="U100" s="44">
        <v>610</v>
      </c>
      <c r="V100" s="44">
        <v>640</v>
      </c>
      <c r="W100" s="44">
        <v>630</v>
      </c>
      <c r="X100" s="44">
        <v>265</v>
      </c>
      <c r="Y100" s="44">
        <v>510</v>
      </c>
      <c r="Z100" s="44">
        <v>380</v>
      </c>
      <c r="AA100" s="44">
        <v>555</v>
      </c>
      <c r="AB100" s="44">
        <v>445</v>
      </c>
      <c r="AC100" s="44">
        <v>356</v>
      </c>
      <c r="AD100" s="44">
        <v>323</v>
      </c>
      <c r="AE100" s="44">
        <v>630</v>
      </c>
      <c r="AF100" s="45">
        <v>13509</v>
      </c>
      <c r="AG100" s="45">
        <v>12245</v>
      </c>
      <c r="AH100" s="45">
        <v>15542</v>
      </c>
      <c r="AI100" s="45">
        <v>6018</v>
      </c>
      <c r="AJ100" s="45">
        <v>9605</v>
      </c>
      <c r="AK100" s="45">
        <v>11947</v>
      </c>
      <c r="AL100" s="45">
        <v>4519</v>
      </c>
      <c r="AM100" s="45">
        <v>1728</v>
      </c>
      <c r="AN100" s="45">
        <v>6844</v>
      </c>
      <c r="AO100" s="45">
        <v>2158</v>
      </c>
      <c r="AP100" s="45">
        <v>755</v>
      </c>
      <c r="AQ100" s="45">
        <v>1334</v>
      </c>
      <c r="AR100" s="45">
        <v>322</v>
      </c>
      <c r="AS100" s="45">
        <v>76</v>
      </c>
      <c r="AT100" s="45">
        <v>1058</v>
      </c>
      <c r="AU100" s="45">
        <v>14241</v>
      </c>
      <c r="AV100" s="45">
        <v>2833</v>
      </c>
      <c r="AW100" s="45">
        <v>14367</v>
      </c>
      <c r="AX100" s="45">
        <v>1135</v>
      </c>
      <c r="AY100" s="45">
        <v>5082</v>
      </c>
      <c r="AZ100" s="45">
        <v>5520</v>
      </c>
      <c r="BA100" s="45">
        <v>2128</v>
      </c>
      <c r="BB100" s="45">
        <v>250</v>
      </c>
      <c r="BC100" s="45">
        <v>3683</v>
      </c>
      <c r="BD100" s="45">
        <v>575</v>
      </c>
      <c r="BE100" s="45">
        <v>291</v>
      </c>
      <c r="BF100" s="45">
        <v>287</v>
      </c>
      <c r="BG100" s="45">
        <v>213</v>
      </c>
      <c r="BH100" s="45">
        <v>38</v>
      </c>
      <c r="BI100" s="45">
        <v>1041</v>
      </c>
    </row>
    <row r="101" spans="1:61" x14ac:dyDescent="0.2">
      <c r="A101" s="43">
        <v>45536</v>
      </c>
      <c r="B101" s="44">
        <v>1410</v>
      </c>
      <c r="C101" s="44">
        <v>745</v>
      </c>
      <c r="D101" s="44">
        <v>825</v>
      </c>
      <c r="E101" s="44">
        <v>560</v>
      </c>
      <c r="F101" s="44">
        <v>890</v>
      </c>
      <c r="G101" s="44">
        <v>649</v>
      </c>
      <c r="H101" s="44">
        <v>818.3</v>
      </c>
      <c r="I101" s="44">
        <v>465</v>
      </c>
      <c r="J101" s="44">
        <v>780</v>
      </c>
      <c r="K101" s="44">
        <v>495</v>
      </c>
      <c r="L101" s="44">
        <v>700</v>
      </c>
      <c r="M101" s="44">
        <v>515.1</v>
      </c>
      <c r="N101" s="44">
        <v>558.79999999999995</v>
      </c>
      <c r="O101" s="44">
        <v>422.7</v>
      </c>
      <c r="P101" s="44">
        <v>1000</v>
      </c>
      <c r="Q101" s="44">
        <v>815</v>
      </c>
      <c r="R101" s="44">
        <v>640</v>
      </c>
      <c r="S101" s="44">
        <v>618</v>
      </c>
      <c r="T101" s="44">
        <v>420</v>
      </c>
      <c r="U101" s="44">
        <v>631</v>
      </c>
      <c r="V101" s="44">
        <v>660</v>
      </c>
      <c r="W101" s="44">
        <v>610</v>
      </c>
      <c r="X101" s="44">
        <v>249.5</v>
      </c>
      <c r="Y101" s="44">
        <v>540</v>
      </c>
      <c r="Z101" s="44">
        <v>380</v>
      </c>
      <c r="AA101" s="44">
        <v>525</v>
      </c>
      <c r="AB101" s="44">
        <v>450</v>
      </c>
      <c r="AC101" s="44">
        <v>350</v>
      </c>
      <c r="AD101" s="44">
        <v>280</v>
      </c>
      <c r="AE101" s="44">
        <v>595</v>
      </c>
      <c r="AF101" s="45">
        <v>13499</v>
      </c>
      <c r="AG101" s="45">
        <v>12203</v>
      </c>
      <c r="AH101" s="45">
        <v>14718</v>
      </c>
      <c r="AI101" s="45">
        <v>5736</v>
      </c>
      <c r="AJ101" s="45">
        <v>10370</v>
      </c>
      <c r="AK101" s="45">
        <v>13134</v>
      </c>
      <c r="AL101" s="45">
        <v>4460</v>
      </c>
      <c r="AM101" s="45">
        <v>1837</v>
      </c>
      <c r="AN101" s="45">
        <v>6961</v>
      </c>
      <c r="AO101" s="45">
        <v>2338</v>
      </c>
      <c r="AP101" s="45">
        <v>778</v>
      </c>
      <c r="AQ101" s="45">
        <v>1241</v>
      </c>
      <c r="AR101" s="45">
        <v>420</v>
      </c>
      <c r="AS101" s="45">
        <v>82</v>
      </c>
      <c r="AT101" s="45">
        <v>993</v>
      </c>
      <c r="AU101" s="45">
        <v>14071</v>
      </c>
      <c r="AV101" s="45">
        <v>3072</v>
      </c>
      <c r="AW101" s="45">
        <v>13741</v>
      </c>
      <c r="AX101" s="45">
        <v>1194</v>
      </c>
      <c r="AY101" s="45">
        <v>5745</v>
      </c>
      <c r="AZ101" s="45">
        <v>6205</v>
      </c>
      <c r="BA101" s="45">
        <v>2238</v>
      </c>
      <c r="BB101" s="45">
        <v>296</v>
      </c>
      <c r="BC101" s="45">
        <v>3829</v>
      </c>
      <c r="BD101" s="45">
        <v>510</v>
      </c>
      <c r="BE101" s="45">
        <v>298</v>
      </c>
      <c r="BF101" s="45">
        <v>285</v>
      </c>
      <c r="BG101" s="45">
        <v>237</v>
      </c>
      <c r="BH101" s="45">
        <v>27</v>
      </c>
      <c r="BI101" s="45">
        <v>1014</v>
      </c>
    </row>
    <row r="102" spans="1:61" x14ac:dyDescent="0.2">
      <c r="A102" s="43">
        <v>45627</v>
      </c>
      <c r="B102" s="44">
        <v>1450</v>
      </c>
      <c r="C102" s="44">
        <v>760</v>
      </c>
      <c r="D102" s="44">
        <v>850</v>
      </c>
      <c r="E102" s="44">
        <v>560</v>
      </c>
      <c r="F102" s="44">
        <v>935</v>
      </c>
      <c r="G102" s="44">
        <v>675</v>
      </c>
      <c r="H102" s="44">
        <v>850</v>
      </c>
      <c r="I102" s="44">
        <v>500</v>
      </c>
      <c r="J102" s="44">
        <v>820</v>
      </c>
      <c r="K102" s="44">
        <v>520</v>
      </c>
      <c r="L102" s="44">
        <v>715</v>
      </c>
      <c r="M102" s="44">
        <v>550</v>
      </c>
      <c r="N102" s="44">
        <v>560</v>
      </c>
      <c r="O102" s="44">
        <v>462.5</v>
      </c>
      <c r="P102" s="44">
        <v>1000</v>
      </c>
      <c r="Q102" s="44">
        <v>820</v>
      </c>
      <c r="R102" s="44">
        <v>650</v>
      </c>
      <c r="S102" s="44">
        <v>625</v>
      </c>
      <c r="T102" s="44">
        <v>415</v>
      </c>
      <c r="U102" s="44">
        <v>655</v>
      </c>
      <c r="V102" s="44">
        <v>670</v>
      </c>
      <c r="W102" s="44">
        <v>640</v>
      </c>
      <c r="X102" s="44">
        <v>320</v>
      </c>
      <c r="Y102" s="44">
        <v>557.5</v>
      </c>
      <c r="Z102" s="44">
        <v>400</v>
      </c>
      <c r="AA102" s="44">
        <v>539.5</v>
      </c>
      <c r="AB102" s="44">
        <v>462.5</v>
      </c>
      <c r="AC102" s="44">
        <v>341</v>
      </c>
      <c r="AD102" s="44">
        <v>261.5</v>
      </c>
      <c r="AE102" s="44">
        <v>610</v>
      </c>
      <c r="AF102" s="45">
        <v>13345</v>
      </c>
      <c r="AG102" s="45">
        <v>12819</v>
      </c>
      <c r="AH102" s="45">
        <v>16886</v>
      </c>
      <c r="AI102" s="45">
        <v>6726</v>
      </c>
      <c r="AJ102" s="45">
        <v>9571</v>
      </c>
      <c r="AK102" s="45">
        <v>12365</v>
      </c>
      <c r="AL102" s="45">
        <v>4548</v>
      </c>
      <c r="AM102" s="45">
        <v>1745</v>
      </c>
      <c r="AN102" s="45">
        <v>6894</v>
      </c>
      <c r="AO102" s="45">
        <v>2169</v>
      </c>
      <c r="AP102" s="45">
        <v>800</v>
      </c>
      <c r="AQ102" s="45">
        <v>1296</v>
      </c>
      <c r="AR102" s="45">
        <v>533</v>
      </c>
      <c r="AS102" s="45">
        <v>112</v>
      </c>
      <c r="AT102" s="45">
        <v>1150</v>
      </c>
      <c r="AU102" s="45">
        <v>12148</v>
      </c>
      <c r="AV102" s="45">
        <v>2913</v>
      </c>
      <c r="AW102" s="45">
        <v>14097</v>
      </c>
      <c r="AX102" s="45">
        <v>1263</v>
      </c>
      <c r="AY102" s="45">
        <v>4795</v>
      </c>
      <c r="AZ102" s="45">
        <v>5623</v>
      </c>
      <c r="BA102" s="45">
        <v>2153</v>
      </c>
      <c r="BB102" s="45">
        <v>271</v>
      </c>
      <c r="BC102" s="45">
        <v>3600</v>
      </c>
      <c r="BD102" s="45">
        <v>495</v>
      </c>
      <c r="BE102" s="45">
        <v>314</v>
      </c>
      <c r="BF102" s="45">
        <v>300</v>
      </c>
      <c r="BG102" s="45">
        <v>232</v>
      </c>
      <c r="BH102" s="45">
        <v>29</v>
      </c>
      <c r="BI102" s="45">
        <v>1043</v>
      </c>
    </row>
    <row r="103" spans="1:61" x14ac:dyDescent="0.2">
      <c r="A103" s="43">
        <v>45717</v>
      </c>
      <c r="B103" s="44">
        <v>1450</v>
      </c>
      <c r="C103" s="44">
        <v>760</v>
      </c>
      <c r="D103" s="44">
        <v>840</v>
      </c>
      <c r="E103" s="44">
        <v>575</v>
      </c>
      <c r="F103" s="44">
        <v>947.5</v>
      </c>
      <c r="G103" s="44">
        <v>710</v>
      </c>
      <c r="H103" s="44">
        <v>853</v>
      </c>
      <c r="I103" s="44">
        <v>490</v>
      </c>
      <c r="J103" s="44">
        <v>821.5</v>
      </c>
      <c r="K103" s="44">
        <v>540</v>
      </c>
      <c r="L103" s="44">
        <v>710.5</v>
      </c>
      <c r="M103" s="44">
        <v>550</v>
      </c>
      <c r="N103" s="44">
        <v>600</v>
      </c>
      <c r="O103" s="44">
        <v>430</v>
      </c>
      <c r="P103" s="44">
        <v>975</v>
      </c>
      <c r="Q103" s="44">
        <v>820</v>
      </c>
      <c r="R103" s="44">
        <v>650</v>
      </c>
      <c r="S103" s="44">
        <v>625</v>
      </c>
      <c r="T103" s="44">
        <v>430</v>
      </c>
      <c r="U103" s="44">
        <v>685</v>
      </c>
      <c r="V103" s="44">
        <v>700</v>
      </c>
      <c r="W103" s="44">
        <v>640</v>
      </c>
      <c r="X103" s="44">
        <v>297</v>
      </c>
      <c r="Y103" s="44">
        <v>575</v>
      </c>
      <c r="Z103" s="44">
        <v>420</v>
      </c>
      <c r="AA103" s="44">
        <v>550</v>
      </c>
      <c r="AB103" s="44">
        <v>442</v>
      </c>
      <c r="AC103" s="44">
        <v>360</v>
      </c>
      <c r="AD103" s="44">
        <v>263</v>
      </c>
      <c r="AE103" s="44">
        <v>600</v>
      </c>
      <c r="AF103" s="45">
        <v>11589</v>
      </c>
      <c r="AG103" s="45">
        <v>12098</v>
      </c>
      <c r="AH103" s="45">
        <v>14613</v>
      </c>
      <c r="AI103" s="45">
        <v>6784</v>
      </c>
      <c r="AJ103" s="45">
        <v>8377</v>
      </c>
      <c r="AK103" s="45">
        <v>11497</v>
      </c>
      <c r="AL103" s="45">
        <v>4309</v>
      </c>
      <c r="AM103" s="45">
        <v>1742</v>
      </c>
      <c r="AN103" s="45">
        <v>6764</v>
      </c>
      <c r="AO103" s="45">
        <v>2114</v>
      </c>
      <c r="AP103" s="45">
        <v>875</v>
      </c>
      <c r="AQ103" s="45">
        <v>1493</v>
      </c>
      <c r="AR103" s="45">
        <v>471</v>
      </c>
      <c r="AS103" s="45">
        <v>87</v>
      </c>
      <c r="AT103" s="45">
        <v>1022</v>
      </c>
      <c r="AU103" s="45">
        <v>11423</v>
      </c>
      <c r="AV103" s="45">
        <v>3035</v>
      </c>
      <c r="AW103" s="45">
        <v>12740</v>
      </c>
      <c r="AX103" s="45">
        <v>1365</v>
      </c>
      <c r="AY103" s="45">
        <v>4545</v>
      </c>
      <c r="AZ103" s="45">
        <v>5518</v>
      </c>
      <c r="BA103" s="45">
        <v>1991</v>
      </c>
      <c r="BB103" s="45">
        <v>237</v>
      </c>
      <c r="BC103" s="45">
        <v>3444</v>
      </c>
      <c r="BD103" s="45">
        <v>440</v>
      </c>
      <c r="BE103" s="45">
        <v>354</v>
      </c>
      <c r="BF103" s="45">
        <v>274</v>
      </c>
      <c r="BG103" s="45">
        <v>238</v>
      </c>
      <c r="BH103" s="45">
        <v>29</v>
      </c>
      <c r="BI103" s="45">
        <v>1046</v>
      </c>
    </row>
    <row r="104" spans="1:61" x14ac:dyDescent="0.2">
      <c r="A104" s="43">
        <v>45809</v>
      </c>
      <c r="B104" s="44">
        <v>1520</v>
      </c>
      <c r="C104" s="44">
        <v>770</v>
      </c>
      <c r="D104" s="44">
        <v>845</v>
      </c>
      <c r="E104" s="44">
        <v>575</v>
      </c>
      <c r="F104" s="44">
        <v>970</v>
      </c>
      <c r="G104" s="44">
        <v>725</v>
      </c>
      <c r="H104" s="44">
        <v>868</v>
      </c>
      <c r="I104" s="44">
        <v>510</v>
      </c>
      <c r="J104" s="44">
        <v>850</v>
      </c>
      <c r="K104" s="44">
        <v>550</v>
      </c>
      <c r="L104" s="44">
        <v>707.5</v>
      </c>
      <c r="M104" s="44">
        <v>550</v>
      </c>
      <c r="N104" s="44">
        <v>624</v>
      </c>
      <c r="O104" s="44">
        <v>443.5</v>
      </c>
      <c r="P104" s="44">
        <v>1000</v>
      </c>
      <c r="Q104" s="44">
        <v>835</v>
      </c>
      <c r="R104" s="44">
        <v>665</v>
      </c>
      <c r="S104" s="44">
        <v>625</v>
      </c>
      <c r="T104" s="44">
        <v>435</v>
      </c>
      <c r="U104" s="44">
        <v>706</v>
      </c>
      <c r="V104" s="44">
        <v>720</v>
      </c>
      <c r="W104" s="44">
        <v>663</v>
      </c>
      <c r="X104" s="44">
        <v>330</v>
      </c>
      <c r="Y104" s="44">
        <v>600</v>
      </c>
      <c r="Z104" s="44">
        <v>410</v>
      </c>
      <c r="AA104" s="44">
        <v>555.29999999999995</v>
      </c>
      <c r="AB104" s="44">
        <v>450</v>
      </c>
      <c r="AC104" s="44">
        <v>389</v>
      </c>
      <c r="AD104" s="44">
        <v>300</v>
      </c>
      <c r="AE104" s="44">
        <v>600</v>
      </c>
      <c r="AF104" s="45">
        <v>13762</v>
      </c>
      <c r="AG104" s="45">
        <v>13082</v>
      </c>
      <c r="AH104" s="45">
        <v>17640</v>
      </c>
      <c r="AI104" s="45">
        <v>7450</v>
      </c>
      <c r="AJ104" s="45">
        <v>9518</v>
      </c>
      <c r="AK104" s="45">
        <v>11745</v>
      </c>
      <c r="AL104" s="45">
        <v>4920</v>
      </c>
      <c r="AM104" s="45">
        <v>1755</v>
      </c>
      <c r="AN104" s="45">
        <v>7402</v>
      </c>
      <c r="AO104" s="45">
        <v>2232</v>
      </c>
      <c r="AP104" s="45">
        <v>931</v>
      </c>
      <c r="AQ104" s="45">
        <v>1564</v>
      </c>
      <c r="AR104" s="45">
        <v>580</v>
      </c>
      <c r="AS104" s="45">
        <v>109</v>
      </c>
      <c r="AT104" s="45">
        <v>1135</v>
      </c>
      <c r="AU104" s="45">
        <v>13329</v>
      </c>
      <c r="AV104" s="45">
        <v>3125</v>
      </c>
      <c r="AW104" s="45">
        <v>14939</v>
      </c>
      <c r="AX104" s="45">
        <v>1387</v>
      </c>
      <c r="AY104" s="45">
        <v>4948</v>
      </c>
      <c r="AZ104" s="45">
        <v>5915</v>
      </c>
      <c r="BA104" s="45">
        <v>2318</v>
      </c>
      <c r="BB104" s="45">
        <v>226</v>
      </c>
      <c r="BC104" s="45">
        <v>3253</v>
      </c>
      <c r="BD104" s="45">
        <v>452</v>
      </c>
      <c r="BE104" s="45">
        <v>330</v>
      </c>
      <c r="BF104" s="45">
        <v>295</v>
      </c>
      <c r="BG104" s="45">
        <v>343</v>
      </c>
      <c r="BH104" s="45">
        <v>33</v>
      </c>
      <c r="BI104" s="45">
        <v>1191</v>
      </c>
    </row>
    <row r="105" spans="1:61" x14ac:dyDescent="0.2">
      <c r="A105" s="43">
        <v>45901</v>
      </c>
      <c r="B105" s="44">
        <v>1511</v>
      </c>
      <c r="C105" s="44">
        <v>780</v>
      </c>
      <c r="D105" s="44">
        <v>846.8</v>
      </c>
      <c r="E105" s="44">
        <v>590</v>
      </c>
      <c r="F105" s="44">
        <v>1020</v>
      </c>
      <c r="G105" s="44">
        <v>765</v>
      </c>
      <c r="H105" s="44">
        <v>900</v>
      </c>
      <c r="I105" s="44">
        <v>535</v>
      </c>
      <c r="J105" s="44">
        <v>871</v>
      </c>
      <c r="K105" s="44">
        <v>577.5</v>
      </c>
      <c r="L105" s="44">
        <v>715</v>
      </c>
      <c r="M105" s="44">
        <v>575</v>
      </c>
      <c r="N105" s="44">
        <v>670</v>
      </c>
      <c r="O105" s="44">
        <v>433</v>
      </c>
      <c r="P105" s="44">
        <v>1027</v>
      </c>
      <c r="Q105" s="44">
        <v>840</v>
      </c>
      <c r="R105" s="44">
        <v>675</v>
      </c>
      <c r="S105" s="44">
        <v>630</v>
      </c>
      <c r="T105" s="44">
        <v>440</v>
      </c>
      <c r="U105" s="44">
        <v>740</v>
      </c>
      <c r="V105" s="44">
        <v>740</v>
      </c>
      <c r="W105" s="44">
        <v>685.8</v>
      </c>
      <c r="X105" s="44">
        <v>365</v>
      </c>
      <c r="Y105" s="44">
        <v>625.9</v>
      </c>
      <c r="Z105" s="44">
        <v>430</v>
      </c>
      <c r="AA105" s="44">
        <v>582.5</v>
      </c>
      <c r="AB105" s="44">
        <v>455</v>
      </c>
      <c r="AC105" s="44">
        <v>405</v>
      </c>
      <c r="AD105" s="44">
        <v>310</v>
      </c>
      <c r="AE105" s="44">
        <v>612</v>
      </c>
      <c r="AF105" s="45">
        <v>14929</v>
      </c>
      <c r="AG105" s="45">
        <v>13953</v>
      </c>
      <c r="AH105" s="45">
        <v>17798</v>
      </c>
      <c r="AI105" s="45">
        <v>7875</v>
      </c>
      <c r="AJ105" s="45">
        <v>10508</v>
      </c>
      <c r="AK105" s="45">
        <v>12555</v>
      </c>
      <c r="AL105" s="45">
        <v>4871</v>
      </c>
      <c r="AM105" s="45">
        <v>1811</v>
      </c>
      <c r="AN105" s="45">
        <v>6746</v>
      </c>
      <c r="AO105" s="45">
        <v>2236</v>
      </c>
      <c r="AP105" s="45">
        <v>803</v>
      </c>
      <c r="AQ105" s="45">
        <v>1387</v>
      </c>
      <c r="AR105" s="45">
        <v>595</v>
      </c>
      <c r="AS105" s="45">
        <v>124</v>
      </c>
      <c r="AT105" s="45">
        <v>1111</v>
      </c>
      <c r="AU105" s="45">
        <v>14498</v>
      </c>
      <c r="AV105" s="45">
        <v>3493</v>
      </c>
      <c r="AW105" s="45">
        <v>15128</v>
      </c>
      <c r="AX105" s="45">
        <v>1621</v>
      </c>
      <c r="AY105" s="45">
        <v>5299</v>
      </c>
      <c r="AZ105" s="45">
        <v>6134</v>
      </c>
      <c r="BA105" s="45">
        <v>2636</v>
      </c>
      <c r="BB105" s="45">
        <v>272</v>
      </c>
      <c r="BC105" s="45">
        <v>3406</v>
      </c>
      <c r="BD105" s="45">
        <v>538</v>
      </c>
      <c r="BE105" s="45">
        <v>313</v>
      </c>
      <c r="BF105" s="45">
        <v>324</v>
      </c>
      <c r="BG105" s="45">
        <v>397</v>
      </c>
      <c r="BH105" s="45">
        <v>55</v>
      </c>
      <c r="BI105" s="45">
        <v>1154</v>
      </c>
    </row>
    <row r="106" spans="1:61" x14ac:dyDescent="0.2">
      <c r="A106" s="43">
        <v>45992</v>
      </c>
      <c r="B106" s="44">
        <v>1515</v>
      </c>
      <c r="C106" s="44">
        <v>800</v>
      </c>
      <c r="D106" s="44">
        <v>875</v>
      </c>
      <c r="E106" s="44">
        <v>610</v>
      </c>
      <c r="F106" s="44">
        <v>1100</v>
      </c>
      <c r="G106" s="44">
        <v>799.4</v>
      </c>
      <c r="H106" s="44">
        <v>950</v>
      </c>
      <c r="I106" s="44">
        <v>575</v>
      </c>
      <c r="J106" s="44">
        <v>951</v>
      </c>
      <c r="K106" s="44">
        <v>622</v>
      </c>
      <c r="L106" s="44">
        <v>749.5</v>
      </c>
      <c r="M106" s="44">
        <v>609</v>
      </c>
      <c r="N106" s="44">
        <v>711</v>
      </c>
      <c r="O106" s="44">
        <v>460</v>
      </c>
      <c r="P106" s="44">
        <v>1042.5</v>
      </c>
      <c r="Q106" s="44">
        <v>850</v>
      </c>
      <c r="R106" s="44">
        <v>700</v>
      </c>
      <c r="S106" s="44">
        <v>660</v>
      </c>
      <c r="T106" s="44">
        <v>465</v>
      </c>
      <c r="U106" s="44">
        <v>793</v>
      </c>
      <c r="V106" s="44">
        <v>786</v>
      </c>
      <c r="W106" s="44">
        <v>730</v>
      </c>
      <c r="X106" s="44">
        <v>410</v>
      </c>
      <c r="Y106" s="44">
        <v>700</v>
      </c>
      <c r="Z106" s="44">
        <v>450</v>
      </c>
      <c r="AA106" s="44">
        <v>586</v>
      </c>
      <c r="AB106" s="44">
        <v>493.5</v>
      </c>
      <c r="AC106" s="44">
        <v>433.2</v>
      </c>
      <c r="AD106" s="44">
        <v>315</v>
      </c>
      <c r="AE106" s="44">
        <v>620</v>
      </c>
      <c r="AF106" s="45">
        <v>12879</v>
      </c>
      <c r="AG106" s="45">
        <v>13851</v>
      </c>
      <c r="AH106" s="45">
        <v>15965</v>
      </c>
      <c r="AI106" s="45">
        <v>7336</v>
      </c>
      <c r="AJ106" s="45">
        <v>8493</v>
      </c>
      <c r="AK106" s="45">
        <v>10192</v>
      </c>
      <c r="AL106" s="45">
        <v>4808</v>
      </c>
      <c r="AM106" s="45">
        <v>1789</v>
      </c>
      <c r="AN106" s="45">
        <v>6193</v>
      </c>
      <c r="AO106" s="45">
        <v>1931</v>
      </c>
      <c r="AP106" s="45">
        <v>488</v>
      </c>
      <c r="AQ106" s="45">
        <v>806</v>
      </c>
      <c r="AR106" s="45">
        <v>408</v>
      </c>
      <c r="AS106" s="45">
        <v>105</v>
      </c>
      <c r="AT106" s="45">
        <v>1090</v>
      </c>
      <c r="AU106" s="45">
        <v>12725</v>
      </c>
      <c r="AV106" s="45">
        <v>3501</v>
      </c>
      <c r="AW106" s="45">
        <v>14962</v>
      </c>
      <c r="AX106" s="45">
        <v>1469</v>
      </c>
      <c r="AY106" s="45">
        <v>4273</v>
      </c>
      <c r="AZ106" s="45">
        <v>5033</v>
      </c>
      <c r="BA106" s="45">
        <v>2096</v>
      </c>
      <c r="BB106" s="45">
        <v>279</v>
      </c>
      <c r="BC106" s="45">
        <v>2960</v>
      </c>
      <c r="BD106" s="45">
        <v>498</v>
      </c>
      <c r="BE106" s="45">
        <v>209</v>
      </c>
      <c r="BF106" s="45">
        <v>188</v>
      </c>
      <c r="BG106" s="45">
        <v>289</v>
      </c>
      <c r="BH106" s="45">
        <v>39</v>
      </c>
      <c r="BI106" s="45">
        <v>1225</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EFC7-7237-4430-B607-A7F5094CDFDA}">
  <sheetPr>
    <tabColor theme="7"/>
  </sheetPr>
  <dimension ref="A1:D102"/>
  <sheetViews>
    <sheetView zoomScaleNormal="100" workbookViewId="0">
      <selection activeCell="C2" sqref="C2"/>
    </sheetView>
  </sheetViews>
  <sheetFormatPr defaultRowHeight="15" x14ac:dyDescent="0.25"/>
  <cols>
    <col min="1" max="1" width="24.28515625" bestFit="1" customWidth="1"/>
    <col min="2" max="2" width="20" bestFit="1" customWidth="1"/>
  </cols>
  <sheetData>
    <row r="1" spans="1:4" x14ac:dyDescent="0.25">
      <c r="A1" t="s">
        <v>25</v>
      </c>
      <c r="B1" s="1" t="s">
        <v>1</v>
      </c>
      <c r="C1" t="s">
        <v>630</v>
      </c>
      <c r="D1" t="s">
        <v>631</v>
      </c>
    </row>
    <row r="2" spans="1:4" x14ac:dyDescent="0.25">
      <c r="A2" t="s">
        <v>13</v>
      </c>
      <c r="B2" s="2">
        <v>37316</v>
      </c>
      <c r="C2" cm="1">
        <f t="array" ref="C2:C97">_xlfn.XLOOKUP("Median Price of Established House*Melbourne*",'ABS-total-value-dwellings'!1:1,'ABS-total-value-dwellings'!11:106,"na",2)</f>
        <v>241</v>
      </c>
      <c r="D2" cm="1">
        <f t="array" ref="D2:D97">_xlfn.XLOOKUP("Median Price of Established House*Rest of Vic*",'ABS-total-value-dwellings'!1:1,'ABS-total-value-dwellings'!11:106,"na",2)</f>
        <v>0</v>
      </c>
    </row>
    <row r="3" spans="1:4" x14ac:dyDescent="0.25">
      <c r="A3" t="s">
        <v>15</v>
      </c>
      <c r="B3" s="2">
        <v>37408</v>
      </c>
      <c r="C3">
        <v>260</v>
      </c>
      <c r="D3">
        <v>0</v>
      </c>
    </row>
    <row r="4" spans="1:4" x14ac:dyDescent="0.25">
      <c r="B4" s="2">
        <v>37500</v>
      </c>
      <c r="C4">
        <v>265</v>
      </c>
      <c r="D4">
        <v>0</v>
      </c>
    </row>
    <row r="5" spans="1:4" x14ac:dyDescent="0.25">
      <c r="B5" s="2">
        <v>37591</v>
      </c>
      <c r="C5">
        <v>280</v>
      </c>
      <c r="D5">
        <v>0</v>
      </c>
    </row>
    <row r="6" spans="1:4" x14ac:dyDescent="0.25">
      <c r="B6" s="2">
        <v>37681</v>
      </c>
      <c r="C6">
        <v>270</v>
      </c>
      <c r="D6">
        <v>0</v>
      </c>
    </row>
    <row r="7" spans="1:4" x14ac:dyDescent="0.25">
      <c r="B7" s="2">
        <v>37773</v>
      </c>
      <c r="C7">
        <v>287.5</v>
      </c>
      <c r="D7">
        <v>0</v>
      </c>
    </row>
    <row r="8" spans="1:4" x14ac:dyDescent="0.25">
      <c r="B8" s="2">
        <v>37865</v>
      </c>
      <c r="C8">
        <v>295</v>
      </c>
      <c r="D8">
        <v>176</v>
      </c>
    </row>
    <row r="9" spans="1:4" x14ac:dyDescent="0.25">
      <c r="B9" s="2">
        <v>37956</v>
      </c>
      <c r="C9">
        <v>320</v>
      </c>
      <c r="D9">
        <v>185</v>
      </c>
    </row>
    <row r="10" spans="1:4" x14ac:dyDescent="0.25">
      <c r="B10" s="2">
        <v>38047</v>
      </c>
      <c r="C10">
        <v>305</v>
      </c>
      <c r="D10">
        <v>190</v>
      </c>
    </row>
    <row r="11" spans="1:4" x14ac:dyDescent="0.25">
      <c r="B11" s="2">
        <v>38139</v>
      </c>
      <c r="C11">
        <v>307.5</v>
      </c>
      <c r="D11">
        <v>195</v>
      </c>
    </row>
    <row r="12" spans="1:4" x14ac:dyDescent="0.25">
      <c r="B12" s="2">
        <v>38231</v>
      </c>
      <c r="C12">
        <v>302</v>
      </c>
      <c r="D12">
        <v>195</v>
      </c>
    </row>
    <row r="13" spans="1:4" x14ac:dyDescent="0.25">
      <c r="B13" s="2">
        <v>38322</v>
      </c>
      <c r="C13">
        <v>321</v>
      </c>
      <c r="D13">
        <v>205</v>
      </c>
    </row>
    <row r="14" spans="1:4" x14ac:dyDescent="0.25">
      <c r="B14" s="2">
        <v>38412</v>
      </c>
      <c r="C14">
        <v>310</v>
      </c>
      <c r="D14">
        <v>210</v>
      </c>
    </row>
    <row r="15" spans="1:4" x14ac:dyDescent="0.25">
      <c r="B15" s="2">
        <v>38504</v>
      </c>
      <c r="C15">
        <v>320</v>
      </c>
      <c r="D15">
        <v>205</v>
      </c>
    </row>
    <row r="16" spans="1:4" x14ac:dyDescent="0.25">
      <c r="B16" s="2">
        <v>38596</v>
      </c>
      <c r="C16">
        <v>320</v>
      </c>
      <c r="D16">
        <v>210</v>
      </c>
    </row>
    <row r="17" spans="2:4" x14ac:dyDescent="0.25">
      <c r="B17" s="2">
        <v>38687</v>
      </c>
      <c r="C17">
        <v>332</v>
      </c>
      <c r="D17">
        <v>220</v>
      </c>
    </row>
    <row r="18" spans="2:4" x14ac:dyDescent="0.25">
      <c r="B18" s="2">
        <v>38777</v>
      </c>
      <c r="C18">
        <v>330</v>
      </c>
      <c r="D18">
        <v>224</v>
      </c>
    </row>
    <row r="19" spans="2:4" x14ac:dyDescent="0.25">
      <c r="B19" s="2">
        <v>38869</v>
      </c>
      <c r="C19">
        <v>345</v>
      </c>
      <c r="D19">
        <v>220</v>
      </c>
    </row>
    <row r="20" spans="2:4" x14ac:dyDescent="0.25">
      <c r="B20" s="2">
        <v>38961</v>
      </c>
      <c r="C20">
        <v>346</v>
      </c>
      <c r="D20">
        <v>222</v>
      </c>
    </row>
    <row r="21" spans="2:4" x14ac:dyDescent="0.25">
      <c r="B21" s="2">
        <v>39052</v>
      </c>
      <c r="C21">
        <v>360</v>
      </c>
      <c r="D21">
        <v>230</v>
      </c>
    </row>
    <row r="22" spans="2:4" x14ac:dyDescent="0.25">
      <c r="B22" s="2">
        <v>39142</v>
      </c>
      <c r="C22">
        <v>345</v>
      </c>
      <c r="D22">
        <v>230</v>
      </c>
    </row>
    <row r="23" spans="2:4" x14ac:dyDescent="0.25">
      <c r="B23" s="2">
        <v>39234</v>
      </c>
      <c r="C23">
        <v>362</v>
      </c>
      <c r="D23">
        <v>230</v>
      </c>
    </row>
    <row r="24" spans="2:4" x14ac:dyDescent="0.25">
      <c r="B24" s="2">
        <v>39326</v>
      </c>
      <c r="C24">
        <v>370</v>
      </c>
      <c r="D24">
        <v>233.5</v>
      </c>
    </row>
    <row r="25" spans="2:4" x14ac:dyDescent="0.25">
      <c r="B25" s="2">
        <v>39417</v>
      </c>
      <c r="C25">
        <v>410</v>
      </c>
      <c r="D25">
        <v>245</v>
      </c>
    </row>
    <row r="26" spans="2:4" x14ac:dyDescent="0.25">
      <c r="B26" s="2">
        <v>39508</v>
      </c>
      <c r="C26">
        <v>385</v>
      </c>
      <c r="D26">
        <v>243.5</v>
      </c>
    </row>
    <row r="27" spans="2:4" x14ac:dyDescent="0.25">
      <c r="B27" s="2">
        <v>39600</v>
      </c>
      <c r="C27">
        <v>400</v>
      </c>
      <c r="D27">
        <v>239</v>
      </c>
    </row>
    <row r="28" spans="2:4" x14ac:dyDescent="0.25">
      <c r="B28" s="2">
        <v>39692</v>
      </c>
      <c r="C28">
        <v>385</v>
      </c>
      <c r="D28">
        <v>235</v>
      </c>
    </row>
    <row r="29" spans="2:4" x14ac:dyDescent="0.25">
      <c r="B29" s="2">
        <v>39783</v>
      </c>
      <c r="C29">
        <v>385</v>
      </c>
      <c r="D29">
        <v>236</v>
      </c>
    </row>
    <row r="30" spans="2:4" x14ac:dyDescent="0.25">
      <c r="B30" s="2">
        <v>39873</v>
      </c>
      <c r="C30">
        <v>375</v>
      </c>
      <c r="D30">
        <v>238</v>
      </c>
    </row>
    <row r="31" spans="2:4" x14ac:dyDescent="0.25">
      <c r="B31" s="2">
        <v>39965</v>
      </c>
      <c r="C31">
        <v>400</v>
      </c>
      <c r="D31">
        <v>245</v>
      </c>
    </row>
    <row r="32" spans="2:4" x14ac:dyDescent="0.25">
      <c r="B32" s="2">
        <v>40057</v>
      </c>
      <c r="C32">
        <v>422</v>
      </c>
      <c r="D32">
        <v>250</v>
      </c>
    </row>
    <row r="33" spans="2:4" x14ac:dyDescent="0.25">
      <c r="B33" s="2">
        <v>40148</v>
      </c>
      <c r="C33">
        <v>477.5</v>
      </c>
      <c r="D33">
        <v>266.5</v>
      </c>
    </row>
    <row r="34" spans="2:4" x14ac:dyDescent="0.25">
      <c r="B34" s="2">
        <v>40238</v>
      </c>
      <c r="C34">
        <v>468</v>
      </c>
      <c r="D34">
        <v>275</v>
      </c>
    </row>
    <row r="35" spans="2:4" x14ac:dyDescent="0.25">
      <c r="B35" s="2">
        <v>40330</v>
      </c>
      <c r="C35">
        <v>500</v>
      </c>
      <c r="D35">
        <v>278.2</v>
      </c>
    </row>
    <row r="36" spans="2:4" x14ac:dyDescent="0.25">
      <c r="B36" s="2">
        <v>40422</v>
      </c>
      <c r="C36">
        <v>488.3</v>
      </c>
      <c r="D36">
        <v>280</v>
      </c>
    </row>
    <row r="37" spans="2:4" x14ac:dyDescent="0.25">
      <c r="B37" s="2">
        <v>40513</v>
      </c>
      <c r="C37">
        <v>520</v>
      </c>
      <c r="D37">
        <v>292.5</v>
      </c>
    </row>
    <row r="38" spans="2:4" x14ac:dyDescent="0.25">
      <c r="B38" s="2">
        <v>40603</v>
      </c>
      <c r="C38">
        <v>485</v>
      </c>
      <c r="D38">
        <v>293</v>
      </c>
    </row>
    <row r="39" spans="2:4" x14ac:dyDescent="0.25">
      <c r="B39" s="2">
        <v>40695</v>
      </c>
      <c r="C39">
        <v>502.5</v>
      </c>
      <c r="D39">
        <v>295</v>
      </c>
    </row>
    <row r="40" spans="2:4" x14ac:dyDescent="0.25">
      <c r="B40" s="2">
        <v>40787</v>
      </c>
      <c r="C40">
        <v>487</v>
      </c>
      <c r="D40">
        <v>286.5</v>
      </c>
    </row>
    <row r="41" spans="2:4" x14ac:dyDescent="0.25">
      <c r="B41" s="2">
        <v>40878</v>
      </c>
      <c r="C41">
        <v>495</v>
      </c>
      <c r="D41">
        <v>290.5</v>
      </c>
    </row>
    <row r="42" spans="2:4" x14ac:dyDescent="0.25">
      <c r="B42" s="2">
        <v>40969</v>
      </c>
      <c r="C42">
        <v>478</v>
      </c>
      <c r="D42">
        <v>297.5</v>
      </c>
    </row>
    <row r="43" spans="2:4" x14ac:dyDescent="0.25">
      <c r="B43" s="2">
        <v>41061</v>
      </c>
      <c r="C43">
        <v>485</v>
      </c>
      <c r="D43">
        <v>285</v>
      </c>
    </row>
    <row r="44" spans="2:4" x14ac:dyDescent="0.25">
      <c r="B44" s="2">
        <v>41153</v>
      </c>
      <c r="C44">
        <v>480</v>
      </c>
      <c r="D44">
        <v>290</v>
      </c>
    </row>
    <row r="45" spans="2:4" x14ac:dyDescent="0.25">
      <c r="B45" s="2">
        <v>41244</v>
      </c>
      <c r="C45">
        <v>508</v>
      </c>
      <c r="D45">
        <v>291.5</v>
      </c>
    </row>
    <row r="46" spans="2:4" x14ac:dyDescent="0.25">
      <c r="B46" s="2">
        <v>41334</v>
      </c>
      <c r="C46">
        <v>486</v>
      </c>
      <c r="D46">
        <v>298</v>
      </c>
    </row>
    <row r="47" spans="2:4" x14ac:dyDescent="0.25">
      <c r="B47" s="2">
        <v>41426</v>
      </c>
      <c r="C47">
        <v>500</v>
      </c>
      <c r="D47">
        <v>282.5</v>
      </c>
    </row>
    <row r="48" spans="2:4" x14ac:dyDescent="0.25">
      <c r="B48" s="2">
        <v>41518</v>
      </c>
      <c r="C48">
        <v>520</v>
      </c>
      <c r="D48">
        <v>298</v>
      </c>
    </row>
    <row r="49" spans="2:4" x14ac:dyDescent="0.25">
      <c r="B49" s="2">
        <v>41609</v>
      </c>
      <c r="C49">
        <v>561</v>
      </c>
      <c r="D49">
        <v>308</v>
      </c>
    </row>
    <row r="50" spans="2:4" x14ac:dyDescent="0.25">
      <c r="B50" s="2">
        <v>41699</v>
      </c>
      <c r="C50">
        <v>504</v>
      </c>
      <c r="D50">
        <v>290</v>
      </c>
    </row>
    <row r="51" spans="2:4" x14ac:dyDescent="0.25">
      <c r="B51" s="2">
        <v>41791</v>
      </c>
      <c r="C51">
        <v>528.9</v>
      </c>
      <c r="D51">
        <v>286</v>
      </c>
    </row>
    <row r="52" spans="2:4" x14ac:dyDescent="0.25">
      <c r="B52" s="2">
        <v>41883</v>
      </c>
      <c r="C52">
        <v>505</v>
      </c>
      <c r="D52">
        <v>280</v>
      </c>
    </row>
    <row r="53" spans="2:4" x14ac:dyDescent="0.25">
      <c r="B53" s="2">
        <v>41974</v>
      </c>
      <c r="C53">
        <v>552.5</v>
      </c>
      <c r="D53">
        <v>298</v>
      </c>
    </row>
    <row r="54" spans="2:4" x14ac:dyDescent="0.25">
      <c r="B54" s="2">
        <v>42064</v>
      </c>
      <c r="C54">
        <v>525</v>
      </c>
      <c r="D54">
        <v>299</v>
      </c>
    </row>
    <row r="55" spans="2:4" x14ac:dyDescent="0.25">
      <c r="B55" s="2">
        <v>42156</v>
      </c>
      <c r="C55">
        <v>561</v>
      </c>
      <c r="D55">
        <v>295</v>
      </c>
    </row>
    <row r="56" spans="2:4" x14ac:dyDescent="0.25">
      <c r="B56" s="2">
        <v>42248</v>
      </c>
      <c r="C56">
        <v>580</v>
      </c>
      <c r="D56">
        <v>295.60000000000002</v>
      </c>
    </row>
    <row r="57" spans="2:4" x14ac:dyDescent="0.25">
      <c r="B57" s="2">
        <v>42339</v>
      </c>
      <c r="C57">
        <v>612.29999999999995</v>
      </c>
      <c r="D57">
        <v>310</v>
      </c>
    </row>
    <row r="58" spans="2:4" x14ac:dyDescent="0.25">
      <c r="B58" s="2">
        <v>42430</v>
      </c>
      <c r="C58">
        <v>568</v>
      </c>
      <c r="D58">
        <v>311</v>
      </c>
    </row>
    <row r="59" spans="2:4" x14ac:dyDescent="0.25">
      <c r="B59" s="2">
        <v>42522</v>
      </c>
      <c r="C59">
        <v>610</v>
      </c>
      <c r="D59">
        <v>305</v>
      </c>
    </row>
    <row r="60" spans="2:4" x14ac:dyDescent="0.25">
      <c r="B60" s="2">
        <v>42614</v>
      </c>
      <c r="C60">
        <v>605</v>
      </c>
      <c r="D60">
        <v>310</v>
      </c>
    </row>
    <row r="61" spans="2:4" x14ac:dyDescent="0.25">
      <c r="B61" s="2">
        <v>42705</v>
      </c>
      <c r="C61">
        <v>675</v>
      </c>
      <c r="D61">
        <v>320.8</v>
      </c>
    </row>
    <row r="62" spans="2:4" x14ac:dyDescent="0.25">
      <c r="B62" s="2">
        <v>42795</v>
      </c>
      <c r="C62">
        <v>657.5</v>
      </c>
      <c r="D62">
        <v>328</v>
      </c>
    </row>
    <row r="63" spans="2:4" x14ac:dyDescent="0.25">
      <c r="B63" s="2">
        <v>42887</v>
      </c>
      <c r="C63">
        <v>720</v>
      </c>
      <c r="D63">
        <v>332</v>
      </c>
    </row>
    <row r="64" spans="2:4" x14ac:dyDescent="0.25">
      <c r="B64" s="2">
        <v>42979</v>
      </c>
      <c r="C64">
        <v>692</v>
      </c>
      <c r="D64">
        <v>328</v>
      </c>
    </row>
    <row r="65" spans="2:4" x14ac:dyDescent="0.25">
      <c r="B65" s="2">
        <v>43070</v>
      </c>
      <c r="C65">
        <v>750</v>
      </c>
      <c r="D65">
        <v>350</v>
      </c>
    </row>
    <row r="66" spans="2:4" x14ac:dyDescent="0.25">
      <c r="B66" s="2">
        <v>43160</v>
      </c>
      <c r="C66">
        <v>731</v>
      </c>
      <c r="D66">
        <v>355</v>
      </c>
    </row>
    <row r="67" spans="2:4" x14ac:dyDescent="0.25">
      <c r="B67" s="2">
        <v>43252</v>
      </c>
      <c r="C67">
        <v>750</v>
      </c>
      <c r="D67">
        <v>355</v>
      </c>
    </row>
    <row r="68" spans="2:4" x14ac:dyDescent="0.25">
      <c r="B68" s="2">
        <v>43344</v>
      </c>
      <c r="C68">
        <v>720</v>
      </c>
      <c r="D68">
        <v>355</v>
      </c>
    </row>
    <row r="69" spans="2:4" x14ac:dyDescent="0.25">
      <c r="B69" s="2">
        <v>43435</v>
      </c>
      <c r="C69">
        <v>735</v>
      </c>
      <c r="D69">
        <v>370</v>
      </c>
    </row>
    <row r="70" spans="2:4" x14ac:dyDescent="0.25">
      <c r="B70" s="2">
        <v>43525</v>
      </c>
      <c r="C70">
        <v>685</v>
      </c>
      <c r="D70">
        <v>370</v>
      </c>
    </row>
    <row r="71" spans="2:4" x14ac:dyDescent="0.25">
      <c r="B71" s="2">
        <v>43617</v>
      </c>
      <c r="C71">
        <v>700</v>
      </c>
      <c r="D71">
        <v>370</v>
      </c>
    </row>
    <row r="72" spans="2:4" x14ac:dyDescent="0.25">
      <c r="B72" s="2">
        <v>43709</v>
      </c>
      <c r="C72">
        <v>705</v>
      </c>
      <c r="D72">
        <v>375</v>
      </c>
    </row>
    <row r="73" spans="2:4" x14ac:dyDescent="0.25">
      <c r="B73" s="2">
        <v>43800</v>
      </c>
      <c r="C73">
        <v>760</v>
      </c>
      <c r="D73">
        <v>390</v>
      </c>
    </row>
    <row r="74" spans="2:4" x14ac:dyDescent="0.25">
      <c r="B74" s="2">
        <v>43891</v>
      </c>
      <c r="C74">
        <v>730</v>
      </c>
      <c r="D74">
        <v>390</v>
      </c>
    </row>
    <row r="75" spans="2:4" x14ac:dyDescent="0.25">
      <c r="B75" s="2">
        <v>43983</v>
      </c>
      <c r="C75">
        <v>720</v>
      </c>
      <c r="D75">
        <v>395</v>
      </c>
    </row>
    <row r="76" spans="2:4" x14ac:dyDescent="0.25">
      <c r="B76" s="2">
        <v>44075</v>
      </c>
      <c r="C76">
        <v>710</v>
      </c>
      <c r="D76">
        <v>410</v>
      </c>
    </row>
    <row r="77" spans="2:4" x14ac:dyDescent="0.25">
      <c r="B77" s="2">
        <v>44166</v>
      </c>
      <c r="C77">
        <v>760</v>
      </c>
      <c r="D77">
        <v>439</v>
      </c>
    </row>
    <row r="78" spans="2:4" x14ac:dyDescent="0.25">
      <c r="B78" s="2">
        <v>44256</v>
      </c>
      <c r="C78">
        <v>800</v>
      </c>
      <c r="D78">
        <v>455</v>
      </c>
    </row>
    <row r="79" spans="2:4" x14ac:dyDescent="0.25">
      <c r="B79" s="2">
        <v>44348</v>
      </c>
      <c r="C79">
        <v>830</v>
      </c>
      <c r="D79">
        <v>478.5</v>
      </c>
    </row>
    <row r="80" spans="2:4" x14ac:dyDescent="0.25">
      <c r="B80" s="2">
        <v>44440</v>
      </c>
      <c r="C80">
        <v>840</v>
      </c>
      <c r="D80">
        <v>500</v>
      </c>
    </row>
    <row r="81" spans="2:4" x14ac:dyDescent="0.25">
      <c r="B81" s="2">
        <v>44531</v>
      </c>
      <c r="C81">
        <v>940</v>
      </c>
      <c r="D81">
        <v>553</v>
      </c>
    </row>
    <row r="82" spans="2:4" x14ac:dyDescent="0.25">
      <c r="B82" s="2">
        <v>44621</v>
      </c>
      <c r="C82">
        <v>888</v>
      </c>
      <c r="D82">
        <v>580</v>
      </c>
    </row>
    <row r="83" spans="2:4" x14ac:dyDescent="0.25">
      <c r="B83" s="2">
        <v>44713</v>
      </c>
      <c r="C83">
        <v>900</v>
      </c>
      <c r="D83">
        <v>573.1</v>
      </c>
    </row>
    <row r="84" spans="2:4" x14ac:dyDescent="0.25">
      <c r="B84" s="2">
        <v>44805</v>
      </c>
      <c r="C84">
        <v>850</v>
      </c>
      <c r="D84">
        <v>560</v>
      </c>
    </row>
    <row r="85" spans="2:4" x14ac:dyDescent="0.25">
      <c r="B85" s="2">
        <v>44896</v>
      </c>
      <c r="C85">
        <v>875</v>
      </c>
      <c r="D85">
        <v>570</v>
      </c>
    </row>
    <row r="86" spans="2:4" x14ac:dyDescent="0.25">
      <c r="B86" s="2">
        <v>44986</v>
      </c>
      <c r="C86">
        <v>835</v>
      </c>
      <c r="D86">
        <v>570</v>
      </c>
    </row>
    <row r="87" spans="2:4" x14ac:dyDescent="0.25">
      <c r="B87" s="2">
        <v>45078</v>
      </c>
      <c r="C87">
        <v>840.3</v>
      </c>
      <c r="D87">
        <v>570</v>
      </c>
    </row>
    <row r="88" spans="2:4" x14ac:dyDescent="0.25">
      <c r="B88" s="2">
        <v>45170</v>
      </c>
      <c r="C88">
        <v>832</v>
      </c>
      <c r="D88">
        <v>570</v>
      </c>
    </row>
    <row r="89" spans="2:4" x14ac:dyDescent="0.25">
      <c r="B89" s="2">
        <v>45261</v>
      </c>
      <c r="C89">
        <v>865</v>
      </c>
      <c r="D89">
        <v>580</v>
      </c>
    </row>
    <row r="90" spans="2:4" x14ac:dyDescent="0.25">
      <c r="B90" s="2">
        <v>45352</v>
      </c>
      <c r="C90">
        <v>845</v>
      </c>
      <c r="D90">
        <v>575</v>
      </c>
    </row>
    <row r="91" spans="2:4" x14ac:dyDescent="0.25">
      <c r="B91" s="2">
        <v>45444</v>
      </c>
      <c r="C91">
        <v>845</v>
      </c>
      <c r="D91">
        <v>570</v>
      </c>
    </row>
    <row r="92" spans="2:4" x14ac:dyDescent="0.25">
      <c r="B92" s="2">
        <v>45536</v>
      </c>
      <c r="C92">
        <v>825</v>
      </c>
      <c r="D92">
        <v>560</v>
      </c>
    </row>
    <row r="93" spans="2:4" x14ac:dyDescent="0.25">
      <c r="B93" s="2">
        <v>45627</v>
      </c>
      <c r="C93">
        <v>850</v>
      </c>
      <c r="D93">
        <v>560</v>
      </c>
    </row>
    <row r="94" spans="2:4" x14ac:dyDescent="0.25">
      <c r="B94" s="2">
        <v>45717</v>
      </c>
      <c r="C94">
        <v>840</v>
      </c>
      <c r="D94">
        <v>575</v>
      </c>
    </row>
    <row r="95" spans="2:4" x14ac:dyDescent="0.25">
      <c r="B95" s="2">
        <v>45809</v>
      </c>
      <c r="C95">
        <v>845</v>
      </c>
      <c r="D95">
        <v>575</v>
      </c>
    </row>
    <row r="96" spans="2:4" x14ac:dyDescent="0.25">
      <c r="B96" s="2">
        <v>45901</v>
      </c>
      <c r="C96">
        <v>846.8</v>
      </c>
      <c r="D96">
        <v>590</v>
      </c>
    </row>
    <row r="97" spans="2:4" x14ac:dyDescent="0.25">
      <c r="B97" s="2">
        <v>45992</v>
      </c>
      <c r="C97">
        <v>875</v>
      </c>
      <c r="D97">
        <v>610</v>
      </c>
    </row>
    <row r="98" spans="2:4" x14ac:dyDescent="0.25">
      <c r="B98" s="2"/>
    </row>
    <row r="99" spans="2:4" x14ac:dyDescent="0.25">
      <c r="B99" s="2"/>
    </row>
    <row r="100" spans="2:4" x14ac:dyDescent="0.25">
      <c r="B100" s="2"/>
    </row>
    <row r="101" spans="2:4" x14ac:dyDescent="0.25">
      <c r="B101" s="2"/>
    </row>
    <row r="102" spans="2:4" x14ac:dyDescent="0.25">
      <c r="B102" s="2"/>
    </row>
  </sheetData>
  <autoFilter ref="B1:D102" xr:uid="{01F0EFC7-7237-4430-B607-A7F5094CDFD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C8C7-C0AE-4250-8278-0C9D574A35AA}">
  <sheetPr>
    <tabColor theme="7"/>
  </sheetPr>
  <dimension ref="A1:D97"/>
  <sheetViews>
    <sheetView zoomScaleNormal="100" workbookViewId="0">
      <selection activeCell="D14" sqref="D14"/>
    </sheetView>
  </sheetViews>
  <sheetFormatPr defaultRowHeight="15" x14ac:dyDescent="0.25"/>
  <cols>
    <col min="1" max="1" width="24.28515625" bestFit="1" customWidth="1"/>
    <col min="2" max="2" width="20" bestFit="1" customWidth="1"/>
  </cols>
  <sheetData>
    <row r="1" spans="1:4" x14ac:dyDescent="0.25">
      <c r="A1" t="s">
        <v>25</v>
      </c>
      <c r="B1" s="1" t="s">
        <v>1</v>
      </c>
      <c r="C1" t="s">
        <v>630</v>
      </c>
      <c r="D1" t="s">
        <v>631</v>
      </c>
    </row>
    <row r="2" spans="1:4" x14ac:dyDescent="0.25">
      <c r="A2" t="s">
        <v>14</v>
      </c>
      <c r="B2" s="2">
        <v>37316</v>
      </c>
      <c r="C2" cm="1">
        <f t="array" ref="C2:C97">_xlfn.XLOOKUP("Median Price of Attached Dwelling*Melbourne*",'ABS-total-value-dwellings'!1:1,'ABS-total-value-dwellings'!11:106,"na",2)</f>
        <v>0</v>
      </c>
      <c r="D2" cm="1">
        <f t="array" ref="D2:D97">_xlfn.XLOOKUP("Median Price of Attached Dwelling*Rest of Vic*",'ABS-total-value-dwellings'!1:1,'ABS-total-value-dwellings'!11:106,"na",2)</f>
        <v>0</v>
      </c>
    </row>
    <row r="3" spans="1:4" x14ac:dyDescent="0.25">
      <c r="A3" t="s">
        <v>15</v>
      </c>
      <c r="B3" s="2">
        <v>37408</v>
      </c>
      <c r="C3">
        <v>0</v>
      </c>
      <c r="D3">
        <v>0</v>
      </c>
    </row>
    <row r="4" spans="1:4" x14ac:dyDescent="0.25">
      <c r="B4" s="2">
        <v>37500</v>
      </c>
      <c r="C4">
        <v>0</v>
      </c>
      <c r="D4">
        <v>0</v>
      </c>
    </row>
    <row r="5" spans="1:4" x14ac:dyDescent="0.25">
      <c r="B5" s="2">
        <v>37591</v>
      </c>
      <c r="C5">
        <v>0</v>
      </c>
      <c r="D5">
        <v>0</v>
      </c>
    </row>
    <row r="6" spans="1:4" x14ac:dyDescent="0.25">
      <c r="B6" s="2">
        <v>37681</v>
      </c>
      <c r="C6">
        <v>0</v>
      </c>
      <c r="D6">
        <v>0</v>
      </c>
    </row>
    <row r="7" spans="1:4" x14ac:dyDescent="0.25">
      <c r="B7" s="2">
        <v>37773</v>
      </c>
      <c r="C7">
        <v>0</v>
      </c>
      <c r="D7">
        <v>0</v>
      </c>
    </row>
    <row r="8" spans="1:4" x14ac:dyDescent="0.25">
      <c r="B8" s="2">
        <v>37865</v>
      </c>
      <c r="C8">
        <v>276</v>
      </c>
      <c r="D8">
        <v>160</v>
      </c>
    </row>
    <row r="9" spans="1:4" x14ac:dyDescent="0.25">
      <c r="B9" s="2">
        <v>37956</v>
      </c>
      <c r="C9">
        <v>285</v>
      </c>
      <c r="D9">
        <v>170</v>
      </c>
    </row>
    <row r="10" spans="1:4" x14ac:dyDescent="0.25">
      <c r="B10" s="2">
        <v>38047</v>
      </c>
      <c r="C10">
        <v>272.5</v>
      </c>
      <c r="D10">
        <v>173</v>
      </c>
    </row>
    <row r="11" spans="1:4" x14ac:dyDescent="0.25">
      <c r="B11" s="2">
        <v>38139</v>
      </c>
      <c r="C11">
        <v>280</v>
      </c>
      <c r="D11">
        <v>172</v>
      </c>
    </row>
    <row r="12" spans="1:4" x14ac:dyDescent="0.25">
      <c r="B12" s="2">
        <v>38231</v>
      </c>
      <c r="C12">
        <v>276</v>
      </c>
      <c r="D12">
        <v>175</v>
      </c>
    </row>
    <row r="13" spans="1:4" x14ac:dyDescent="0.25">
      <c r="B13" s="2">
        <v>38322</v>
      </c>
      <c r="C13">
        <v>281</v>
      </c>
      <c r="D13">
        <v>180</v>
      </c>
    </row>
    <row r="14" spans="1:4" x14ac:dyDescent="0.25">
      <c r="B14" s="2">
        <v>38412</v>
      </c>
      <c r="C14">
        <v>285</v>
      </c>
      <c r="D14">
        <v>190</v>
      </c>
    </row>
    <row r="15" spans="1:4" x14ac:dyDescent="0.25">
      <c r="B15" s="2">
        <v>38504</v>
      </c>
      <c r="C15">
        <v>287</v>
      </c>
      <c r="D15">
        <v>190</v>
      </c>
    </row>
    <row r="16" spans="1:4" x14ac:dyDescent="0.25">
      <c r="B16" s="2">
        <v>38596</v>
      </c>
      <c r="C16">
        <v>286</v>
      </c>
      <c r="D16">
        <v>191.3</v>
      </c>
    </row>
    <row r="17" spans="2:4" x14ac:dyDescent="0.25">
      <c r="B17" s="2">
        <v>38687</v>
      </c>
      <c r="C17">
        <v>290</v>
      </c>
      <c r="D17">
        <v>195</v>
      </c>
    </row>
    <row r="18" spans="2:4" x14ac:dyDescent="0.25">
      <c r="B18" s="2">
        <v>38777</v>
      </c>
      <c r="C18">
        <v>299.5</v>
      </c>
      <c r="D18">
        <v>200</v>
      </c>
    </row>
    <row r="19" spans="2:4" x14ac:dyDescent="0.25">
      <c r="B19" s="2">
        <v>38869</v>
      </c>
      <c r="C19">
        <v>306.60000000000002</v>
      </c>
      <c r="D19">
        <v>197.8</v>
      </c>
    </row>
    <row r="20" spans="2:4" x14ac:dyDescent="0.25">
      <c r="B20" s="2">
        <v>38961</v>
      </c>
      <c r="C20">
        <v>315</v>
      </c>
      <c r="D20">
        <v>191</v>
      </c>
    </row>
    <row r="21" spans="2:4" x14ac:dyDescent="0.25">
      <c r="B21" s="2">
        <v>39052</v>
      </c>
      <c r="C21">
        <v>315</v>
      </c>
      <c r="D21">
        <v>192</v>
      </c>
    </row>
    <row r="22" spans="2:4" x14ac:dyDescent="0.25">
      <c r="B22" s="2">
        <v>39142</v>
      </c>
      <c r="C22">
        <v>320</v>
      </c>
      <c r="D22">
        <v>200</v>
      </c>
    </row>
    <row r="23" spans="2:4" x14ac:dyDescent="0.25">
      <c r="B23" s="2">
        <v>39234</v>
      </c>
      <c r="C23">
        <v>340</v>
      </c>
      <c r="D23">
        <v>201</v>
      </c>
    </row>
    <row r="24" spans="2:4" x14ac:dyDescent="0.25">
      <c r="B24" s="2">
        <v>39326</v>
      </c>
      <c r="C24">
        <v>345</v>
      </c>
      <c r="D24">
        <v>205</v>
      </c>
    </row>
    <row r="25" spans="2:4" x14ac:dyDescent="0.25">
      <c r="B25" s="2">
        <v>39417</v>
      </c>
      <c r="C25">
        <v>365</v>
      </c>
      <c r="D25">
        <v>210</v>
      </c>
    </row>
    <row r="26" spans="2:4" x14ac:dyDescent="0.25">
      <c r="B26" s="2">
        <v>39508</v>
      </c>
      <c r="C26">
        <v>360</v>
      </c>
      <c r="D26">
        <v>229</v>
      </c>
    </row>
    <row r="27" spans="2:4" x14ac:dyDescent="0.25">
      <c r="B27" s="2">
        <v>39600</v>
      </c>
      <c r="C27">
        <v>360</v>
      </c>
      <c r="D27">
        <v>210</v>
      </c>
    </row>
    <row r="28" spans="2:4" x14ac:dyDescent="0.25">
      <c r="B28" s="2">
        <v>39692</v>
      </c>
      <c r="C28">
        <v>365</v>
      </c>
      <c r="D28">
        <v>198</v>
      </c>
    </row>
    <row r="29" spans="2:4" x14ac:dyDescent="0.25">
      <c r="B29" s="2">
        <v>39783</v>
      </c>
      <c r="C29">
        <v>350</v>
      </c>
      <c r="D29">
        <v>195</v>
      </c>
    </row>
    <row r="30" spans="2:4" x14ac:dyDescent="0.25">
      <c r="B30" s="2">
        <v>39873</v>
      </c>
      <c r="C30">
        <v>348</v>
      </c>
      <c r="D30">
        <v>210</v>
      </c>
    </row>
    <row r="31" spans="2:4" x14ac:dyDescent="0.25">
      <c r="B31" s="2">
        <v>39965</v>
      </c>
      <c r="C31">
        <v>379.5</v>
      </c>
      <c r="D31">
        <v>217.8</v>
      </c>
    </row>
    <row r="32" spans="2:4" x14ac:dyDescent="0.25">
      <c r="B32" s="2">
        <v>40057</v>
      </c>
      <c r="C32">
        <v>392</v>
      </c>
      <c r="D32">
        <v>221</v>
      </c>
    </row>
    <row r="33" spans="2:4" x14ac:dyDescent="0.25">
      <c r="B33" s="2">
        <v>40148</v>
      </c>
      <c r="C33">
        <v>421</v>
      </c>
      <c r="D33">
        <v>232</v>
      </c>
    </row>
    <row r="34" spans="2:4" x14ac:dyDescent="0.25">
      <c r="B34" s="2">
        <v>40238</v>
      </c>
      <c r="C34">
        <v>424</v>
      </c>
      <c r="D34">
        <v>235</v>
      </c>
    </row>
    <row r="35" spans="2:4" x14ac:dyDescent="0.25">
      <c r="B35" s="2">
        <v>40330</v>
      </c>
      <c r="C35">
        <v>450</v>
      </c>
      <c r="D35">
        <v>229.8</v>
      </c>
    </row>
    <row r="36" spans="2:4" x14ac:dyDescent="0.25">
      <c r="B36" s="2">
        <v>40422</v>
      </c>
      <c r="C36">
        <v>445</v>
      </c>
      <c r="D36">
        <v>235</v>
      </c>
    </row>
    <row r="37" spans="2:4" x14ac:dyDescent="0.25">
      <c r="B37" s="2">
        <v>40513</v>
      </c>
      <c r="C37">
        <v>460</v>
      </c>
      <c r="D37">
        <v>255</v>
      </c>
    </row>
    <row r="38" spans="2:4" x14ac:dyDescent="0.25">
      <c r="B38" s="2">
        <v>40603</v>
      </c>
      <c r="C38">
        <v>445</v>
      </c>
      <c r="D38">
        <v>250</v>
      </c>
    </row>
    <row r="39" spans="2:4" x14ac:dyDescent="0.25">
      <c r="B39" s="2">
        <v>40695</v>
      </c>
      <c r="C39">
        <v>450</v>
      </c>
      <c r="D39">
        <v>248.3</v>
      </c>
    </row>
    <row r="40" spans="2:4" x14ac:dyDescent="0.25">
      <c r="B40" s="2">
        <v>40787</v>
      </c>
      <c r="C40">
        <v>437.5</v>
      </c>
      <c r="D40">
        <v>235</v>
      </c>
    </row>
    <row r="41" spans="2:4" x14ac:dyDescent="0.25">
      <c r="B41" s="2">
        <v>40878</v>
      </c>
      <c r="C41">
        <v>432.5</v>
      </c>
      <c r="D41">
        <v>245.3</v>
      </c>
    </row>
    <row r="42" spans="2:4" x14ac:dyDescent="0.25">
      <c r="B42" s="2">
        <v>40969</v>
      </c>
      <c r="C42">
        <v>430</v>
      </c>
      <c r="D42">
        <v>245</v>
      </c>
    </row>
    <row r="43" spans="2:4" x14ac:dyDescent="0.25">
      <c r="B43" s="2">
        <v>41061</v>
      </c>
      <c r="C43">
        <v>430</v>
      </c>
      <c r="D43">
        <v>245</v>
      </c>
    </row>
    <row r="44" spans="2:4" x14ac:dyDescent="0.25">
      <c r="B44" s="2">
        <v>41153</v>
      </c>
      <c r="C44">
        <v>425</v>
      </c>
      <c r="D44">
        <v>235</v>
      </c>
    </row>
    <row r="45" spans="2:4" x14ac:dyDescent="0.25">
      <c r="B45" s="2">
        <v>41244</v>
      </c>
      <c r="C45">
        <v>440</v>
      </c>
      <c r="D45">
        <v>240</v>
      </c>
    </row>
    <row r="46" spans="2:4" x14ac:dyDescent="0.25">
      <c r="B46" s="2">
        <v>41334</v>
      </c>
      <c r="C46">
        <v>435</v>
      </c>
      <c r="D46">
        <v>235</v>
      </c>
    </row>
    <row r="47" spans="2:4" x14ac:dyDescent="0.25">
      <c r="B47" s="2">
        <v>41426</v>
      </c>
      <c r="C47">
        <v>442</v>
      </c>
      <c r="D47">
        <v>245</v>
      </c>
    </row>
    <row r="48" spans="2:4" x14ac:dyDescent="0.25">
      <c r="B48" s="2">
        <v>41518</v>
      </c>
      <c r="C48">
        <v>445</v>
      </c>
      <c r="D48">
        <v>234.9</v>
      </c>
    </row>
    <row r="49" spans="2:4" x14ac:dyDescent="0.25">
      <c r="B49" s="2">
        <v>41609</v>
      </c>
      <c r="C49">
        <v>467</v>
      </c>
      <c r="D49">
        <v>245</v>
      </c>
    </row>
    <row r="50" spans="2:4" x14ac:dyDescent="0.25">
      <c r="B50" s="2">
        <v>41699</v>
      </c>
      <c r="C50">
        <v>475.5</v>
      </c>
      <c r="D50">
        <v>250</v>
      </c>
    </row>
    <row r="51" spans="2:4" x14ac:dyDescent="0.25">
      <c r="B51" s="2">
        <v>41791</v>
      </c>
      <c r="C51">
        <v>479</v>
      </c>
      <c r="D51">
        <v>245</v>
      </c>
    </row>
    <row r="52" spans="2:4" x14ac:dyDescent="0.25">
      <c r="B52" s="2">
        <v>41883</v>
      </c>
      <c r="C52">
        <v>478.5</v>
      </c>
      <c r="D52">
        <v>245</v>
      </c>
    </row>
    <row r="53" spans="2:4" x14ac:dyDescent="0.25">
      <c r="B53" s="2">
        <v>41974</v>
      </c>
      <c r="C53">
        <v>490</v>
      </c>
      <c r="D53">
        <v>250</v>
      </c>
    </row>
    <row r="54" spans="2:4" x14ac:dyDescent="0.25">
      <c r="B54" s="2">
        <v>42064</v>
      </c>
      <c r="C54">
        <v>480.8</v>
      </c>
      <c r="D54">
        <v>250</v>
      </c>
    </row>
    <row r="55" spans="2:4" x14ac:dyDescent="0.25">
      <c r="B55" s="2">
        <v>42156</v>
      </c>
      <c r="C55">
        <v>515</v>
      </c>
      <c r="D55">
        <v>255</v>
      </c>
    </row>
    <row r="56" spans="2:4" x14ac:dyDescent="0.25">
      <c r="B56" s="2">
        <v>42248</v>
      </c>
      <c r="C56">
        <v>500</v>
      </c>
      <c r="D56">
        <v>256</v>
      </c>
    </row>
    <row r="57" spans="2:4" x14ac:dyDescent="0.25">
      <c r="B57" s="2">
        <v>42339</v>
      </c>
      <c r="C57">
        <v>505</v>
      </c>
      <c r="D57">
        <v>265</v>
      </c>
    </row>
    <row r="58" spans="2:4" x14ac:dyDescent="0.25">
      <c r="B58" s="2">
        <v>42430</v>
      </c>
      <c r="C58">
        <v>490</v>
      </c>
      <c r="D58">
        <v>270</v>
      </c>
    </row>
    <row r="59" spans="2:4" x14ac:dyDescent="0.25">
      <c r="B59" s="2">
        <v>42522</v>
      </c>
      <c r="C59">
        <v>505</v>
      </c>
      <c r="D59">
        <v>260.8</v>
      </c>
    </row>
    <row r="60" spans="2:4" x14ac:dyDescent="0.25">
      <c r="B60" s="2">
        <v>42614</v>
      </c>
      <c r="C60">
        <v>496</v>
      </c>
      <c r="D60">
        <v>260</v>
      </c>
    </row>
    <row r="61" spans="2:4" x14ac:dyDescent="0.25">
      <c r="B61" s="2">
        <v>42705</v>
      </c>
      <c r="C61">
        <v>501.9</v>
      </c>
      <c r="D61">
        <v>276</v>
      </c>
    </row>
    <row r="62" spans="2:4" x14ac:dyDescent="0.25">
      <c r="B62" s="2">
        <v>42795</v>
      </c>
      <c r="C62">
        <v>520</v>
      </c>
      <c r="D62">
        <v>272.5</v>
      </c>
    </row>
    <row r="63" spans="2:4" x14ac:dyDescent="0.25">
      <c r="B63" s="2">
        <v>42887</v>
      </c>
      <c r="C63">
        <v>568.9</v>
      </c>
      <c r="D63">
        <v>262.8</v>
      </c>
    </row>
    <row r="64" spans="2:4" x14ac:dyDescent="0.25">
      <c r="B64" s="2">
        <v>42979</v>
      </c>
      <c r="C64">
        <v>540</v>
      </c>
      <c r="D64">
        <v>279</v>
      </c>
    </row>
    <row r="65" spans="2:4" x14ac:dyDescent="0.25">
      <c r="B65" s="2">
        <v>43070</v>
      </c>
      <c r="C65">
        <v>568</v>
      </c>
      <c r="D65">
        <v>280</v>
      </c>
    </row>
    <row r="66" spans="2:4" x14ac:dyDescent="0.25">
      <c r="B66" s="2">
        <v>43160</v>
      </c>
      <c r="C66">
        <v>565</v>
      </c>
      <c r="D66">
        <v>295</v>
      </c>
    </row>
    <row r="67" spans="2:4" x14ac:dyDescent="0.25">
      <c r="B67" s="2">
        <v>43252</v>
      </c>
      <c r="C67">
        <v>600</v>
      </c>
      <c r="D67">
        <v>305</v>
      </c>
    </row>
    <row r="68" spans="2:4" x14ac:dyDescent="0.25">
      <c r="B68" s="2">
        <v>43344</v>
      </c>
      <c r="C68">
        <v>568</v>
      </c>
      <c r="D68">
        <v>289.8</v>
      </c>
    </row>
    <row r="69" spans="2:4" x14ac:dyDescent="0.25">
      <c r="B69" s="2">
        <v>43435</v>
      </c>
      <c r="C69">
        <v>565</v>
      </c>
      <c r="D69">
        <v>295</v>
      </c>
    </row>
    <row r="70" spans="2:4" x14ac:dyDescent="0.25">
      <c r="B70" s="2">
        <v>43525</v>
      </c>
      <c r="C70">
        <v>555</v>
      </c>
      <c r="D70">
        <v>292.3</v>
      </c>
    </row>
    <row r="71" spans="2:4" x14ac:dyDescent="0.25">
      <c r="B71" s="2">
        <v>43617</v>
      </c>
      <c r="C71">
        <v>560</v>
      </c>
      <c r="D71">
        <v>290</v>
      </c>
    </row>
    <row r="72" spans="2:4" x14ac:dyDescent="0.25">
      <c r="B72" s="2">
        <v>43709</v>
      </c>
      <c r="C72">
        <v>570</v>
      </c>
      <c r="D72">
        <v>305</v>
      </c>
    </row>
    <row r="73" spans="2:4" x14ac:dyDescent="0.25">
      <c r="B73" s="2">
        <v>43800</v>
      </c>
      <c r="C73">
        <v>600</v>
      </c>
      <c r="D73">
        <v>340</v>
      </c>
    </row>
    <row r="74" spans="2:4" x14ac:dyDescent="0.25">
      <c r="B74" s="2">
        <v>43891</v>
      </c>
      <c r="C74">
        <v>593</v>
      </c>
      <c r="D74">
        <v>340</v>
      </c>
    </row>
    <row r="75" spans="2:4" x14ac:dyDescent="0.25">
      <c r="B75" s="2">
        <v>43983</v>
      </c>
      <c r="C75">
        <v>600</v>
      </c>
      <c r="D75">
        <v>371.7</v>
      </c>
    </row>
    <row r="76" spans="2:4" x14ac:dyDescent="0.25">
      <c r="B76" s="2">
        <v>44075</v>
      </c>
      <c r="C76">
        <v>595</v>
      </c>
      <c r="D76">
        <v>360</v>
      </c>
    </row>
    <row r="77" spans="2:4" x14ac:dyDescent="0.25">
      <c r="B77" s="2">
        <v>44166</v>
      </c>
      <c r="C77">
        <v>620</v>
      </c>
      <c r="D77">
        <v>351</v>
      </c>
    </row>
    <row r="78" spans="2:4" x14ac:dyDescent="0.25">
      <c r="B78" s="2">
        <v>44256</v>
      </c>
      <c r="C78">
        <v>630</v>
      </c>
      <c r="D78">
        <v>360</v>
      </c>
    </row>
    <row r="79" spans="2:4" x14ac:dyDescent="0.25">
      <c r="B79" s="2">
        <v>44348</v>
      </c>
      <c r="C79">
        <v>648.20000000000005</v>
      </c>
      <c r="D79">
        <v>360</v>
      </c>
    </row>
    <row r="80" spans="2:4" x14ac:dyDescent="0.25">
      <c r="B80" s="2">
        <v>44440</v>
      </c>
      <c r="C80">
        <v>650.79999999999995</v>
      </c>
      <c r="D80">
        <v>380</v>
      </c>
    </row>
    <row r="81" spans="2:4" x14ac:dyDescent="0.25">
      <c r="B81" s="2">
        <v>44531</v>
      </c>
      <c r="C81">
        <v>655</v>
      </c>
      <c r="D81">
        <v>425</v>
      </c>
    </row>
    <row r="82" spans="2:4" x14ac:dyDescent="0.25">
      <c r="B82" s="2">
        <v>44621</v>
      </c>
      <c r="C82">
        <v>640</v>
      </c>
      <c r="D82">
        <v>419.5</v>
      </c>
    </row>
    <row r="83" spans="2:4" x14ac:dyDescent="0.25">
      <c r="B83" s="2">
        <v>44713</v>
      </c>
      <c r="C83">
        <v>640</v>
      </c>
      <c r="D83">
        <v>425</v>
      </c>
    </row>
    <row r="84" spans="2:4" x14ac:dyDescent="0.25">
      <c r="B84" s="2">
        <v>44805</v>
      </c>
      <c r="C84">
        <v>618</v>
      </c>
      <c r="D84">
        <v>420</v>
      </c>
    </row>
    <row r="85" spans="2:4" x14ac:dyDescent="0.25">
      <c r="B85" s="2">
        <v>44896</v>
      </c>
      <c r="C85">
        <v>615</v>
      </c>
      <c r="D85">
        <v>415</v>
      </c>
    </row>
    <row r="86" spans="2:4" x14ac:dyDescent="0.25">
      <c r="B86" s="2">
        <v>44986</v>
      </c>
      <c r="C86">
        <v>605</v>
      </c>
      <c r="D86">
        <v>422.5</v>
      </c>
    </row>
    <row r="87" spans="2:4" x14ac:dyDescent="0.25">
      <c r="B87" s="2">
        <v>45078</v>
      </c>
      <c r="C87">
        <v>620</v>
      </c>
      <c r="D87">
        <v>440</v>
      </c>
    </row>
    <row r="88" spans="2:4" x14ac:dyDescent="0.25">
      <c r="B88" s="2">
        <v>45170</v>
      </c>
      <c r="C88">
        <v>625</v>
      </c>
      <c r="D88">
        <v>420</v>
      </c>
    </row>
    <row r="89" spans="2:4" x14ac:dyDescent="0.25">
      <c r="B89" s="2">
        <v>45261</v>
      </c>
      <c r="C89">
        <v>632.5</v>
      </c>
      <c r="D89">
        <v>510</v>
      </c>
    </row>
    <row r="90" spans="2:4" x14ac:dyDescent="0.25">
      <c r="B90" s="2">
        <v>45352</v>
      </c>
      <c r="C90">
        <v>629</v>
      </c>
      <c r="D90">
        <v>502</v>
      </c>
    </row>
    <row r="91" spans="2:4" x14ac:dyDescent="0.25">
      <c r="B91" s="2">
        <v>45444</v>
      </c>
      <c r="C91">
        <v>630</v>
      </c>
      <c r="D91">
        <v>440</v>
      </c>
    </row>
    <row r="92" spans="2:4" x14ac:dyDescent="0.25">
      <c r="B92" s="2">
        <v>45536</v>
      </c>
      <c r="C92">
        <v>618</v>
      </c>
      <c r="D92">
        <v>420</v>
      </c>
    </row>
    <row r="93" spans="2:4" x14ac:dyDescent="0.25">
      <c r="B93" s="2">
        <v>45627</v>
      </c>
      <c r="C93">
        <v>625</v>
      </c>
      <c r="D93">
        <v>415</v>
      </c>
    </row>
    <row r="94" spans="2:4" x14ac:dyDescent="0.25">
      <c r="B94" s="2">
        <v>45717</v>
      </c>
      <c r="C94">
        <v>625</v>
      </c>
      <c r="D94">
        <v>430</v>
      </c>
    </row>
    <row r="95" spans="2:4" x14ac:dyDescent="0.25">
      <c r="B95" s="2">
        <v>45809</v>
      </c>
      <c r="C95">
        <v>625</v>
      </c>
      <c r="D95">
        <v>435</v>
      </c>
    </row>
    <row r="96" spans="2:4" x14ac:dyDescent="0.25">
      <c r="B96" s="2">
        <v>45901</v>
      </c>
      <c r="C96">
        <v>630</v>
      </c>
      <c r="D96">
        <v>440</v>
      </c>
    </row>
    <row r="97" spans="2:4" x14ac:dyDescent="0.25">
      <c r="B97" s="2">
        <v>45992</v>
      </c>
      <c r="C97">
        <v>660</v>
      </c>
      <c r="D97">
        <v>465</v>
      </c>
    </row>
  </sheetData>
  <autoFilter ref="B1:D97" xr:uid="{01F0EFC7-7237-4430-B607-A7F5094CDFD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13</vt:i4>
      </vt:variant>
      <vt:variant>
        <vt:lpstr>Charts</vt:lpstr>
      </vt:variant>
      <vt:variant>
        <vt:i4>2</vt:i4>
      </vt:variant>
      <vt:variant>
        <vt:lpstr>Named Ranges</vt:lpstr>
      </vt:variant>
      <vt:variant>
        <vt:i4>196</vt:i4>
      </vt:variant>
    </vt:vector>
  </HeadingPairs>
  <TitlesOfParts>
    <vt:vector size="211" baseType="lpstr">
      <vt:lpstr>analysis</vt:lpstr>
      <vt:lpstr>cpi</vt:lpstr>
      <vt:lpstr>msci-indices</vt:lpstr>
      <vt:lpstr>mortgage-rates</vt:lpstr>
      <vt:lpstr>vic-rent &gt;&gt;</vt:lpstr>
      <vt:lpstr>2br Flat</vt:lpstr>
      <vt:lpstr>3br House</vt:lpstr>
      <vt:lpstr>2BR_F-processed</vt:lpstr>
      <vt:lpstr>3BR_H-processed</vt:lpstr>
      <vt:lpstr>vic-buy &gt;&gt;</vt:lpstr>
      <vt:lpstr>ABS-total-value-dwellings</vt:lpstr>
      <vt:lpstr>ns-combined</vt:lpstr>
      <vt:lpstr>s-combined</vt:lpstr>
      <vt:lpstr>chart-2bflat</vt:lpstr>
      <vt:lpstr>chart-3bhouse</vt:lpstr>
      <vt:lpstr>A83728543L</vt:lpstr>
      <vt:lpstr>A83728543L_Data</vt:lpstr>
      <vt:lpstr>A83728543L_Latest</vt:lpstr>
      <vt:lpstr>A83728544R</vt:lpstr>
      <vt:lpstr>A83728544R_Data</vt:lpstr>
      <vt:lpstr>A83728544R_Latest</vt:lpstr>
      <vt:lpstr>A83728545T</vt:lpstr>
      <vt:lpstr>A83728545T_Data</vt:lpstr>
      <vt:lpstr>A83728545T_Latest</vt:lpstr>
      <vt:lpstr>A83728546V</vt:lpstr>
      <vt:lpstr>A83728546V_Data</vt:lpstr>
      <vt:lpstr>A83728546V_Latest</vt:lpstr>
      <vt:lpstr>A83728547W</vt:lpstr>
      <vt:lpstr>A83728547W_Data</vt:lpstr>
      <vt:lpstr>A83728547W_Latest</vt:lpstr>
      <vt:lpstr>A83728548X</vt:lpstr>
      <vt:lpstr>A83728548X_Data</vt:lpstr>
      <vt:lpstr>A83728548X_Latest</vt:lpstr>
      <vt:lpstr>A83728549A</vt:lpstr>
      <vt:lpstr>A83728549A_Data</vt:lpstr>
      <vt:lpstr>A83728549A_Latest</vt:lpstr>
      <vt:lpstr>A83728550K</vt:lpstr>
      <vt:lpstr>A83728550K_Data</vt:lpstr>
      <vt:lpstr>A83728550K_Latest</vt:lpstr>
      <vt:lpstr>A83728551L</vt:lpstr>
      <vt:lpstr>A83728551L_Data</vt:lpstr>
      <vt:lpstr>A83728551L_Latest</vt:lpstr>
      <vt:lpstr>A83728552R</vt:lpstr>
      <vt:lpstr>A83728552R_Data</vt:lpstr>
      <vt:lpstr>A83728552R_Latest</vt:lpstr>
      <vt:lpstr>A83728553T</vt:lpstr>
      <vt:lpstr>A83728553T_Data</vt:lpstr>
      <vt:lpstr>A83728553T_Latest</vt:lpstr>
      <vt:lpstr>A83728554V</vt:lpstr>
      <vt:lpstr>A83728554V_Data</vt:lpstr>
      <vt:lpstr>A83728554V_Latest</vt:lpstr>
      <vt:lpstr>A83728555W</vt:lpstr>
      <vt:lpstr>A83728555W_Data</vt:lpstr>
      <vt:lpstr>A83728555W_Latest</vt:lpstr>
      <vt:lpstr>A83728556X</vt:lpstr>
      <vt:lpstr>A83728556X_Data</vt:lpstr>
      <vt:lpstr>A83728556X_Latest</vt:lpstr>
      <vt:lpstr>A83728557A</vt:lpstr>
      <vt:lpstr>A83728557A_Data</vt:lpstr>
      <vt:lpstr>A83728557A_Latest</vt:lpstr>
      <vt:lpstr>A83728558C</vt:lpstr>
      <vt:lpstr>A83728558C_Data</vt:lpstr>
      <vt:lpstr>A83728558C_Latest</vt:lpstr>
      <vt:lpstr>A83728559F</vt:lpstr>
      <vt:lpstr>A83728559F_Data</vt:lpstr>
      <vt:lpstr>A83728559F_Latest</vt:lpstr>
      <vt:lpstr>A83728560R</vt:lpstr>
      <vt:lpstr>A83728560R_Data</vt:lpstr>
      <vt:lpstr>A83728560R_Latest</vt:lpstr>
      <vt:lpstr>A83728561T</vt:lpstr>
      <vt:lpstr>A83728561T_Data</vt:lpstr>
      <vt:lpstr>A83728561T_Latest</vt:lpstr>
      <vt:lpstr>A83728562V</vt:lpstr>
      <vt:lpstr>A83728562V_Data</vt:lpstr>
      <vt:lpstr>A83728562V_Latest</vt:lpstr>
      <vt:lpstr>A83728563W</vt:lpstr>
      <vt:lpstr>A83728563W_Data</vt:lpstr>
      <vt:lpstr>A83728563W_Latest</vt:lpstr>
      <vt:lpstr>A83728564X</vt:lpstr>
      <vt:lpstr>A83728564X_Data</vt:lpstr>
      <vt:lpstr>A83728564X_Latest</vt:lpstr>
      <vt:lpstr>A83728565A</vt:lpstr>
      <vt:lpstr>A83728565A_Data</vt:lpstr>
      <vt:lpstr>A83728565A_Latest</vt:lpstr>
      <vt:lpstr>A83728566C</vt:lpstr>
      <vt:lpstr>A83728566C_Data</vt:lpstr>
      <vt:lpstr>A83728566C_Latest</vt:lpstr>
      <vt:lpstr>A83728567F</vt:lpstr>
      <vt:lpstr>A83728567F_Data</vt:lpstr>
      <vt:lpstr>A83728567F_Latest</vt:lpstr>
      <vt:lpstr>A83728568J</vt:lpstr>
      <vt:lpstr>A83728568J_Data</vt:lpstr>
      <vt:lpstr>A83728568J_Latest</vt:lpstr>
      <vt:lpstr>A83728569K</vt:lpstr>
      <vt:lpstr>A83728569K_Data</vt:lpstr>
      <vt:lpstr>A83728569K_Latest</vt:lpstr>
      <vt:lpstr>A83728570V</vt:lpstr>
      <vt:lpstr>A83728570V_Data</vt:lpstr>
      <vt:lpstr>A83728570V_Latest</vt:lpstr>
      <vt:lpstr>A83728571W</vt:lpstr>
      <vt:lpstr>A83728571W_Data</vt:lpstr>
      <vt:lpstr>A83728571W_Latest</vt:lpstr>
      <vt:lpstr>A83728572X</vt:lpstr>
      <vt:lpstr>A83728572X_Data</vt:lpstr>
      <vt:lpstr>A83728572X_Latest</vt:lpstr>
      <vt:lpstr>A83728573A</vt:lpstr>
      <vt:lpstr>A83728573A_Data</vt:lpstr>
      <vt:lpstr>A83728573A_Latest</vt:lpstr>
      <vt:lpstr>A83728574C</vt:lpstr>
      <vt:lpstr>A83728574C_Data</vt:lpstr>
      <vt:lpstr>A83728574C_Latest</vt:lpstr>
      <vt:lpstr>A83728575F</vt:lpstr>
      <vt:lpstr>A83728575F_Data</vt:lpstr>
      <vt:lpstr>A83728575F_Latest</vt:lpstr>
      <vt:lpstr>A83728576J</vt:lpstr>
      <vt:lpstr>A83728576J_Data</vt:lpstr>
      <vt:lpstr>A83728576J_Latest</vt:lpstr>
      <vt:lpstr>A83728577K</vt:lpstr>
      <vt:lpstr>A83728577K_Data</vt:lpstr>
      <vt:lpstr>A83728577K_Latest</vt:lpstr>
      <vt:lpstr>A83728578L</vt:lpstr>
      <vt:lpstr>A83728578L_Data</vt:lpstr>
      <vt:lpstr>A83728578L_Latest</vt:lpstr>
      <vt:lpstr>A83728579R</vt:lpstr>
      <vt:lpstr>A83728579R_Data</vt:lpstr>
      <vt:lpstr>A83728579R_Latest</vt:lpstr>
      <vt:lpstr>A83728580X</vt:lpstr>
      <vt:lpstr>A83728580X_Data</vt:lpstr>
      <vt:lpstr>A83728580X_Latest</vt:lpstr>
      <vt:lpstr>A83728581A</vt:lpstr>
      <vt:lpstr>A83728581A_Data</vt:lpstr>
      <vt:lpstr>A83728581A_Latest</vt:lpstr>
      <vt:lpstr>A83728582C</vt:lpstr>
      <vt:lpstr>A83728582C_Data</vt:lpstr>
      <vt:lpstr>A83728582C_Latest</vt:lpstr>
      <vt:lpstr>A83728583F</vt:lpstr>
      <vt:lpstr>A83728583F_Data</vt:lpstr>
      <vt:lpstr>A83728583F_Latest</vt:lpstr>
      <vt:lpstr>A83728584J</vt:lpstr>
      <vt:lpstr>A83728584J_Data</vt:lpstr>
      <vt:lpstr>A83728584J_Latest</vt:lpstr>
      <vt:lpstr>A83728585K</vt:lpstr>
      <vt:lpstr>A83728585K_Data</vt:lpstr>
      <vt:lpstr>A83728585K_Latest</vt:lpstr>
      <vt:lpstr>A83728586L</vt:lpstr>
      <vt:lpstr>A83728586L_Data</vt:lpstr>
      <vt:lpstr>A83728586L_Latest</vt:lpstr>
      <vt:lpstr>A83728587R</vt:lpstr>
      <vt:lpstr>A83728587R_Data</vt:lpstr>
      <vt:lpstr>A83728587R_Latest</vt:lpstr>
      <vt:lpstr>A83728588T</vt:lpstr>
      <vt:lpstr>A83728588T_Data</vt:lpstr>
      <vt:lpstr>A83728588T_Latest</vt:lpstr>
      <vt:lpstr>A83728589V</vt:lpstr>
      <vt:lpstr>A83728589V_Data</vt:lpstr>
      <vt:lpstr>A83728589V_Latest</vt:lpstr>
      <vt:lpstr>A83728590C</vt:lpstr>
      <vt:lpstr>A83728590C_Data</vt:lpstr>
      <vt:lpstr>A83728590C_Latest</vt:lpstr>
      <vt:lpstr>A83728591F</vt:lpstr>
      <vt:lpstr>A83728591F_Data</vt:lpstr>
      <vt:lpstr>A83728591F_Latest</vt:lpstr>
      <vt:lpstr>A83728592J</vt:lpstr>
      <vt:lpstr>A83728592J_Data</vt:lpstr>
      <vt:lpstr>A83728592J_Latest</vt:lpstr>
      <vt:lpstr>A83728593K</vt:lpstr>
      <vt:lpstr>A83728593K_Data</vt:lpstr>
      <vt:lpstr>A83728593K_Latest</vt:lpstr>
      <vt:lpstr>A83728594L</vt:lpstr>
      <vt:lpstr>A83728594L_Data</vt:lpstr>
      <vt:lpstr>A83728594L_Latest</vt:lpstr>
      <vt:lpstr>A83728595R</vt:lpstr>
      <vt:lpstr>A83728595R_Data</vt:lpstr>
      <vt:lpstr>A83728595R_Latest</vt:lpstr>
      <vt:lpstr>A83728596T</vt:lpstr>
      <vt:lpstr>A83728596T_Data</vt:lpstr>
      <vt:lpstr>A83728596T_Latest</vt:lpstr>
      <vt:lpstr>A83728597V</vt:lpstr>
      <vt:lpstr>A83728597V_Data</vt:lpstr>
      <vt:lpstr>A83728597V_Latest</vt:lpstr>
      <vt:lpstr>A83728598W</vt:lpstr>
      <vt:lpstr>A83728598W_Data</vt:lpstr>
      <vt:lpstr>A83728598W_Latest</vt:lpstr>
      <vt:lpstr>A83728599X</vt:lpstr>
      <vt:lpstr>A83728599X_Data</vt:lpstr>
      <vt:lpstr>A83728599X_Latest</vt:lpstr>
      <vt:lpstr>A83728600W</vt:lpstr>
      <vt:lpstr>A83728600W_Data</vt:lpstr>
      <vt:lpstr>A83728600W_Latest</vt:lpstr>
      <vt:lpstr>A83728601X</vt:lpstr>
      <vt:lpstr>A83728601X_Data</vt:lpstr>
      <vt:lpstr>A83728601X_Latest</vt:lpstr>
      <vt:lpstr>A83728602A</vt:lpstr>
      <vt:lpstr>A83728602A_Data</vt:lpstr>
      <vt:lpstr>A83728602A_Latest</vt:lpstr>
      <vt:lpstr>AusPortfolio</vt:lpstr>
      <vt:lpstr>CGT</vt:lpstr>
      <vt:lpstr>Council_Area</vt:lpstr>
      <vt:lpstr>Date_Range</vt:lpstr>
      <vt:lpstr>Date_Range_Data</vt:lpstr>
      <vt:lpstr>eff_invest</vt:lpstr>
      <vt:lpstr>FlatDwellingType</vt:lpstr>
      <vt:lpstr>FlatNumberOfBedrooms</vt:lpstr>
      <vt:lpstr>GlobalPortfolio</vt:lpstr>
      <vt:lpstr>'3BR_H-processed'!HouseDwellingType</vt:lpstr>
      <vt:lpstr>'3BR_H-processed'!HouseNumberOfBedrooms</vt:lpstr>
      <vt:lpstr>InvestFees</vt:lpstr>
      <vt:lpstr>MortgageRate</vt:lpstr>
      <vt:lpstr>Q_end</vt:lpstr>
      <vt:lpstr>Q_start</vt:lpstr>
      <vt:lpstr>Qstart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Hatta Misra</dc:creator>
  <cp:lastModifiedBy>Hatta Misra</cp:lastModifiedBy>
  <dcterms:created xsi:type="dcterms:W3CDTF">2026-03-29T09:11:49Z</dcterms:created>
  <dcterms:modified xsi:type="dcterms:W3CDTF">2026-09-06T01:04:45Z</dcterms:modified>
</cp:coreProperties>
</file>